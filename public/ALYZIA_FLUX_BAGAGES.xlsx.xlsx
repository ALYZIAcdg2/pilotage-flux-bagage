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ierex\Downloads\"/>
    </mc:Choice>
  </mc:AlternateContent>
  <bookViews>
    <workbookView xWindow="0" yWindow="0" windowWidth="23016" windowHeight="9192"/>
  </bookViews>
  <sheets>
    <sheet name="RÉCAPITULATIF" sheetId="1" r:id="rId1"/>
    <sheet name="DOSSIERS" sheetId="2" r:id="rId2"/>
    <sheet name="JOUR PAR JOUR" sheetId="3" r:id="rId3"/>
    <sheet name="SYNTHÈSE PAR DATE" sheetId="4" r:id="rId4"/>
    <sheet name="BASE" sheetId="5" r:id="rId5"/>
  </sheets>
  <definedNames>
    <definedName name="_xlnm._FilterDatabase" localSheetId="0" hidden="1">RÉCAPITULATIF!$A$110:$R$150</definedName>
  </definedNames>
  <calcPr calcId="152511" forceFullCalc="1"/>
</workbook>
</file>

<file path=xl/calcChain.xml><?xml version="1.0" encoding="utf-8"?>
<calcChain xmlns="http://schemas.openxmlformats.org/spreadsheetml/2006/main">
  <c r="P1740" i="5" l="1"/>
  <c r="Q1740" i="5" s="1"/>
  <c r="R1740" i="5" s="1"/>
  <c r="P1739" i="5"/>
  <c r="Q1739" i="5" s="1"/>
  <c r="R1739" i="5" s="1"/>
  <c r="P1738" i="5"/>
  <c r="Q1738" i="5" s="1"/>
  <c r="R1738" i="5" s="1"/>
  <c r="P1737" i="5"/>
  <c r="Q1737" i="5" s="1"/>
  <c r="R1737" i="5" s="1"/>
  <c r="P1736" i="5"/>
  <c r="Q1736" i="5" s="1"/>
  <c r="R1736" i="5" s="1"/>
  <c r="P1735" i="5"/>
  <c r="Q1735" i="5" s="1"/>
  <c r="R1735" i="5" s="1"/>
  <c r="P1734" i="5"/>
  <c r="Q1734" i="5" s="1"/>
  <c r="R1734" i="5" s="1"/>
  <c r="P1733" i="5"/>
  <c r="Q1733" i="5" s="1"/>
  <c r="R1733" i="5" s="1"/>
  <c r="P1732" i="5"/>
  <c r="Q1732" i="5" s="1"/>
  <c r="R1732" i="5" s="1"/>
  <c r="P1731" i="5"/>
  <c r="Q1731" i="5" s="1"/>
  <c r="R1731" i="5" s="1"/>
  <c r="P1730" i="5"/>
  <c r="Q1730" i="5" s="1"/>
  <c r="R1730" i="5" s="1"/>
  <c r="P1729" i="5"/>
  <c r="Q1729" i="5" s="1"/>
  <c r="R1729" i="5" s="1"/>
  <c r="P1728" i="5"/>
  <c r="Q1728" i="5" s="1"/>
  <c r="R1728" i="5" s="1"/>
  <c r="P1727" i="5"/>
  <c r="Q1727" i="5" s="1"/>
  <c r="R1727" i="5" s="1"/>
  <c r="P1726" i="5"/>
  <c r="Q1726" i="5" s="1"/>
  <c r="R1726" i="5" s="1"/>
  <c r="P1725" i="5"/>
  <c r="Q1725" i="5" s="1"/>
  <c r="R1725" i="5" s="1"/>
  <c r="P1724" i="5"/>
  <c r="Q1724" i="5" s="1"/>
  <c r="R1724" i="5" s="1"/>
  <c r="P1723" i="5"/>
  <c r="Q1723" i="5" s="1"/>
  <c r="R1723" i="5" s="1"/>
  <c r="P1722" i="5"/>
  <c r="Q1722" i="5" s="1"/>
  <c r="R1722" i="5" s="1"/>
  <c r="P1721" i="5"/>
  <c r="Q1721" i="5" s="1"/>
  <c r="R1721" i="5" s="1"/>
  <c r="P1720" i="5"/>
  <c r="Q1720" i="5" s="1"/>
  <c r="R1720" i="5" s="1"/>
  <c r="P1719" i="5"/>
  <c r="Q1719" i="5" s="1"/>
  <c r="R1719" i="5" s="1"/>
  <c r="P1718" i="5"/>
  <c r="Q1718" i="5" s="1"/>
  <c r="R1718" i="5" s="1"/>
  <c r="P1717" i="5"/>
  <c r="Q1717" i="5" s="1"/>
  <c r="R1717" i="5" s="1"/>
  <c r="P1716" i="5"/>
  <c r="Q1716" i="5" s="1"/>
  <c r="R1716" i="5" s="1"/>
  <c r="P1715" i="5"/>
  <c r="Q1715" i="5" s="1"/>
  <c r="R1715" i="5" s="1"/>
  <c r="P1714" i="5"/>
  <c r="Q1714" i="5" s="1"/>
  <c r="R1714" i="5" s="1"/>
  <c r="P1713" i="5"/>
  <c r="Q1713" i="5" s="1"/>
  <c r="R1713" i="5" s="1"/>
  <c r="P1712" i="5"/>
  <c r="Q1712" i="5" s="1"/>
  <c r="R1712" i="5" s="1"/>
  <c r="P1711" i="5"/>
  <c r="Q1711" i="5" s="1"/>
  <c r="R1711" i="5" s="1"/>
  <c r="P1710" i="5"/>
  <c r="Q1710" i="5" s="1"/>
  <c r="R1710" i="5" s="1"/>
  <c r="P1709" i="5"/>
  <c r="Q1709" i="5" s="1"/>
  <c r="R1709" i="5" s="1"/>
  <c r="P1708" i="5"/>
  <c r="Q1708" i="5" s="1"/>
  <c r="R1708" i="5" s="1"/>
  <c r="P1707" i="5"/>
  <c r="Q1707" i="5" s="1"/>
  <c r="R1707" i="5" s="1"/>
  <c r="P1706" i="5"/>
  <c r="Q1706" i="5" s="1"/>
  <c r="R1706" i="5" s="1"/>
  <c r="P1705" i="5"/>
  <c r="Q1705" i="5" s="1"/>
  <c r="R1705" i="5" s="1"/>
  <c r="P1704" i="5"/>
  <c r="Q1704" i="5" s="1"/>
  <c r="R1704" i="5" s="1"/>
  <c r="P1703" i="5"/>
  <c r="Q1703" i="5" s="1"/>
  <c r="R1703" i="5" s="1"/>
  <c r="P1702" i="5"/>
  <c r="Q1702" i="5" s="1"/>
  <c r="R1702" i="5" s="1"/>
  <c r="P1701" i="5"/>
  <c r="Q1701" i="5" s="1"/>
  <c r="R1701" i="5" s="1"/>
  <c r="P1700" i="5"/>
  <c r="Q1700" i="5" s="1"/>
  <c r="R1700" i="5" s="1"/>
  <c r="P1699" i="5"/>
  <c r="Q1699" i="5" s="1"/>
  <c r="R1699" i="5" s="1"/>
  <c r="P1698" i="5"/>
  <c r="Q1698" i="5" s="1"/>
  <c r="R1698" i="5" s="1"/>
  <c r="P1697" i="5"/>
  <c r="Q1697" i="5" s="1"/>
  <c r="R1697" i="5" s="1"/>
  <c r="P1696" i="5"/>
  <c r="Q1696" i="5" s="1"/>
  <c r="R1696" i="5" s="1"/>
  <c r="P1695" i="5"/>
  <c r="Q1695" i="5" s="1"/>
  <c r="R1695" i="5" s="1"/>
  <c r="P1694" i="5"/>
  <c r="Q1694" i="5" s="1"/>
  <c r="R1694" i="5" s="1"/>
  <c r="P1693" i="5"/>
  <c r="Q1693" i="5" s="1"/>
  <c r="R1693" i="5" s="1"/>
  <c r="P1692" i="5"/>
  <c r="Q1692" i="5" s="1"/>
  <c r="R1692" i="5" s="1"/>
  <c r="P1691" i="5"/>
  <c r="Q1691" i="5" s="1"/>
  <c r="R1691" i="5" s="1"/>
  <c r="P1690" i="5"/>
  <c r="Q1690" i="5" s="1"/>
  <c r="R1690" i="5" s="1"/>
  <c r="P1689" i="5"/>
  <c r="Q1689" i="5" s="1"/>
  <c r="R1689" i="5" s="1"/>
  <c r="P1688" i="5"/>
  <c r="Q1688" i="5" s="1"/>
  <c r="R1688" i="5" s="1"/>
  <c r="P1687" i="5"/>
  <c r="Q1687" i="5" s="1"/>
  <c r="R1687" i="5" s="1"/>
  <c r="P1686" i="5"/>
  <c r="Q1686" i="5" s="1"/>
  <c r="R1686" i="5" s="1"/>
  <c r="P1685" i="5"/>
  <c r="Q1685" i="5" s="1"/>
  <c r="R1685" i="5" s="1"/>
  <c r="P1684" i="5"/>
  <c r="Q1684" i="5" s="1"/>
  <c r="R1684" i="5" s="1"/>
  <c r="P1683" i="5"/>
  <c r="Q1683" i="5" s="1"/>
  <c r="R1683" i="5" s="1"/>
  <c r="P1682" i="5"/>
  <c r="Q1682" i="5" s="1"/>
  <c r="R1682" i="5" s="1"/>
  <c r="P1681" i="5"/>
  <c r="Q1681" i="5" s="1"/>
  <c r="R1681" i="5" s="1"/>
  <c r="P1680" i="5"/>
  <c r="Q1680" i="5" s="1"/>
  <c r="R1680" i="5" s="1"/>
  <c r="P1679" i="5"/>
  <c r="Q1679" i="5" s="1"/>
  <c r="R1679" i="5" s="1"/>
  <c r="P1678" i="5"/>
  <c r="Q1678" i="5" s="1"/>
  <c r="R1678" i="5" s="1"/>
  <c r="P1677" i="5"/>
  <c r="Q1677" i="5" s="1"/>
  <c r="R1677" i="5" s="1"/>
  <c r="P1676" i="5"/>
  <c r="Q1676" i="5" s="1"/>
  <c r="R1676" i="5" s="1"/>
  <c r="P1675" i="5"/>
  <c r="Q1675" i="5" s="1"/>
  <c r="R1675" i="5" s="1"/>
  <c r="P1674" i="5"/>
  <c r="Q1674" i="5" s="1"/>
  <c r="R1674" i="5" s="1"/>
  <c r="P1673" i="5"/>
  <c r="Q1673" i="5" s="1"/>
  <c r="R1673" i="5" s="1"/>
  <c r="P1672" i="5"/>
  <c r="Q1672" i="5" s="1"/>
  <c r="R1672" i="5" s="1"/>
  <c r="P1671" i="5"/>
  <c r="Q1671" i="5" s="1"/>
  <c r="R1671" i="5" s="1"/>
  <c r="P1670" i="5"/>
  <c r="Q1670" i="5" s="1"/>
  <c r="R1670" i="5" s="1"/>
  <c r="P1669" i="5"/>
  <c r="Q1669" i="5" s="1"/>
  <c r="R1669" i="5" s="1"/>
  <c r="P1668" i="5"/>
  <c r="Q1668" i="5" s="1"/>
  <c r="R1668" i="5" s="1"/>
  <c r="P1667" i="5"/>
  <c r="Q1667" i="5" s="1"/>
  <c r="R1667" i="5" s="1"/>
  <c r="P1666" i="5"/>
  <c r="Q1666" i="5" s="1"/>
  <c r="R1666" i="5" s="1"/>
  <c r="P1665" i="5"/>
  <c r="Q1665" i="5" s="1"/>
  <c r="R1665" i="5" s="1"/>
  <c r="P1664" i="5"/>
  <c r="Q1664" i="5" s="1"/>
  <c r="R1664" i="5" s="1"/>
  <c r="P1663" i="5"/>
  <c r="Q1663" i="5" s="1"/>
  <c r="R1663" i="5" s="1"/>
  <c r="P1662" i="5"/>
  <c r="Q1662" i="5" s="1"/>
  <c r="R1662" i="5" s="1"/>
  <c r="P1661" i="5"/>
  <c r="Q1661" i="5" s="1"/>
  <c r="R1661" i="5" s="1"/>
  <c r="P1660" i="5"/>
  <c r="Q1660" i="5" s="1"/>
  <c r="R1660" i="5" s="1"/>
  <c r="P1659" i="5"/>
  <c r="Q1659" i="5" s="1"/>
  <c r="R1659" i="5" s="1"/>
  <c r="P1658" i="5"/>
  <c r="Q1658" i="5" s="1"/>
  <c r="R1658" i="5" s="1"/>
  <c r="P1657" i="5"/>
  <c r="Q1657" i="5" s="1"/>
  <c r="R1657" i="5" s="1"/>
  <c r="P1656" i="5"/>
  <c r="Q1656" i="5" s="1"/>
  <c r="R1656" i="5" s="1"/>
  <c r="P1655" i="5"/>
  <c r="Q1655" i="5" s="1"/>
  <c r="R1655" i="5" s="1"/>
  <c r="P1654" i="5"/>
  <c r="Q1654" i="5" s="1"/>
  <c r="R1654" i="5" s="1"/>
  <c r="P1653" i="5"/>
  <c r="Q1653" i="5" s="1"/>
  <c r="R1653" i="5" s="1"/>
  <c r="P1652" i="5"/>
  <c r="Q1652" i="5" s="1"/>
  <c r="R1652" i="5" s="1"/>
  <c r="P1651" i="5"/>
  <c r="Q1651" i="5" s="1"/>
  <c r="R1651" i="5" s="1"/>
  <c r="P1650" i="5"/>
  <c r="Q1650" i="5" s="1"/>
  <c r="R1650" i="5" s="1"/>
  <c r="P1649" i="5"/>
  <c r="Q1649" i="5" s="1"/>
  <c r="R1649" i="5" s="1"/>
  <c r="P1648" i="5"/>
  <c r="Q1648" i="5" s="1"/>
  <c r="R1648" i="5" s="1"/>
  <c r="P1647" i="5"/>
  <c r="Q1647" i="5" s="1"/>
  <c r="R1647" i="5" s="1"/>
  <c r="P1646" i="5"/>
  <c r="Q1646" i="5" s="1"/>
  <c r="R1646" i="5" s="1"/>
  <c r="P1645" i="5"/>
  <c r="Q1645" i="5" s="1"/>
  <c r="R1645" i="5" s="1"/>
  <c r="P1644" i="5"/>
  <c r="Q1644" i="5" s="1"/>
  <c r="R1644" i="5" s="1"/>
  <c r="P1643" i="5"/>
  <c r="Q1643" i="5" s="1"/>
  <c r="R1643" i="5" s="1"/>
  <c r="P1642" i="5"/>
  <c r="Q1642" i="5" s="1"/>
  <c r="R1642" i="5" s="1"/>
  <c r="P1641" i="5"/>
  <c r="Q1641" i="5" s="1"/>
  <c r="R1641" i="5" s="1"/>
  <c r="P1640" i="5"/>
  <c r="Q1640" i="5" s="1"/>
  <c r="R1640" i="5" s="1"/>
  <c r="P1639" i="5"/>
  <c r="Q1639" i="5" s="1"/>
  <c r="R1639" i="5" s="1"/>
  <c r="P1638" i="5"/>
  <c r="Q1638" i="5" s="1"/>
  <c r="R1638" i="5" s="1"/>
  <c r="P1637" i="5"/>
  <c r="Q1637" i="5" s="1"/>
  <c r="R1637" i="5" s="1"/>
  <c r="P1636" i="5"/>
  <c r="Q1636" i="5" s="1"/>
  <c r="R1636" i="5" s="1"/>
  <c r="P1635" i="5"/>
  <c r="Q1635" i="5" s="1"/>
  <c r="R1635" i="5" s="1"/>
  <c r="P1634" i="5"/>
  <c r="Q1634" i="5" s="1"/>
  <c r="R1634" i="5" s="1"/>
  <c r="P1633" i="5"/>
  <c r="Q1633" i="5" s="1"/>
  <c r="R1633" i="5" s="1"/>
  <c r="P1632" i="5"/>
  <c r="Q1632" i="5" s="1"/>
  <c r="R1632" i="5" s="1"/>
  <c r="P1631" i="5"/>
  <c r="Q1631" i="5" s="1"/>
  <c r="R1631" i="5" s="1"/>
  <c r="P1630" i="5"/>
  <c r="Q1630" i="5" s="1"/>
  <c r="R1630" i="5" s="1"/>
  <c r="P1629" i="5"/>
  <c r="Q1629" i="5" s="1"/>
  <c r="R1629" i="5" s="1"/>
  <c r="P1628" i="5"/>
  <c r="Q1628" i="5" s="1"/>
  <c r="R1628" i="5" s="1"/>
  <c r="P1627" i="5"/>
  <c r="Q1627" i="5" s="1"/>
  <c r="R1627" i="5" s="1"/>
  <c r="P1626" i="5"/>
  <c r="Q1626" i="5" s="1"/>
  <c r="R1626" i="5" s="1"/>
  <c r="P1625" i="5"/>
  <c r="Q1625" i="5" s="1"/>
  <c r="R1625" i="5" s="1"/>
  <c r="P1624" i="5"/>
  <c r="Q1624" i="5" s="1"/>
  <c r="R1624" i="5" s="1"/>
  <c r="P1623" i="5"/>
  <c r="Q1623" i="5" s="1"/>
  <c r="R1623" i="5" s="1"/>
  <c r="P1622" i="5"/>
  <c r="Q1622" i="5" s="1"/>
  <c r="R1622" i="5" s="1"/>
  <c r="P1621" i="5"/>
  <c r="Q1621" i="5" s="1"/>
  <c r="R1621" i="5" s="1"/>
  <c r="P1620" i="5"/>
  <c r="Q1620" i="5" s="1"/>
  <c r="R1620" i="5" s="1"/>
  <c r="P1619" i="5"/>
  <c r="Q1619" i="5" s="1"/>
  <c r="R1619" i="5" s="1"/>
  <c r="P1618" i="5"/>
  <c r="Q1618" i="5" s="1"/>
  <c r="R1618" i="5" s="1"/>
  <c r="P1617" i="5"/>
  <c r="Q1617" i="5" s="1"/>
  <c r="R1617" i="5" s="1"/>
  <c r="P1616" i="5"/>
  <c r="Q1616" i="5" s="1"/>
  <c r="R1616" i="5" s="1"/>
  <c r="P1615" i="5"/>
  <c r="Q1615" i="5" s="1"/>
  <c r="R1615" i="5" s="1"/>
  <c r="P1614" i="5"/>
  <c r="Q1614" i="5" s="1"/>
  <c r="R1614" i="5" s="1"/>
  <c r="P1613" i="5"/>
  <c r="Q1613" i="5" s="1"/>
  <c r="R1613" i="5" s="1"/>
  <c r="P1612" i="5"/>
  <c r="Q1612" i="5" s="1"/>
  <c r="R1612" i="5" s="1"/>
  <c r="P1611" i="5"/>
  <c r="Q1611" i="5" s="1"/>
  <c r="R1611" i="5" s="1"/>
  <c r="P1610" i="5"/>
  <c r="Q1610" i="5" s="1"/>
  <c r="R1610" i="5" s="1"/>
  <c r="P1609" i="5"/>
  <c r="Q1609" i="5" s="1"/>
  <c r="R1609" i="5" s="1"/>
  <c r="P1608" i="5"/>
  <c r="Q1608" i="5" s="1"/>
  <c r="R1608" i="5" s="1"/>
  <c r="P1607" i="5"/>
  <c r="Q1607" i="5" s="1"/>
  <c r="R1607" i="5" s="1"/>
  <c r="P1606" i="5"/>
  <c r="Q1606" i="5" s="1"/>
  <c r="R1606" i="5" s="1"/>
  <c r="P1605" i="5"/>
  <c r="Q1605" i="5" s="1"/>
  <c r="R1605" i="5" s="1"/>
  <c r="P1604" i="5"/>
  <c r="Q1604" i="5" s="1"/>
  <c r="R1604" i="5" s="1"/>
  <c r="P1603" i="5"/>
  <c r="Q1603" i="5" s="1"/>
  <c r="R1603" i="5" s="1"/>
  <c r="P1602" i="5"/>
  <c r="Q1602" i="5" s="1"/>
  <c r="R1602" i="5" s="1"/>
  <c r="P1601" i="5"/>
  <c r="Q1601" i="5" s="1"/>
  <c r="R1601" i="5" s="1"/>
  <c r="P1600" i="5"/>
  <c r="Q1600" i="5" s="1"/>
  <c r="R1600" i="5" s="1"/>
  <c r="P1599" i="5"/>
  <c r="Q1599" i="5" s="1"/>
  <c r="R1599" i="5" s="1"/>
  <c r="P1598" i="5"/>
  <c r="Q1598" i="5" s="1"/>
  <c r="R1598" i="5" s="1"/>
  <c r="P1597" i="5"/>
  <c r="Q1597" i="5" s="1"/>
  <c r="R1597" i="5" s="1"/>
  <c r="P1596" i="5"/>
  <c r="Q1596" i="5" s="1"/>
  <c r="R1596" i="5" s="1"/>
  <c r="P1595" i="5"/>
  <c r="Q1595" i="5" s="1"/>
  <c r="R1595" i="5" s="1"/>
  <c r="P1594" i="5"/>
  <c r="Q1594" i="5" s="1"/>
  <c r="R1594" i="5" s="1"/>
  <c r="P1593" i="5"/>
  <c r="Q1593" i="5" s="1"/>
  <c r="R1593" i="5" s="1"/>
  <c r="P1592" i="5"/>
  <c r="Q1592" i="5" s="1"/>
  <c r="R1592" i="5" s="1"/>
  <c r="P1591" i="5"/>
  <c r="Q1591" i="5" s="1"/>
  <c r="R1591" i="5" s="1"/>
  <c r="P1590" i="5"/>
  <c r="Q1590" i="5" s="1"/>
  <c r="R1590" i="5" s="1"/>
  <c r="P1589" i="5"/>
  <c r="Q1589" i="5" s="1"/>
  <c r="R1589" i="5" s="1"/>
  <c r="P1588" i="5"/>
  <c r="Q1588" i="5" s="1"/>
  <c r="R1588" i="5" s="1"/>
  <c r="P1587" i="5"/>
  <c r="Q1587" i="5" s="1"/>
  <c r="R1587" i="5" s="1"/>
  <c r="P1586" i="5"/>
  <c r="Q1586" i="5" s="1"/>
  <c r="R1586" i="5" s="1"/>
  <c r="P1585" i="5"/>
  <c r="Q1585" i="5" s="1"/>
  <c r="R1585" i="5" s="1"/>
  <c r="P1584" i="5"/>
  <c r="Q1584" i="5" s="1"/>
  <c r="R1584" i="5" s="1"/>
  <c r="P1583" i="5"/>
  <c r="Q1583" i="5" s="1"/>
  <c r="R1583" i="5" s="1"/>
  <c r="P1582" i="5"/>
  <c r="Q1582" i="5" s="1"/>
  <c r="R1582" i="5" s="1"/>
  <c r="P1581" i="5"/>
  <c r="Q1581" i="5" s="1"/>
  <c r="R1581" i="5" s="1"/>
  <c r="P1580" i="5"/>
  <c r="Q1580" i="5" s="1"/>
  <c r="R1580" i="5" s="1"/>
  <c r="P1579" i="5"/>
  <c r="Q1579" i="5" s="1"/>
  <c r="R1579" i="5" s="1"/>
  <c r="P1578" i="5"/>
  <c r="Q1578" i="5" s="1"/>
  <c r="R1578" i="5" s="1"/>
  <c r="P1577" i="5"/>
  <c r="Q1577" i="5" s="1"/>
  <c r="R1577" i="5" s="1"/>
  <c r="P1576" i="5"/>
  <c r="Q1576" i="5" s="1"/>
  <c r="R1576" i="5" s="1"/>
  <c r="P1575" i="5"/>
  <c r="Q1575" i="5" s="1"/>
  <c r="R1575" i="5" s="1"/>
  <c r="P1574" i="5"/>
  <c r="Q1574" i="5" s="1"/>
  <c r="R1574" i="5" s="1"/>
  <c r="P1573" i="5"/>
  <c r="Q1573" i="5" s="1"/>
  <c r="R1573" i="5" s="1"/>
  <c r="P1572" i="5"/>
  <c r="Q1572" i="5" s="1"/>
  <c r="R1572" i="5" s="1"/>
  <c r="P1571" i="5"/>
  <c r="Q1571" i="5" s="1"/>
  <c r="R1571" i="5" s="1"/>
  <c r="P1570" i="5"/>
  <c r="Q1570" i="5" s="1"/>
  <c r="R1570" i="5" s="1"/>
  <c r="P1569" i="5"/>
  <c r="Q1569" i="5" s="1"/>
  <c r="R1569" i="5" s="1"/>
  <c r="P1568" i="5"/>
  <c r="Q1568" i="5" s="1"/>
  <c r="R1568" i="5" s="1"/>
  <c r="P1567" i="5"/>
  <c r="Q1567" i="5" s="1"/>
  <c r="R1567" i="5" s="1"/>
  <c r="P1566" i="5"/>
  <c r="Q1566" i="5" s="1"/>
  <c r="R1566" i="5" s="1"/>
  <c r="P1565" i="5"/>
  <c r="Q1565" i="5" s="1"/>
  <c r="R1565" i="5" s="1"/>
  <c r="P1564" i="5"/>
  <c r="Q1564" i="5" s="1"/>
  <c r="R1564" i="5" s="1"/>
  <c r="P1563" i="5"/>
  <c r="Q1563" i="5" s="1"/>
  <c r="R1563" i="5" s="1"/>
  <c r="P1562" i="5"/>
  <c r="Q1562" i="5" s="1"/>
  <c r="R1562" i="5" s="1"/>
  <c r="P1561" i="5"/>
  <c r="Q1561" i="5" s="1"/>
  <c r="R1561" i="5" s="1"/>
  <c r="P1560" i="5"/>
  <c r="Q1560" i="5" s="1"/>
  <c r="R1560" i="5" s="1"/>
  <c r="P1559" i="5"/>
  <c r="Q1559" i="5" s="1"/>
  <c r="R1559" i="5" s="1"/>
  <c r="P1558" i="5"/>
  <c r="Q1558" i="5" s="1"/>
  <c r="R1558" i="5" s="1"/>
  <c r="P1557" i="5"/>
  <c r="Q1557" i="5" s="1"/>
  <c r="R1557" i="5" s="1"/>
  <c r="P1556" i="5"/>
  <c r="Q1556" i="5" s="1"/>
  <c r="R1556" i="5" s="1"/>
  <c r="P1555" i="5"/>
  <c r="Q1555" i="5" s="1"/>
  <c r="R1555" i="5" s="1"/>
  <c r="P1554" i="5"/>
  <c r="Q1554" i="5" s="1"/>
  <c r="R1554" i="5" s="1"/>
  <c r="P1553" i="5"/>
  <c r="Q1553" i="5" s="1"/>
  <c r="R1553" i="5" s="1"/>
  <c r="P1552" i="5"/>
  <c r="Q1552" i="5" s="1"/>
  <c r="R1552" i="5" s="1"/>
  <c r="P1551" i="5"/>
  <c r="Q1551" i="5" s="1"/>
  <c r="R1551" i="5" s="1"/>
  <c r="P1550" i="5"/>
  <c r="Q1550" i="5" s="1"/>
  <c r="R1550" i="5" s="1"/>
  <c r="P1549" i="5"/>
  <c r="Q1549" i="5" s="1"/>
  <c r="R1549" i="5" s="1"/>
  <c r="P1548" i="5"/>
  <c r="Q1548" i="5" s="1"/>
  <c r="R1548" i="5" s="1"/>
  <c r="P1547" i="5"/>
  <c r="Q1547" i="5" s="1"/>
  <c r="R1547" i="5" s="1"/>
  <c r="P1546" i="5"/>
  <c r="Q1546" i="5" s="1"/>
  <c r="R1546" i="5" s="1"/>
  <c r="P1545" i="5"/>
  <c r="Q1545" i="5" s="1"/>
  <c r="R1545" i="5" s="1"/>
  <c r="P1544" i="5"/>
  <c r="Q1544" i="5" s="1"/>
  <c r="R1544" i="5" s="1"/>
  <c r="P1543" i="5"/>
  <c r="Q1543" i="5" s="1"/>
  <c r="R1543" i="5" s="1"/>
  <c r="P1542" i="5"/>
  <c r="Q1542" i="5" s="1"/>
  <c r="R1542" i="5" s="1"/>
  <c r="P1541" i="5"/>
  <c r="Q1541" i="5" s="1"/>
  <c r="R1541" i="5" s="1"/>
  <c r="P1540" i="5"/>
  <c r="Q1540" i="5" s="1"/>
  <c r="R1540" i="5" s="1"/>
  <c r="P1539" i="5"/>
  <c r="Q1539" i="5" s="1"/>
  <c r="R1539" i="5" s="1"/>
  <c r="P1538" i="5"/>
  <c r="Q1538" i="5" s="1"/>
  <c r="R1538" i="5" s="1"/>
  <c r="P1537" i="5"/>
  <c r="Q1537" i="5" s="1"/>
  <c r="R1537" i="5" s="1"/>
  <c r="P1536" i="5"/>
  <c r="Q1536" i="5" s="1"/>
  <c r="R1536" i="5" s="1"/>
  <c r="P1535" i="5"/>
  <c r="Q1535" i="5" s="1"/>
  <c r="R1535" i="5" s="1"/>
  <c r="P1534" i="5"/>
  <c r="Q1534" i="5" s="1"/>
  <c r="R1534" i="5" s="1"/>
  <c r="P1533" i="5"/>
  <c r="Q1533" i="5" s="1"/>
  <c r="R1533" i="5" s="1"/>
  <c r="P1532" i="5"/>
  <c r="Q1532" i="5" s="1"/>
  <c r="R1532" i="5" s="1"/>
  <c r="P1531" i="5"/>
  <c r="Q1531" i="5" s="1"/>
  <c r="R1531" i="5" s="1"/>
  <c r="P1530" i="5"/>
  <c r="Q1530" i="5" s="1"/>
  <c r="R1530" i="5" s="1"/>
  <c r="P1529" i="5"/>
  <c r="Q1529" i="5" s="1"/>
  <c r="R1529" i="5" s="1"/>
  <c r="P1528" i="5"/>
  <c r="Q1528" i="5" s="1"/>
  <c r="R1528" i="5" s="1"/>
  <c r="P1527" i="5"/>
  <c r="Q1527" i="5" s="1"/>
  <c r="R1527" i="5" s="1"/>
  <c r="P1526" i="5"/>
  <c r="Q1526" i="5" s="1"/>
  <c r="R1526" i="5" s="1"/>
  <c r="P1525" i="5"/>
  <c r="Q1525" i="5" s="1"/>
  <c r="R1525" i="5" s="1"/>
  <c r="P1524" i="5"/>
  <c r="Q1524" i="5" s="1"/>
  <c r="R1524" i="5" s="1"/>
  <c r="P1523" i="5"/>
  <c r="Q1523" i="5" s="1"/>
  <c r="R1523" i="5" s="1"/>
  <c r="P1522" i="5"/>
  <c r="Q1522" i="5" s="1"/>
  <c r="R1522" i="5" s="1"/>
  <c r="P1521" i="5"/>
  <c r="Q1521" i="5" s="1"/>
  <c r="R1521" i="5" s="1"/>
  <c r="P1520" i="5"/>
  <c r="Q1520" i="5" s="1"/>
  <c r="R1520" i="5" s="1"/>
  <c r="P1519" i="5"/>
  <c r="Q1519" i="5" s="1"/>
  <c r="R1519" i="5" s="1"/>
  <c r="P1518" i="5"/>
  <c r="Q1518" i="5" s="1"/>
  <c r="R1518" i="5" s="1"/>
  <c r="P1517" i="5"/>
  <c r="Q1517" i="5" s="1"/>
  <c r="R1517" i="5" s="1"/>
  <c r="P1516" i="5"/>
  <c r="Q1516" i="5" s="1"/>
  <c r="R1516" i="5" s="1"/>
  <c r="P1515" i="5"/>
  <c r="Q1515" i="5" s="1"/>
  <c r="R1515" i="5" s="1"/>
  <c r="P1514" i="5"/>
  <c r="Q1514" i="5" s="1"/>
  <c r="R1514" i="5" s="1"/>
  <c r="P1513" i="5"/>
  <c r="Q1513" i="5" s="1"/>
  <c r="R1513" i="5" s="1"/>
  <c r="P1512" i="5"/>
  <c r="Q1512" i="5" s="1"/>
  <c r="R1512" i="5" s="1"/>
  <c r="P1511" i="5"/>
  <c r="Q1511" i="5" s="1"/>
  <c r="R1511" i="5" s="1"/>
  <c r="P1510" i="5"/>
  <c r="Q1510" i="5" s="1"/>
  <c r="R1510" i="5" s="1"/>
  <c r="P1509" i="5"/>
  <c r="Q1509" i="5" s="1"/>
  <c r="R1509" i="5" s="1"/>
  <c r="P1508" i="5"/>
  <c r="Q1508" i="5" s="1"/>
  <c r="R1508" i="5" s="1"/>
  <c r="P1507" i="5"/>
  <c r="Q1507" i="5" s="1"/>
  <c r="R1507" i="5" s="1"/>
  <c r="P1506" i="5"/>
  <c r="Q1506" i="5" s="1"/>
  <c r="R1506" i="5" s="1"/>
  <c r="P1505" i="5"/>
  <c r="Q1505" i="5" s="1"/>
  <c r="R1505" i="5" s="1"/>
  <c r="P1504" i="5"/>
  <c r="Q1504" i="5" s="1"/>
  <c r="R1504" i="5" s="1"/>
  <c r="P1503" i="5"/>
  <c r="Q1503" i="5" s="1"/>
  <c r="R1503" i="5" s="1"/>
  <c r="P1502" i="5"/>
  <c r="Q1502" i="5" s="1"/>
  <c r="R1502" i="5" s="1"/>
  <c r="P1501" i="5"/>
  <c r="Q1501" i="5" s="1"/>
  <c r="R1501" i="5" s="1"/>
  <c r="P1500" i="5"/>
  <c r="Q1500" i="5" s="1"/>
  <c r="R1500" i="5" s="1"/>
  <c r="P1499" i="5"/>
  <c r="Q1499" i="5" s="1"/>
  <c r="R1499" i="5" s="1"/>
  <c r="P1498" i="5"/>
  <c r="Q1498" i="5" s="1"/>
  <c r="R1498" i="5" s="1"/>
  <c r="P1497" i="5"/>
  <c r="Q1497" i="5" s="1"/>
  <c r="R1497" i="5" s="1"/>
  <c r="P1496" i="5"/>
  <c r="Q1496" i="5" s="1"/>
  <c r="R1496" i="5" s="1"/>
  <c r="P1495" i="5"/>
  <c r="Q1495" i="5" s="1"/>
  <c r="R1495" i="5" s="1"/>
  <c r="P1494" i="5"/>
  <c r="Q1494" i="5" s="1"/>
  <c r="R1494" i="5" s="1"/>
  <c r="P1493" i="5"/>
  <c r="Q1493" i="5" s="1"/>
  <c r="R1493" i="5" s="1"/>
  <c r="P1492" i="5"/>
  <c r="Q1492" i="5" s="1"/>
  <c r="R1492" i="5" s="1"/>
  <c r="P1491" i="5"/>
  <c r="Q1491" i="5" s="1"/>
  <c r="R1491" i="5" s="1"/>
  <c r="P1490" i="5"/>
  <c r="Q1490" i="5" s="1"/>
  <c r="R1490" i="5" s="1"/>
  <c r="P1489" i="5"/>
  <c r="Q1489" i="5" s="1"/>
  <c r="R1489" i="5" s="1"/>
  <c r="P1488" i="5"/>
  <c r="Q1488" i="5" s="1"/>
  <c r="R1488" i="5" s="1"/>
  <c r="P1487" i="5"/>
  <c r="Q1487" i="5" s="1"/>
  <c r="R1487" i="5" s="1"/>
  <c r="P1486" i="5"/>
  <c r="Q1486" i="5" s="1"/>
  <c r="R1486" i="5" s="1"/>
  <c r="P1485" i="5"/>
  <c r="Q1485" i="5" s="1"/>
  <c r="R1485" i="5" s="1"/>
  <c r="P1484" i="5"/>
  <c r="Q1484" i="5" s="1"/>
  <c r="R1484" i="5" s="1"/>
  <c r="P1483" i="5"/>
  <c r="Q1483" i="5" s="1"/>
  <c r="R1483" i="5" s="1"/>
  <c r="P1482" i="5"/>
  <c r="Q1482" i="5" s="1"/>
  <c r="R1482" i="5" s="1"/>
  <c r="P1481" i="5"/>
  <c r="Q1481" i="5" s="1"/>
  <c r="R1481" i="5" s="1"/>
  <c r="P1480" i="5"/>
  <c r="Q1480" i="5" s="1"/>
  <c r="R1480" i="5" s="1"/>
  <c r="P1479" i="5"/>
  <c r="Q1479" i="5" s="1"/>
  <c r="R1479" i="5" s="1"/>
  <c r="Q1478" i="5"/>
  <c r="R1478" i="5" s="1"/>
  <c r="P1478" i="5"/>
  <c r="P1477" i="5"/>
  <c r="Q1477" i="5" s="1"/>
  <c r="R1477" i="5" s="1"/>
  <c r="P1476" i="5"/>
  <c r="Q1476" i="5" s="1"/>
  <c r="R1476" i="5" s="1"/>
  <c r="P1475" i="5"/>
  <c r="Q1475" i="5" s="1"/>
  <c r="R1475" i="5" s="1"/>
  <c r="P1474" i="5"/>
  <c r="Q1474" i="5" s="1"/>
  <c r="R1474" i="5" s="1"/>
  <c r="P1473" i="5"/>
  <c r="Q1473" i="5" s="1"/>
  <c r="R1473" i="5" s="1"/>
  <c r="P1472" i="5"/>
  <c r="Q1472" i="5" s="1"/>
  <c r="R1472" i="5" s="1"/>
  <c r="P1471" i="5"/>
  <c r="Q1471" i="5" s="1"/>
  <c r="R1471" i="5" s="1"/>
  <c r="P1470" i="5"/>
  <c r="Q1470" i="5" s="1"/>
  <c r="R1470" i="5" s="1"/>
  <c r="P1469" i="5"/>
  <c r="Q1469" i="5" s="1"/>
  <c r="R1469" i="5" s="1"/>
  <c r="P1468" i="5"/>
  <c r="Q1468" i="5" s="1"/>
  <c r="R1468" i="5" s="1"/>
  <c r="P1467" i="5"/>
  <c r="Q1467" i="5" s="1"/>
  <c r="R1467" i="5" s="1"/>
  <c r="P1466" i="5"/>
  <c r="Q1466" i="5" s="1"/>
  <c r="R1466" i="5" s="1"/>
  <c r="P1465" i="5"/>
  <c r="Q1465" i="5" s="1"/>
  <c r="R1465" i="5" s="1"/>
  <c r="P1464" i="5"/>
  <c r="Q1464" i="5" s="1"/>
  <c r="R1464" i="5" s="1"/>
  <c r="P1463" i="5"/>
  <c r="Q1463" i="5" s="1"/>
  <c r="R1463" i="5" s="1"/>
  <c r="P1462" i="5"/>
  <c r="Q1462" i="5" s="1"/>
  <c r="R1462" i="5" s="1"/>
  <c r="P1461" i="5"/>
  <c r="Q1461" i="5" s="1"/>
  <c r="R1461" i="5" s="1"/>
  <c r="P1460" i="5"/>
  <c r="Q1460" i="5" s="1"/>
  <c r="R1460" i="5" s="1"/>
  <c r="P1459" i="5"/>
  <c r="Q1459" i="5" s="1"/>
  <c r="R1459" i="5" s="1"/>
  <c r="P1458" i="5"/>
  <c r="Q1458" i="5" s="1"/>
  <c r="R1458" i="5" s="1"/>
  <c r="P1457" i="5"/>
  <c r="Q1457" i="5" s="1"/>
  <c r="R1457" i="5" s="1"/>
  <c r="P1456" i="5"/>
  <c r="Q1456" i="5" s="1"/>
  <c r="R1456" i="5" s="1"/>
  <c r="P1455" i="5"/>
  <c r="Q1455" i="5" s="1"/>
  <c r="R1455" i="5" s="1"/>
  <c r="P1454" i="5"/>
  <c r="Q1454" i="5" s="1"/>
  <c r="R1454" i="5" s="1"/>
  <c r="P1453" i="5"/>
  <c r="Q1453" i="5" s="1"/>
  <c r="R1453" i="5" s="1"/>
  <c r="P1452" i="5"/>
  <c r="Q1452" i="5" s="1"/>
  <c r="R1452" i="5" s="1"/>
  <c r="P1451" i="5"/>
  <c r="Q1451" i="5" s="1"/>
  <c r="R1451" i="5" s="1"/>
  <c r="P1450" i="5"/>
  <c r="Q1450" i="5" s="1"/>
  <c r="R1450" i="5" s="1"/>
  <c r="P1449" i="5"/>
  <c r="Q1449" i="5" s="1"/>
  <c r="R1449" i="5" s="1"/>
  <c r="P1448" i="5"/>
  <c r="Q1448" i="5" s="1"/>
  <c r="R1448" i="5" s="1"/>
  <c r="P1447" i="5"/>
  <c r="Q1447" i="5" s="1"/>
  <c r="R1447" i="5" s="1"/>
  <c r="P1446" i="5"/>
  <c r="Q1446" i="5" s="1"/>
  <c r="R1446" i="5" s="1"/>
  <c r="P1445" i="5"/>
  <c r="Q1445" i="5" s="1"/>
  <c r="R1445" i="5" s="1"/>
  <c r="P1444" i="5"/>
  <c r="Q1444" i="5" s="1"/>
  <c r="R1444" i="5" s="1"/>
  <c r="P1443" i="5"/>
  <c r="Q1443" i="5" s="1"/>
  <c r="R1443" i="5" s="1"/>
  <c r="P1442" i="5"/>
  <c r="Q1442" i="5" s="1"/>
  <c r="R1442" i="5" s="1"/>
  <c r="P1441" i="5"/>
  <c r="Q1441" i="5" s="1"/>
  <c r="R1441" i="5" s="1"/>
  <c r="P1440" i="5"/>
  <c r="Q1440" i="5" s="1"/>
  <c r="R1440" i="5" s="1"/>
  <c r="P1439" i="5"/>
  <c r="Q1439" i="5" s="1"/>
  <c r="R1439" i="5" s="1"/>
  <c r="P1438" i="5"/>
  <c r="Q1438" i="5" s="1"/>
  <c r="R1438" i="5" s="1"/>
  <c r="P1437" i="5"/>
  <c r="Q1437" i="5" s="1"/>
  <c r="R1437" i="5" s="1"/>
  <c r="P1436" i="5"/>
  <c r="Q1436" i="5" s="1"/>
  <c r="R1436" i="5" s="1"/>
  <c r="P1435" i="5"/>
  <c r="Q1435" i="5" s="1"/>
  <c r="R1435" i="5" s="1"/>
  <c r="P1434" i="5"/>
  <c r="Q1434" i="5" s="1"/>
  <c r="R1434" i="5" s="1"/>
  <c r="P1433" i="5"/>
  <c r="Q1433" i="5" s="1"/>
  <c r="R1433" i="5" s="1"/>
  <c r="P1432" i="5"/>
  <c r="Q1432" i="5" s="1"/>
  <c r="R1432" i="5" s="1"/>
  <c r="P1431" i="5"/>
  <c r="Q1431" i="5" s="1"/>
  <c r="R1431" i="5" s="1"/>
  <c r="P1430" i="5"/>
  <c r="Q1430" i="5" s="1"/>
  <c r="R1430" i="5" s="1"/>
  <c r="P1429" i="5"/>
  <c r="Q1429" i="5" s="1"/>
  <c r="R1429" i="5" s="1"/>
  <c r="P1428" i="5"/>
  <c r="Q1428" i="5" s="1"/>
  <c r="R1428" i="5" s="1"/>
  <c r="P1427" i="5"/>
  <c r="Q1427" i="5" s="1"/>
  <c r="R1427" i="5" s="1"/>
  <c r="P1426" i="5"/>
  <c r="Q1426" i="5" s="1"/>
  <c r="R1426" i="5" s="1"/>
  <c r="P1425" i="5"/>
  <c r="Q1425" i="5" s="1"/>
  <c r="R1425" i="5" s="1"/>
  <c r="P1424" i="5"/>
  <c r="Q1424" i="5" s="1"/>
  <c r="R1424" i="5" s="1"/>
  <c r="P1423" i="5"/>
  <c r="Q1423" i="5" s="1"/>
  <c r="R1423" i="5" s="1"/>
  <c r="P1422" i="5"/>
  <c r="Q1422" i="5" s="1"/>
  <c r="R1422" i="5" s="1"/>
  <c r="P1421" i="5"/>
  <c r="Q1421" i="5" s="1"/>
  <c r="R1421" i="5" s="1"/>
  <c r="P1420" i="5"/>
  <c r="Q1420" i="5" s="1"/>
  <c r="R1420" i="5" s="1"/>
  <c r="P1419" i="5"/>
  <c r="Q1419" i="5" s="1"/>
  <c r="R1419" i="5" s="1"/>
  <c r="P1418" i="5"/>
  <c r="Q1418" i="5" s="1"/>
  <c r="R1418" i="5" s="1"/>
  <c r="P1417" i="5"/>
  <c r="Q1417" i="5" s="1"/>
  <c r="R1417" i="5" s="1"/>
  <c r="P1416" i="5"/>
  <c r="Q1416" i="5" s="1"/>
  <c r="R1416" i="5" s="1"/>
  <c r="P1415" i="5"/>
  <c r="Q1415" i="5" s="1"/>
  <c r="R1415" i="5" s="1"/>
  <c r="P1414" i="5"/>
  <c r="Q1414" i="5" s="1"/>
  <c r="R1414" i="5" s="1"/>
  <c r="P1413" i="5"/>
  <c r="Q1413" i="5" s="1"/>
  <c r="R1413" i="5" s="1"/>
  <c r="P1412" i="5"/>
  <c r="Q1412" i="5" s="1"/>
  <c r="R1412" i="5" s="1"/>
  <c r="P1411" i="5"/>
  <c r="Q1411" i="5" s="1"/>
  <c r="R1411" i="5" s="1"/>
  <c r="P1410" i="5"/>
  <c r="Q1410" i="5" s="1"/>
  <c r="R1410" i="5" s="1"/>
  <c r="P1409" i="5"/>
  <c r="Q1409" i="5" s="1"/>
  <c r="R1409" i="5" s="1"/>
  <c r="P1408" i="5"/>
  <c r="Q1408" i="5" s="1"/>
  <c r="R1408" i="5" s="1"/>
  <c r="P1407" i="5"/>
  <c r="Q1407" i="5" s="1"/>
  <c r="R1407" i="5" s="1"/>
  <c r="P1406" i="5"/>
  <c r="Q1406" i="5" s="1"/>
  <c r="R1406" i="5" s="1"/>
  <c r="P1405" i="5"/>
  <c r="Q1405" i="5" s="1"/>
  <c r="R1405" i="5" s="1"/>
  <c r="P1404" i="5"/>
  <c r="Q1404" i="5" s="1"/>
  <c r="R1404" i="5" s="1"/>
  <c r="P1403" i="5"/>
  <c r="Q1403" i="5" s="1"/>
  <c r="R1403" i="5" s="1"/>
  <c r="P1402" i="5"/>
  <c r="Q1402" i="5" s="1"/>
  <c r="R1402" i="5" s="1"/>
  <c r="P1401" i="5"/>
  <c r="Q1401" i="5" s="1"/>
  <c r="R1401" i="5" s="1"/>
  <c r="P1400" i="5"/>
  <c r="Q1400" i="5" s="1"/>
  <c r="R1400" i="5" s="1"/>
  <c r="P1399" i="5"/>
  <c r="Q1399" i="5" s="1"/>
  <c r="R1399" i="5" s="1"/>
  <c r="P1398" i="5"/>
  <c r="Q1398" i="5" s="1"/>
  <c r="R1398" i="5" s="1"/>
  <c r="P1397" i="5"/>
  <c r="Q1397" i="5" s="1"/>
  <c r="R1397" i="5" s="1"/>
  <c r="P1396" i="5"/>
  <c r="Q1396" i="5" s="1"/>
  <c r="R1396" i="5" s="1"/>
  <c r="P1395" i="5"/>
  <c r="Q1395" i="5" s="1"/>
  <c r="R1395" i="5" s="1"/>
  <c r="P1394" i="5"/>
  <c r="Q1394" i="5" s="1"/>
  <c r="R1394" i="5" s="1"/>
  <c r="P1393" i="5"/>
  <c r="Q1393" i="5" s="1"/>
  <c r="R1393" i="5" s="1"/>
  <c r="P1392" i="5"/>
  <c r="Q1392" i="5" s="1"/>
  <c r="R1392" i="5" s="1"/>
  <c r="P1391" i="5"/>
  <c r="Q1391" i="5" s="1"/>
  <c r="R1391" i="5" s="1"/>
  <c r="P1390" i="5"/>
  <c r="Q1390" i="5" s="1"/>
  <c r="R1390" i="5" s="1"/>
  <c r="P1389" i="5"/>
  <c r="Q1389" i="5" s="1"/>
  <c r="R1389" i="5" s="1"/>
  <c r="P1388" i="5"/>
  <c r="Q1388" i="5" s="1"/>
  <c r="R1388" i="5" s="1"/>
  <c r="P1387" i="5"/>
  <c r="Q1387" i="5" s="1"/>
  <c r="R1387" i="5" s="1"/>
  <c r="P1386" i="5"/>
  <c r="Q1386" i="5" s="1"/>
  <c r="R1386" i="5" s="1"/>
  <c r="P1385" i="5"/>
  <c r="Q1385" i="5" s="1"/>
  <c r="R1385" i="5" s="1"/>
  <c r="P1384" i="5"/>
  <c r="Q1384" i="5" s="1"/>
  <c r="R1384" i="5" s="1"/>
  <c r="P1383" i="5"/>
  <c r="Q1383" i="5" s="1"/>
  <c r="R1383" i="5" s="1"/>
  <c r="P1382" i="5"/>
  <c r="Q1382" i="5" s="1"/>
  <c r="R1382" i="5" s="1"/>
  <c r="P1381" i="5"/>
  <c r="Q1381" i="5" s="1"/>
  <c r="R1381" i="5" s="1"/>
  <c r="P1380" i="5"/>
  <c r="Q1380" i="5" s="1"/>
  <c r="R1380" i="5" s="1"/>
  <c r="P1379" i="5"/>
  <c r="Q1379" i="5" s="1"/>
  <c r="R1379" i="5" s="1"/>
  <c r="P1378" i="5"/>
  <c r="Q1378" i="5" s="1"/>
  <c r="R1378" i="5" s="1"/>
  <c r="P1377" i="5"/>
  <c r="Q1377" i="5" s="1"/>
  <c r="R1377" i="5" s="1"/>
  <c r="P1376" i="5"/>
  <c r="Q1376" i="5" s="1"/>
  <c r="R1376" i="5" s="1"/>
  <c r="P1375" i="5"/>
  <c r="Q1375" i="5" s="1"/>
  <c r="R1375" i="5" s="1"/>
  <c r="P1374" i="5"/>
  <c r="Q1374" i="5" s="1"/>
  <c r="R1374" i="5" s="1"/>
  <c r="P1373" i="5"/>
  <c r="Q1373" i="5" s="1"/>
  <c r="R1373" i="5" s="1"/>
  <c r="P1372" i="5"/>
  <c r="Q1372" i="5" s="1"/>
  <c r="R1372" i="5" s="1"/>
  <c r="P1371" i="5"/>
  <c r="Q1371" i="5" s="1"/>
  <c r="R1371" i="5" s="1"/>
  <c r="P1370" i="5"/>
  <c r="Q1370" i="5" s="1"/>
  <c r="R1370" i="5" s="1"/>
  <c r="P1369" i="5"/>
  <c r="Q1369" i="5" s="1"/>
  <c r="R1369" i="5" s="1"/>
  <c r="P1368" i="5"/>
  <c r="Q1368" i="5" s="1"/>
  <c r="R1368" i="5" s="1"/>
  <c r="P1367" i="5"/>
  <c r="Q1367" i="5" s="1"/>
  <c r="R1367" i="5" s="1"/>
  <c r="P1366" i="5"/>
  <c r="Q1366" i="5" s="1"/>
  <c r="R1366" i="5" s="1"/>
  <c r="P1365" i="5"/>
  <c r="Q1365" i="5" s="1"/>
  <c r="R1365" i="5" s="1"/>
  <c r="P1364" i="5"/>
  <c r="Q1364" i="5" s="1"/>
  <c r="R1364" i="5" s="1"/>
  <c r="Q1363" i="5"/>
  <c r="R1363" i="5" s="1"/>
  <c r="P1363" i="5"/>
  <c r="P1362" i="5"/>
  <c r="Q1362" i="5" s="1"/>
  <c r="R1362" i="5" s="1"/>
  <c r="P1361" i="5"/>
  <c r="Q1361" i="5" s="1"/>
  <c r="R1361" i="5" s="1"/>
  <c r="P1360" i="5"/>
  <c r="Q1360" i="5" s="1"/>
  <c r="R1360" i="5" s="1"/>
  <c r="P1359" i="5"/>
  <c r="Q1359" i="5" s="1"/>
  <c r="R1359" i="5" s="1"/>
  <c r="P1358" i="5"/>
  <c r="Q1358" i="5" s="1"/>
  <c r="R1358" i="5" s="1"/>
  <c r="P1357" i="5"/>
  <c r="Q1357" i="5" s="1"/>
  <c r="R1357" i="5" s="1"/>
  <c r="P1356" i="5"/>
  <c r="Q1356" i="5" s="1"/>
  <c r="R1356" i="5" s="1"/>
  <c r="P1355" i="5"/>
  <c r="Q1355" i="5" s="1"/>
  <c r="R1355" i="5" s="1"/>
  <c r="P1354" i="5"/>
  <c r="Q1354" i="5" s="1"/>
  <c r="R1354" i="5" s="1"/>
  <c r="P1353" i="5"/>
  <c r="Q1353" i="5" s="1"/>
  <c r="R1353" i="5" s="1"/>
  <c r="P1352" i="5"/>
  <c r="Q1352" i="5" s="1"/>
  <c r="R1352" i="5" s="1"/>
  <c r="P1351" i="5"/>
  <c r="Q1351" i="5" s="1"/>
  <c r="R1351" i="5" s="1"/>
  <c r="P1350" i="5"/>
  <c r="Q1350" i="5" s="1"/>
  <c r="R1350" i="5" s="1"/>
  <c r="P1349" i="5"/>
  <c r="Q1349" i="5" s="1"/>
  <c r="R1349" i="5" s="1"/>
  <c r="P1348" i="5"/>
  <c r="Q1348" i="5" s="1"/>
  <c r="R1348" i="5" s="1"/>
  <c r="P1347" i="5"/>
  <c r="Q1347" i="5" s="1"/>
  <c r="R1347" i="5" s="1"/>
  <c r="P1346" i="5"/>
  <c r="Q1346" i="5" s="1"/>
  <c r="R1346" i="5" s="1"/>
  <c r="P1345" i="5"/>
  <c r="Q1345" i="5" s="1"/>
  <c r="R1345" i="5" s="1"/>
  <c r="P1344" i="5"/>
  <c r="Q1344" i="5" s="1"/>
  <c r="R1344" i="5" s="1"/>
  <c r="P1343" i="5"/>
  <c r="Q1343" i="5" s="1"/>
  <c r="R1343" i="5" s="1"/>
  <c r="P1342" i="5"/>
  <c r="Q1342" i="5" s="1"/>
  <c r="R1342" i="5" s="1"/>
  <c r="P1341" i="5"/>
  <c r="Q1341" i="5" s="1"/>
  <c r="R1341" i="5" s="1"/>
  <c r="P1340" i="5"/>
  <c r="Q1340" i="5" s="1"/>
  <c r="R1340" i="5" s="1"/>
  <c r="P1339" i="5"/>
  <c r="Q1339" i="5" s="1"/>
  <c r="R1339" i="5" s="1"/>
  <c r="P1338" i="5"/>
  <c r="Q1338" i="5" s="1"/>
  <c r="R1338" i="5" s="1"/>
  <c r="P1337" i="5"/>
  <c r="Q1337" i="5" s="1"/>
  <c r="R1337" i="5" s="1"/>
  <c r="P1336" i="5"/>
  <c r="Q1336" i="5" s="1"/>
  <c r="R1336" i="5" s="1"/>
  <c r="P1335" i="5"/>
  <c r="Q1335" i="5" s="1"/>
  <c r="R1335" i="5" s="1"/>
  <c r="P1334" i="5"/>
  <c r="Q1334" i="5" s="1"/>
  <c r="R1334" i="5" s="1"/>
  <c r="P1333" i="5"/>
  <c r="Q1333" i="5" s="1"/>
  <c r="R1333" i="5" s="1"/>
  <c r="P1332" i="5"/>
  <c r="Q1332" i="5" s="1"/>
  <c r="R1332" i="5" s="1"/>
  <c r="P1331" i="5"/>
  <c r="Q1331" i="5" s="1"/>
  <c r="R1331" i="5" s="1"/>
  <c r="P1330" i="5"/>
  <c r="Q1330" i="5" s="1"/>
  <c r="R1330" i="5" s="1"/>
  <c r="P1329" i="5"/>
  <c r="Q1329" i="5" s="1"/>
  <c r="R1329" i="5" s="1"/>
  <c r="P1328" i="5"/>
  <c r="Q1328" i="5" s="1"/>
  <c r="R1328" i="5" s="1"/>
  <c r="Q1327" i="5"/>
  <c r="R1327" i="5" s="1"/>
  <c r="P1327" i="5"/>
  <c r="P1326" i="5"/>
  <c r="Q1326" i="5" s="1"/>
  <c r="R1326" i="5" s="1"/>
  <c r="P1325" i="5"/>
  <c r="Q1325" i="5" s="1"/>
  <c r="R1325" i="5" s="1"/>
  <c r="P1324" i="5"/>
  <c r="Q1324" i="5" s="1"/>
  <c r="R1324" i="5" s="1"/>
  <c r="P1323" i="5"/>
  <c r="Q1323" i="5" s="1"/>
  <c r="R1323" i="5" s="1"/>
  <c r="P1322" i="5"/>
  <c r="Q1322" i="5" s="1"/>
  <c r="R1322" i="5" s="1"/>
  <c r="P1321" i="5"/>
  <c r="Q1321" i="5" s="1"/>
  <c r="R1321" i="5" s="1"/>
  <c r="P1320" i="5"/>
  <c r="Q1320" i="5" s="1"/>
  <c r="R1320" i="5" s="1"/>
  <c r="P1319" i="5"/>
  <c r="Q1319" i="5" s="1"/>
  <c r="R1319" i="5" s="1"/>
  <c r="P1318" i="5"/>
  <c r="Q1318" i="5" s="1"/>
  <c r="R1318" i="5" s="1"/>
  <c r="P1317" i="5"/>
  <c r="Q1317" i="5" s="1"/>
  <c r="R1317" i="5" s="1"/>
  <c r="P1316" i="5"/>
  <c r="Q1316" i="5" s="1"/>
  <c r="R1316" i="5" s="1"/>
  <c r="P1315" i="5"/>
  <c r="Q1315" i="5" s="1"/>
  <c r="R1315" i="5" s="1"/>
  <c r="P1314" i="5"/>
  <c r="Q1314" i="5" s="1"/>
  <c r="R1314" i="5" s="1"/>
  <c r="Q1313" i="5"/>
  <c r="R1313" i="5" s="1"/>
  <c r="P1313" i="5"/>
  <c r="P1312" i="5"/>
  <c r="Q1312" i="5" s="1"/>
  <c r="R1312" i="5" s="1"/>
  <c r="P1311" i="5"/>
  <c r="Q1311" i="5" s="1"/>
  <c r="R1311" i="5" s="1"/>
  <c r="P1310" i="5"/>
  <c r="Q1310" i="5" s="1"/>
  <c r="R1310" i="5" s="1"/>
  <c r="P1309" i="5"/>
  <c r="Q1309" i="5" s="1"/>
  <c r="R1309" i="5" s="1"/>
  <c r="P1308" i="5"/>
  <c r="Q1308" i="5" s="1"/>
  <c r="R1308" i="5" s="1"/>
  <c r="P1307" i="5"/>
  <c r="Q1307" i="5" s="1"/>
  <c r="R1307" i="5" s="1"/>
  <c r="P1306" i="5"/>
  <c r="Q1306" i="5" s="1"/>
  <c r="R1306" i="5" s="1"/>
  <c r="P1305" i="5"/>
  <c r="Q1305" i="5" s="1"/>
  <c r="R1305" i="5" s="1"/>
  <c r="P1304" i="5"/>
  <c r="Q1304" i="5" s="1"/>
  <c r="R1304" i="5" s="1"/>
  <c r="P1303" i="5"/>
  <c r="Q1303" i="5" s="1"/>
  <c r="R1303" i="5" s="1"/>
  <c r="Q1302" i="5"/>
  <c r="R1302" i="5" s="1"/>
  <c r="P1302" i="5"/>
  <c r="P1301" i="5"/>
  <c r="Q1301" i="5" s="1"/>
  <c r="R1301" i="5" s="1"/>
  <c r="P1300" i="5"/>
  <c r="Q1300" i="5" s="1"/>
  <c r="R1300" i="5" s="1"/>
  <c r="P1299" i="5"/>
  <c r="Q1299" i="5" s="1"/>
  <c r="R1299" i="5" s="1"/>
  <c r="P1298" i="5"/>
  <c r="Q1298" i="5" s="1"/>
  <c r="R1298" i="5" s="1"/>
  <c r="P1297" i="5"/>
  <c r="Q1297" i="5" s="1"/>
  <c r="R1297" i="5" s="1"/>
  <c r="P1296" i="5"/>
  <c r="Q1296" i="5" s="1"/>
  <c r="R1296" i="5" s="1"/>
  <c r="P1295" i="5"/>
  <c r="Q1295" i="5" s="1"/>
  <c r="R1295" i="5" s="1"/>
  <c r="P1294" i="5"/>
  <c r="Q1294" i="5" s="1"/>
  <c r="R1294" i="5" s="1"/>
  <c r="P1293" i="5"/>
  <c r="Q1293" i="5" s="1"/>
  <c r="R1293" i="5" s="1"/>
  <c r="P1292" i="5"/>
  <c r="Q1292" i="5" s="1"/>
  <c r="R1292" i="5" s="1"/>
  <c r="P1291" i="5"/>
  <c r="Q1291" i="5" s="1"/>
  <c r="R1291" i="5" s="1"/>
  <c r="P1290" i="5"/>
  <c r="Q1290" i="5" s="1"/>
  <c r="R1290" i="5" s="1"/>
  <c r="P1289" i="5"/>
  <c r="Q1289" i="5" s="1"/>
  <c r="R1289" i="5" s="1"/>
  <c r="P1288" i="5"/>
  <c r="Q1288" i="5" s="1"/>
  <c r="R1288" i="5" s="1"/>
  <c r="P1287" i="5"/>
  <c r="Q1287" i="5" s="1"/>
  <c r="R1287" i="5" s="1"/>
  <c r="P1286" i="5"/>
  <c r="Q1286" i="5" s="1"/>
  <c r="R1286" i="5" s="1"/>
  <c r="P1285" i="5"/>
  <c r="Q1285" i="5" s="1"/>
  <c r="R1285" i="5" s="1"/>
  <c r="P1284" i="5"/>
  <c r="Q1284" i="5" s="1"/>
  <c r="R1284" i="5" s="1"/>
  <c r="P1283" i="5"/>
  <c r="Q1283" i="5" s="1"/>
  <c r="R1283" i="5" s="1"/>
  <c r="P1282" i="5"/>
  <c r="Q1282" i="5" s="1"/>
  <c r="R1282" i="5" s="1"/>
  <c r="P1281" i="5"/>
  <c r="Q1281" i="5" s="1"/>
  <c r="R1281" i="5" s="1"/>
  <c r="R1280" i="5"/>
  <c r="P1280" i="5"/>
  <c r="Q1280" i="5" s="1"/>
  <c r="P1279" i="5"/>
  <c r="Q1279" i="5" s="1"/>
  <c r="R1279" i="5" s="1"/>
  <c r="P1278" i="5"/>
  <c r="Q1278" i="5" s="1"/>
  <c r="R1278" i="5" s="1"/>
  <c r="P1277" i="5"/>
  <c r="Q1277" i="5" s="1"/>
  <c r="R1277" i="5" s="1"/>
  <c r="P1276" i="5"/>
  <c r="Q1276" i="5" s="1"/>
  <c r="R1276" i="5" s="1"/>
  <c r="P1275" i="5"/>
  <c r="Q1275" i="5" s="1"/>
  <c r="R1275" i="5" s="1"/>
  <c r="P1274" i="5"/>
  <c r="Q1274" i="5" s="1"/>
  <c r="R1274" i="5" s="1"/>
  <c r="P1273" i="5"/>
  <c r="Q1273" i="5" s="1"/>
  <c r="R1273" i="5" s="1"/>
  <c r="P1272" i="5"/>
  <c r="Q1272" i="5" s="1"/>
  <c r="R1272" i="5" s="1"/>
  <c r="P1271" i="5"/>
  <c r="Q1271" i="5" s="1"/>
  <c r="R1271" i="5" s="1"/>
  <c r="P1270" i="5"/>
  <c r="Q1270" i="5" s="1"/>
  <c r="R1270" i="5" s="1"/>
  <c r="P1269" i="5"/>
  <c r="Q1269" i="5" s="1"/>
  <c r="R1269" i="5" s="1"/>
  <c r="P1268" i="5"/>
  <c r="Q1268" i="5" s="1"/>
  <c r="R1268" i="5" s="1"/>
  <c r="P1267" i="5"/>
  <c r="Q1267" i="5" s="1"/>
  <c r="R1267" i="5" s="1"/>
  <c r="P1266" i="5"/>
  <c r="Q1266" i="5" s="1"/>
  <c r="R1266" i="5" s="1"/>
  <c r="P1265" i="5"/>
  <c r="Q1265" i="5" s="1"/>
  <c r="R1265" i="5" s="1"/>
  <c r="P1264" i="5"/>
  <c r="Q1264" i="5" s="1"/>
  <c r="R1264" i="5" s="1"/>
  <c r="P1263" i="5"/>
  <c r="Q1263" i="5" s="1"/>
  <c r="R1263" i="5" s="1"/>
  <c r="P1262" i="5"/>
  <c r="Q1262" i="5" s="1"/>
  <c r="R1262" i="5" s="1"/>
  <c r="P1261" i="5"/>
  <c r="Q1261" i="5" s="1"/>
  <c r="R1261" i="5" s="1"/>
  <c r="P1260" i="5"/>
  <c r="Q1260" i="5" s="1"/>
  <c r="R1260" i="5" s="1"/>
  <c r="P1259" i="5"/>
  <c r="Q1259" i="5" s="1"/>
  <c r="R1259" i="5" s="1"/>
  <c r="P1258" i="5"/>
  <c r="Q1258" i="5" s="1"/>
  <c r="R1258" i="5" s="1"/>
  <c r="P1257" i="5"/>
  <c r="Q1257" i="5" s="1"/>
  <c r="R1257" i="5" s="1"/>
  <c r="P1256" i="5"/>
  <c r="Q1256" i="5" s="1"/>
  <c r="R1256" i="5" s="1"/>
  <c r="P1255" i="5"/>
  <c r="Q1255" i="5" s="1"/>
  <c r="R1255" i="5" s="1"/>
  <c r="P1254" i="5"/>
  <c r="Q1254" i="5" s="1"/>
  <c r="R1254" i="5" s="1"/>
  <c r="P1253" i="5"/>
  <c r="Q1253" i="5" s="1"/>
  <c r="R1253" i="5" s="1"/>
  <c r="P1252" i="5"/>
  <c r="Q1252" i="5" s="1"/>
  <c r="R1252" i="5" s="1"/>
  <c r="P1251" i="5"/>
  <c r="Q1251" i="5" s="1"/>
  <c r="R1251" i="5" s="1"/>
  <c r="P1250" i="5"/>
  <c r="Q1250" i="5" s="1"/>
  <c r="R1250" i="5" s="1"/>
  <c r="P1249" i="5"/>
  <c r="Q1249" i="5" s="1"/>
  <c r="R1249" i="5" s="1"/>
  <c r="P1248" i="5"/>
  <c r="Q1248" i="5" s="1"/>
  <c r="R1248" i="5" s="1"/>
  <c r="P1247" i="5"/>
  <c r="Q1247" i="5" s="1"/>
  <c r="R1247" i="5" s="1"/>
  <c r="P1246" i="5"/>
  <c r="Q1246" i="5" s="1"/>
  <c r="R1246" i="5" s="1"/>
  <c r="P1245" i="5"/>
  <c r="Q1245" i="5" s="1"/>
  <c r="R1245" i="5" s="1"/>
  <c r="P1244" i="5"/>
  <c r="Q1244" i="5" s="1"/>
  <c r="R1244" i="5" s="1"/>
  <c r="P1243" i="5"/>
  <c r="Q1243" i="5" s="1"/>
  <c r="R1243" i="5" s="1"/>
  <c r="P1242" i="5"/>
  <c r="Q1242" i="5" s="1"/>
  <c r="R1242" i="5" s="1"/>
  <c r="P1241" i="5"/>
  <c r="Q1241" i="5" s="1"/>
  <c r="R1241" i="5" s="1"/>
  <c r="P1240" i="5"/>
  <c r="Q1240" i="5" s="1"/>
  <c r="R1240" i="5" s="1"/>
  <c r="P1239" i="5"/>
  <c r="Q1239" i="5" s="1"/>
  <c r="R1239" i="5" s="1"/>
  <c r="P1238" i="5"/>
  <c r="Q1238" i="5" s="1"/>
  <c r="R1238" i="5" s="1"/>
  <c r="P1237" i="5"/>
  <c r="Q1237" i="5" s="1"/>
  <c r="R1237" i="5" s="1"/>
  <c r="P1236" i="5"/>
  <c r="Q1236" i="5" s="1"/>
  <c r="R1236" i="5" s="1"/>
  <c r="P1235" i="5"/>
  <c r="Q1235" i="5" s="1"/>
  <c r="R1235" i="5" s="1"/>
  <c r="P1234" i="5"/>
  <c r="Q1234" i="5" s="1"/>
  <c r="R1234" i="5" s="1"/>
  <c r="P1233" i="5"/>
  <c r="Q1233" i="5" s="1"/>
  <c r="R1233" i="5" s="1"/>
  <c r="P1232" i="5"/>
  <c r="Q1232" i="5" s="1"/>
  <c r="R1232" i="5" s="1"/>
  <c r="P1231" i="5"/>
  <c r="Q1231" i="5" s="1"/>
  <c r="R1231" i="5" s="1"/>
  <c r="P1230" i="5"/>
  <c r="Q1230" i="5" s="1"/>
  <c r="R1230" i="5" s="1"/>
  <c r="P1229" i="5"/>
  <c r="Q1229" i="5" s="1"/>
  <c r="R1229" i="5" s="1"/>
  <c r="P1228" i="5"/>
  <c r="Q1228" i="5" s="1"/>
  <c r="R1228" i="5" s="1"/>
  <c r="P1227" i="5"/>
  <c r="Q1227" i="5" s="1"/>
  <c r="R1227" i="5" s="1"/>
  <c r="P1226" i="5"/>
  <c r="Q1226" i="5" s="1"/>
  <c r="R1226" i="5" s="1"/>
  <c r="P1225" i="5"/>
  <c r="Q1225" i="5" s="1"/>
  <c r="R1225" i="5" s="1"/>
  <c r="P1224" i="5"/>
  <c r="Q1224" i="5" s="1"/>
  <c r="R1224" i="5" s="1"/>
  <c r="P1223" i="5"/>
  <c r="Q1223" i="5" s="1"/>
  <c r="R1223" i="5" s="1"/>
  <c r="P1222" i="5"/>
  <c r="Q1222" i="5" s="1"/>
  <c r="R1222" i="5" s="1"/>
  <c r="P1221" i="5"/>
  <c r="Q1221" i="5" s="1"/>
  <c r="R1221" i="5" s="1"/>
  <c r="P1220" i="5"/>
  <c r="Q1220" i="5" s="1"/>
  <c r="R1220" i="5" s="1"/>
  <c r="P1219" i="5"/>
  <c r="Q1219" i="5" s="1"/>
  <c r="R1219" i="5" s="1"/>
  <c r="P1218" i="5"/>
  <c r="Q1218" i="5" s="1"/>
  <c r="R1218" i="5" s="1"/>
  <c r="P1217" i="5"/>
  <c r="Q1217" i="5" s="1"/>
  <c r="R1217" i="5" s="1"/>
  <c r="P1216" i="5"/>
  <c r="Q1216" i="5" s="1"/>
  <c r="R1216" i="5" s="1"/>
  <c r="P1215" i="5"/>
  <c r="Q1215" i="5" s="1"/>
  <c r="R1215" i="5" s="1"/>
  <c r="P1214" i="5"/>
  <c r="Q1214" i="5" s="1"/>
  <c r="R1214" i="5" s="1"/>
  <c r="P1213" i="5"/>
  <c r="Q1213" i="5" s="1"/>
  <c r="R1213" i="5" s="1"/>
  <c r="P1212" i="5"/>
  <c r="Q1212" i="5" s="1"/>
  <c r="R1212" i="5" s="1"/>
  <c r="P1211" i="5"/>
  <c r="Q1211" i="5" s="1"/>
  <c r="R1211" i="5" s="1"/>
  <c r="R1210" i="5"/>
  <c r="P1210" i="5"/>
  <c r="Q1210" i="5" s="1"/>
  <c r="P1209" i="5"/>
  <c r="Q1209" i="5" s="1"/>
  <c r="R1209" i="5" s="1"/>
  <c r="P1208" i="5"/>
  <c r="Q1208" i="5" s="1"/>
  <c r="R1208" i="5" s="1"/>
  <c r="P1207" i="5"/>
  <c r="Q1207" i="5" s="1"/>
  <c r="R1207" i="5" s="1"/>
  <c r="P1206" i="5"/>
  <c r="Q1206" i="5" s="1"/>
  <c r="R1206" i="5" s="1"/>
  <c r="P1205" i="5"/>
  <c r="Q1205" i="5" s="1"/>
  <c r="R1205" i="5" s="1"/>
  <c r="P1204" i="5"/>
  <c r="Q1204" i="5" s="1"/>
  <c r="R1204" i="5" s="1"/>
  <c r="P1203" i="5"/>
  <c r="Q1203" i="5" s="1"/>
  <c r="R1203" i="5" s="1"/>
  <c r="P1202" i="5"/>
  <c r="Q1202" i="5" s="1"/>
  <c r="R1202" i="5" s="1"/>
  <c r="P1201" i="5"/>
  <c r="Q1201" i="5" s="1"/>
  <c r="R1201" i="5" s="1"/>
  <c r="P1200" i="5"/>
  <c r="Q1200" i="5" s="1"/>
  <c r="R1200" i="5" s="1"/>
  <c r="P1199" i="5"/>
  <c r="Q1199" i="5" s="1"/>
  <c r="R1199" i="5" s="1"/>
  <c r="P1198" i="5"/>
  <c r="Q1198" i="5" s="1"/>
  <c r="R1198" i="5" s="1"/>
  <c r="P1197" i="5"/>
  <c r="Q1197" i="5" s="1"/>
  <c r="R1197" i="5" s="1"/>
  <c r="P1196" i="5"/>
  <c r="Q1196" i="5" s="1"/>
  <c r="R1196" i="5" s="1"/>
  <c r="P1195" i="5"/>
  <c r="Q1195" i="5" s="1"/>
  <c r="R1195" i="5" s="1"/>
  <c r="P1194" i="5"/>
  <c r="Q1194" i="5" s="1"/>
  <c r="R1194" i="5" s="1"/>
  <c r="P1193" i="5"/>
  <c r="Q1193" i="5" s="1"/>
  <c r="R1193" i="5" s="1"/>
  <c r="P1192" i="5"/>
  <c r="Q1192" i="5" s="1"/>
  <c r="R1192" i="5" s="1"/>
  <c r="P1191" i="5"/>
  <c r="Q1191" i="5" s="1"/>
  <c r="R1191" i="5" s="1"/>
  <c r="P1190" i="5"/>
  <c r="Q1190" i="5" s="1"/>
  <c r="R1190" i="5" s="1"/>
  <c r="P1189" i="5"/>
  <c r="Q1189" i="5" s="1"/>
  <c r="R1189" i="5" s="1"/>
  <c r="P1188" i="5"/>
  <c r="Q1188" i="5" s="1"/>
  <c r="R1188" i="5" s="1"/>
  <c r="P1187" i="5"/>
  <c r="Q1187" i="5" s="1"/>
  <c r="R1187" i="5" s="1"/>
  <c r="P1186" i="5"/>
  <c r="Q1186" i="5" s="1"/>
  <c r="R1186" i="5" s="1"/>
  <c r="P1185" i="5"/>
  <c r="Q1185" i="5" s="1"/>
  <c r="R1185" i="5" s="1"/>
  <c r="P1184" i="5"/>
  <c r="Q1184" i="5" s="1"/>
  <c r="R1184" i="5" s="1"/>
  <c r="P1183" i="5"/>
  <c r="Q1183" i="5" s="1"/>
  <c r="R1183" i="5" s="1"/>
  <c r="P1182" i="5"/>
  <c r="Q1182" i="5" s="1"/>
  <c r="R1182" i="5" s="1"/>
  <c r="P1181" i="5"/>
  <c r="Q1181" i="5" s="1"/>
  <c r="R1181" i="5" s="1"/>
  <c r="P1180" i="5"/>
  <c r="Q1180" i="5" s="1"/>
  <c r="R1180" i="5" s="1"/>
  <c r="P1179" i="5"/>
  <c r="Q1179" i="5" s="1"/>
  <c r="R1179" i="5" s="1"/>
  <c r="P1178" i="5"/>
  <c r="Q1178" i="5" s="1"/>
  <c r="R1178" i="5" s="1"/>
  <c r="P1177" i="5"/>
  <c r="Q1177" i="5" s="1"/>
  <c r="R1177" i="5" s="1"/>
  <c r="P1176" i="5"/>
  <c r="Q1176" i="5" s="1"/>
  <c r="R1176" i="5" s="1"/>
  <c r="P1175" i="5"/>
  <c r="Q1175" i="5" s="1"/>
  <c r="R1175" i="5" s="1"/>
  <c r="P1174" i="5"/>
  <c r="Q1174" i="5" s="1"/>
  <c r="R1174" i="5" s="1"/>
  <c r="P1173" i="5"/>
  <c r="Q1173" i="5" s="1"/>
  <c r="R1173" i="5" s="1"/>
  <c r="P1172" i="5"/>
  <c r="Q1172" i="5" s="1"/>
  <c r="R1172" i="5" s="1"/>
  <c r="P1171" i="5"/>
  <c r="Q1171" i="5" s="1"/>
  <c r="R1171" i="5" s="1"/>
  <c r="P1170" i="5"/>
  <c r="Q1170" i="5" s="1"/>
  <c r="R1170" i="5" s="1"/>
  <c r="P1169" i="5"/>
  <c r="Q1169" i="5" s="1"/>
  <c r="R1169" i="5" s="1"/>
  <c r="Q1168" i="5"/>
  <c r="R1168" i="5" s="1"/>
  <c r="P1168" i="5"/>
  <c r="P1167" i="5"/>
  <c r="Q1167" i="5" s="1"/>
  <c r="R1167" i="5" s="1"/>
  <c r="P1166" i="5"/>
  <c r="Q1166" i="5" s="1"/>
  <c r="R1166" i="5" s="1"/>
  <c r="P1165" i="5"/>
  <c r="Q1165" i="5" s="1"/>
  <c r="R1165" i="5" s="1"/>
  <c r="P1164" i="5"/>
  <c r="Q1164" i="5" s="1"/>
  <c r="R1164" i="5" s="1"/>
  <c r="P1163" i="5"/>
  <c r="Q1163" i="5" s="1"/>
  <c r="R1163" i="5" s="1"/>
  <c r="P1162" i="5"/>
  <c r="Q1162" i="5" s="1"/>
  <c r="R1162" i="5" s="1"/>
  <c r="P1161" i="5"/>
  <c r="Q1161" i="5" s="1"/>
  <c r="R1161" i="5" s="1"/>
  <c r="P1160" i="5"/>
  <c r="Q1160" i="5" s="1"/>
  <c r="R1160" i="5" s="1"/>
  <c r="P1159" i="5"/>
  <c r="Q1159" i="5" s="1"/>
  <c r="R1159" i="5" s="1"/>
  <c r="P1158" i="5"/>
  <c r="Q1158" i="5" s="1"/>
  <c r="R1158" i="5" s="1"/>
  <c r="P1157" i="5"/>
  <c r="Q1157" i="5" s="1"/>
  <c r="R1157" i="5" s="1"/>
  <c r="P1156" i="5"/>
  <c r="Q1156" i="5" s="1"/>
  <c r="R1156" i="5" s="1"/>
  <c r="P1155" i="5"/>
  <c r="Q1155" i="5" s="1"/>
  <c r="R1155" i="5" s="1"/>
  <c r="P1154" i="5"/>
  <c r="Q1154" i="5" s="1"/>
  <c r="R1154" i="5" s="1"/>
  <c r="P1153" i="5"/>
  <c r="Q1153" i="5" s="1"/>
  <c r="R1153" i="5" s="1"/>
  <c r="P1152" i="5"/>
  <c r="Q1152" i="5" s="1"/>
  <c r="R1152" i="5" s="1"/>
  <c r="P1151" i="5"/>
  <c r="Q1151" i="5" s="1"/>
  <c r="R1151" i="5" s="1"/>
  <c r="P1150" i="5"/>
  <c r="Q1150" i="5" s="1"/>
  <c r="R1150" i="5" s="1"/>
  <c r="P1149" i="5"/>
  <c r="Q1149" i="5" s="1"/>
  <c r="R1149" i="5" s="1"/>
  <c r="P1148" i="5"/>
  <c r="Q1148" i="5" s="1"/>
  <c r="R1148" i="5" s="1"/>
  <c r="P1147" i="5"/>
  <c r="Q1147" i="5" s="1"/>
  <c r="R1147" i="5" s="1"/>
  <c r="P1146" i="5"/>
  <c r="Q1146" i="5" s="1"/>
  <c r="R1146" i="5" s="1"/>
  <c r="P1145" i="5"/>
  <c r="Q1145" i="5" s="1"/>
  <c r="R1145" i="5" s="1"/>
  <c r="P1144" i="5"/>
  <c r="Q1144" i="5" s="1"/>
  <c r="R1144" i="5" s="1"/>
  <c r="P1143" i="5"/>
  <c r="Q1143" i="5" s="1"/>
  <c r="R1143" i="5" s="1"/>
  <c r="P1142" i="5"/>
  <c r="Q1142" i="5" s="1"/>
  <c r="R1142" i="5" s="1"/>
  <c r="P1141" i="5"/>
  <c r="Q1141" i="5" s="1"/>
  <c r="R1141" i="5" s="1"/>
  <c r="P1140" i="5"/>
  <c r="Q1140" i="5" s="1"/>
  <c r="R1140" i="5" s="1"/>
  <c r="P1139" i="5"/>
  <c r="Q1139" i="5" s="1"/>
  <c r="R1139" i="5" s="1"/>
  <c r="P1138" i="5"/>
  <c r="Q1138" i="5" s="1"/>
  <c r="R1138" i="5" s="1"/>
  <c r="P1137" i="5"/>
  <c r="Q1137" i="5" s="1"/>
  <c r="R1137" i="5" s="1"/>
  <c r="P1136" i="5"/>
  <c r="Q1136" i="5" s="1"/>
  <c r="R1136" i="5" s="1"/>
  <c r="P1135" i="5"/>
  <c r="Q1135" i="5" s="1"/>
  <c r="R1135" i="5" s="1"/>
  <c r="P1134" i="5"/>
  <c r="Q1134" i="5" s="1"/>
  <c r="R1134" i="5" s="1"/>
  <c r="P1133" i="5"/>
  <c r="Q1133" i="5" s="1"/>
  <c r="R1133" i="5" s="1"/>
  <c r="P1132" i="5"/>
  <c r="Q1132" i="5" s="1"/>
  <c r="R1132" i="5" s="1"/>
  <c r="P1131" i="5"/>
  <c r="Q1131" i="5" s="1"/>
  <c r="R1131" i="5" s="1"/>
  <c r="P1130" i="5"/>
  <c r="Q1130" i="5" s="1"/>
  <c r="R1130" i="5" s="1"/>
  <c r="P1129" i="5"/>
  <c r="Q1129" i="5" s="1"/>
  <c r="R1129" i="5" s="1"/>
  <c r="P1128" i="5"/>
  <c r="Q1128" i="5" s="1"/>
  <c r="R1128" i="5" s="1"/>
  <c r="P1127" i="5"/>
  <c r="Q1127" i="5" s="1"/>
  <c r="R1127" i="5" s="1"/>
  <c r="P1126" i="5"/>
  <c r="Q1126" i="5" s="1"/>
  <c r="R1126" i="5" s="1"/>
  <c r="P1125" i="5"/>
  <c r="Q1125" i="5" s="1"/>
  <c r="R1125" i="5" s="1"/>
  <c r="P1124" i="5"/>
  <c r="Q1124" i="5" s="1"/>
  <c r="R1124" i="5" s="1"/>
  <c r="P1123" i="5"/>
  <c r="Q1123" i="5" s="1"/>
  <c r="R1123" i="5" s="1"/>
  <c r="P1122" i="5"/>
  <c r="Q1122" i="5" s="1"/>
  <c r="R1122" i="5" s="1"/>
  <c r="P1121" i="5"/>
  <c r="Q1121" i="5" s="1"/>
  <c r="R1121" i="5" s="1"/>
  <c r="P1120" i="5"/>
  <c r="Q1120" i="5" s="1"/>
  <c r="R1120" i="5" s="1"/>
  <c r="P1119" i="5"/>
  <c r="Q1119" i="5" s="1"/>
  <c r="R1119" i="5" s="1"/>
  <c r="P1118" i="5"/>
  <c r="Q1118" i="5" s="1"/>
  <c r="R1118" i="5" s="1"/>
  <c r="P1117" i="5"/>
  <c r="Q1117" i="5" s="1"/>
  <c r="R1117" i="5" s="1"/>
  <c r="P1116" i="5"/>
  <c r="Q1116" i="5" s="1"/>
  <c r="R1116" i="5" s="1"/>
  <c r="Q1115" i="5"/>
  <c r="R1115" i="5" s="1"/>
  <c r="P1115" i="5"/>
  <c r="P1114" i="5"/>
  <c r="Q1114" i="5" s="1"/>
  <c r="R1114" i="5" s="1"/>
  <c r="P1113" i="5"/>
  <c r="Q1113" i="5" s="1"/>
  <c r="R1113" i="5" s="1"/>
  <c r="P1112" i="5"/>
  <c r="Q1112" i="5" s="1"/>
  <c r="R1112" i="5" s="1"/>
  <c r="P1111" i="5"/>
  <c r="Q1111" i="5" s="1"/>
  <c r="R1111" i="5" s="1"/>
  <c r="P1110" i="5"/>
  <c r="Q1110" i="5" s="1"/>
  <c r="R1110" i="5" s="1"/>
  <c r="P1109" i="5"/>
  <c r="Q1109" i="5" s="1"/>
  <c r="R1109" i="5" s="1"/>
  <c r="P1108" i="5"/>
  <c r="Q1108" i="5" s="1"/>
  <c r="R1108" i="5" s="1"/>
  <c r="P1107" i="5"/>
  <c r="Q1107" i="5" s="1"/>
  <c r="R1107" i="5" s="1"/>
  <c r="P1106" i="5"/>
  <c r="Q1106" i="5" s="1"/>
  <c r="R1106" i="5" s="1"/>
  <c r="P1105" i="5"/>
  <c r="Q1105" i="5" s="1"/>
  <c r="R1105" i="5" s="1"/>
  <c r="P1104" i="5"/>
  <c r="Q1104" i="5" s="1"/>
  <c r="R1104" i="5" s="1"/>
  <c r="P1103" i="5"/>
  <c r="Q1103" i="5" s="1"/>
  <c r="R1103" i="5" s="1"/>
  <c r="P1102" i="5"/>
  <c r="Q1102" i="5" s="1"/>
  <c r="R1102" i="5" s="1"/>
  <c r="P1101" i="5"/>
  <c r="Q1101" i="5" s="1"/>
  <c r="R1101" i="5" s="1"/>
  <c r="P1100" i="5"/>
  <c r="Q1100" i="5" s="1"/>
  <c r="R1100" i="5" s="1"/>
  <c r="P1099" i="5"/>
  <c r="Q1099" i="5" s="1"/>
  <c r="R1099" i="5" s="1"/>
  <c r="P1098" i="5"/>
  <c r="Q1098" i="5" s="1"/>
  <c r="R1098" i="5" s="1"/>
  <c r="P1097" i="5"/>
  <c r="Q1097" i="5" s="1"/>
  <c r="R1097" i="5" s="1"/>
  <c r="P1096" i="5"/>
  <c r="Q1096" i="5" s="1"/>
  <c r="R1096" i="5" s="1"/>
  <c r="P1095" i="5"/>
  <c r="Q1095" i="5" s="1"/>
  <c r="R1095" i="5" s="1"/>
  <c r="P1094" i="5"/>
  <c r="Q1094" i="5" s="1"/>
  <c r="R1094" i="5" s="1"/>
  <c r="P1093" i="5"/>
  <c r="Q1093" i="5" s="1"/>
  <c r="R1093" i="5" s="1"/>
  <c r="P1092" i="5"/>
  <c r="Q1092" i="5" s="1"/>
  <c r="R1092" i="5" s="1"/>
  <c r="P1091" i="5"/>
  <c r="Q1091" i="5" s="1"/>
  <c r="R1091" i="5" s="1"/>
  <c r="P1090" i="5"/>
  <c r="Q1090" i="5" s="1"/>
  <c r="R1090" i="5" s="1"/>
  <c r="P1089" i="5"/>
  <c r="Q1089" i="5" s="1"/>
  <c r="R1089" i="5" s="1"/>
  <c r="P1088" i="5"/>
  <c r="Q1088" i="5" s="1"/>
  <c r="R1088" i="5" s="1"/>
  <c r="P1087" i="5"/>
  <c r="Q1087" i="5" s="1"/>
  <c r="R1087" i="5" s="1"/>
  <c r="P1086" i="5"/>
  <c r="Q1086" i="5" s="1"/>
  <c r="R1086" i="5" s="1"/>
  <c r="P1085" i="5"/>
  <c r="Q1085" i="5" s="1"/>
  <c r="R1085" i="5" s="1"/>
  <c r="P1084" i="5"/>
  <c r="Q1084" i="5" s="1"/>
  <c r="R1084" i="5" s="1"/>
  <c r="P1083" i="5"/>
  <c r="Q1083" i="5" s="1"/>
  <c r="R1083" i="5" s="1"/>
  <c r="P1082" i="5"/>
  <c r="Q1082" i="5" s="1"/>
  <c r="R1082" i="5" s="1"/>
  <c r="P1081" i="5"/>
  <c r="Q1081" i="5" s="1"/>
  <c r="R1081" i="5" s="1"/>
  <c r="P1080" i="5"/>
  <c r="Q1080" i="5" s="1"/>
  <c r="R1080" i="5" s="1"/>
  <c r="P1079" i="5"/>
  <c r="Q1079" i="5" s="1"/>
  <c r="R1079" i="5" s="1"/>
  <c r="P1078" i="5"/>
  <c r="Q1078" i="5" s="1"/>
  <c r="R1078" i="5" s="1"/>
  <c r="P1077" i="5"/>
  <c r="Q1077" i="5" s="1"/>
  <c r="R1077" i="5" s="1"/>
  <c r="P1076" i="5"/>
  <c r="Q1076" i="5" s="1"/>
  <c r="R1076" i="5" s="1"/>
  <c r="P1075" i="5"/>
  <c r="Q1075" i="5" s="1"/>
  <c r="R1075" i="5" s="1"/>
  <c r="P1074" i="5"/>
  <c r="Q1074" i="5" s="1"/>
  <c r="R1074" i="5" s="1"/>
  <c r="P1073" i="5"/>
  <c r="Q1073" i="5" s="1"/>
  <c r="R1073" i="5" s="1"/>
  <c r="P1072" i="5"/>
  <c r="Q1072" i="5" s="1"/>
  <c r="R1072" i="5" s="1"/>
  <c r="P1071" i="5"/>
  <c r="Q1071" i="5" s="1"/>
  <c r="R1071" i="5" s="1"/>
  <c r="P1070" i="5"/>
  <c r="Q1070" i="5" s="1"/>
  <c r="R1070" i="5" s="1"/>
  <c r="P1069" i="5"/>
  <c r="Q1069" i="5" s="1"/>
  <c r="R1069" i="5" s="1"/>
  <c r="P1068" i="5"/>
  <c r="Q1068" i="5" s="1"/>
  <c r="R1068" i="5" s="1"/>
  <c r="P1067" i="5"/>
  <c r="Q1067" i="5" s="1"/>
  <c r="R1067" i="5" s="1"/>
  <c r="P1066" i="5"/>
  <c r="Q1066" i="5" s="1"/>
  <c r="R1066" i="5" s="1"/>
  <c r="P1065" i="5"/>
  <c r="Q1065" i="5" s="1"/>
  <c r="R1065" i="5" s="1"/>
  <c r="P1064" i="5"/>
  <c r="Q1064" i="5" s="1"/>
  <c r="R1064" i="5" s="1"/>
  <c r="P1063" i="5"/>
  <c r="Q1063" i="5" s="1"/>
  <c r="R1063" i="5" s="1"/>
  <c r="P1062" i="5"/>
  <c r="Q1062" i="5" s="1"/>
  <c r="R1062" i="5" s="1"/>
  <c r="P1061" i="5"/>
  <c r="Q1061" i="5" s="1"/>
  <c r="R1061" i="5" s="1"/>
  <c r="P1060" i="5"/>
  <c r="Q1060" i="5" s="1"/>
  <c r="R1060" i="5" s="1"/>
  <c r="P1059" i="5"/>
  <c r="Q1059" i="5" s="1"/>
  <c r="R1059" i="5" s="1"/>
  <c r="P1058" i="5"/>
  <c r="Q1058" i="5" s="1"/>
  <c r="R1058" i="5" s="1"/>
  <c r="P1057" i="5"/>
  <c r="Q1057" i="5" s="1"/>
  <c r="R1057" i="5" s="1"/>
  <c r="P1056" i="5"/>
  <c r="Q1056" i="5" s="1"/>
  <c r="R1056" i="5" s="1"/>
  <c r="P1055" i="5"/>
  <c r="Q1055" i="5" s="1"/>
  <c r="R1055" i="5" s="1"/>
  <c r="P1054" i="5"/>
  <c r="Q1054" i="5" s="1"/>
  <c r="R1054" i="5" s="1"/>
  <c r="P1053" i="5"/>
  <c r="Q1053" i="5" s="1"/>
  <c r="R1053" i="5" s="1"/>
  <c r="P1052" i="5"/>
  <c r="Q1052" i="5" s="1"/>
  <c r="R1052" i="5" s="1"/>
  <c r="P1051" i="5"/>
  <c r="Q1051" i="5" s="1"/>
  <c r="R1051" i="5" s="1"/>
  <c r="P1050" i="5"/>
  <c r="Q1050" i="5" s="1"/>
  <c r="R1050" i="5" s="1"/>
  <c r="P1049" i="5"/>
  <c r="Q1049" i="5" s="1"/>
  <c r="R1049" i="5" s="1"/>
  <c r="P1048" i="5"/>
  <c r="Q1048" i="5" s="1"/>
  <c r="R1048" i="5" s="1"/>
  <c r="P1047" i="5"/>
  <c r="Q1047" i="5" s="1"/>
  <c r="R1047" i="5" s="1"/>
  <c r="P1046" i="5"/>
  <c r="Q1046" i="5" s="1"/>
  <c r="R1046" i="5" s="1"/>
  <c r="P1045" i="5"/>
  <c r="Q1045" i="5" s="1"/>
  <c r="R1045" i="5" s="1"/>
  <c r="P1044" i="5"/>
  <c r="Q1044" i="5" s="1"/>
  <c r="R1044" i="5" s="1"/>
  <c r="P1043" i="5"/>
  <c r="Q1043" i="5" s="1"/>
  <c r="R1043" i="5" s="1"/>
  <c r="P1042" i="5"/>
  <c r="Q1042" i="5" s="1"/>
  <c r="R1042" i="5" s="1"/>
  <c r="P1041" i="5"/>
  <c r="Q1041" i="5" s="1"/>
  <c r="R1041" i="5" s="1"/>
  <c r="P1040" i="5"/>
  <c r="Q1040" i="5" s="1"/>
  <c r="R1040" i="5" s="1"/>
  <c r="P1039" i="5"/>
  <c r="Q1039" i="5" s="1"/>
  <c r="R1039" i="5" s="1"/>
  <c r="P1038" i="5"/>
  <c r="Q1038" i="5" s="1"/>
  <c r="R1038" i="5" s="1"/>
  <c r="P1037" i="5"/>
  <c r="Q1037" i="5" s="1"/>
  <c r="R1037" i="5" s="1"/>
  <c r="P1036" i="5"/>
  <c r="Q1036" i="5" s="1"/>
  <c r="R1036" i="5" s="1"/>
  <c r="P1035" i="5"/>
  <c r="Q1035" i="5" s="1"/>
  <c r="R1035" i="5" s="1"/>
  <c r="P1034" i="5"/>
  <c r="Q1034" i="5" s="1"/>
  <c r="R1034" i="5" s="1"/>
  <c r="P1033" i="5"/>
  <c r="Q1033" i="5" s="1"/>
  <c r="R1033" i="5" s="1"/>
  <c r="P1032" i="5"/>
  <c r="Q1032" i="5" s="1"/>
  <c r="R1032" i="5" s="1"/>
  <c r="P1031" i="5"/>
  <c r="Q1031" i="5" s="1"/>
  <c r="R1031" i="5" s="1"/>
  <c r="P1030" i="5"/>
  <c r="Q1030" i="5" s="1"/>
  <c r="R1030" i="5" s="1"/>
  <c r="P1029" i="5"/>
  <c r="Q1029" i="5" s="1"/>
  <c r="R1029" i="5" s="1"/>
  <c r="P1028" i="5"/>
  <c r="Q1028" i="5" s="1"/>
  <c r="R1028" i="5" s="1"/>
  <c r="P1027" i="5"/>
  <c r="Q1027" i="5" s="1"/>
  <c r="R1027" i="5" s="1"/>
  <c r="P1026" i="5"/>
  <c r="Q1026" i="5" s="1"/>
  <c r="R1026" i="5" s="1"/>
  <c r="P1025" i="5"/>
  <c r="Q1025" i="5" s="1"/>
  <c r="R1025" i="5" s="1"/>
  <c r="P1024" i="5"/>
  <c r="Q1024" i="5" s="1"/>
  <c r="R1024" i="5" s="1"/>
  <c r="P1023" i="5"/>
  <c r="Q1023" i="5" s="1"/>
  <c r="R1023" i="5" s="1"/>
  <c r="P1022" i="5"/>
  <c r="Q1022" i="5" s="1"/>
  <c r="R1022" i="5" s="1"/>
  <c r="P1021" i="5"/>
  <c r="Q1021" i="5" s="1"/>
  <c r="R1021" i="5" s="1"/>
  <c r="P1020" i="5"/>
  <c r="Q1020" i="5" s="1"/>
  <c r="R1020" i="5" s="1"/>
  <c r="P1019" i="5"/>
  <c r="Q1019" i="5" s="1"/>
  <c r="R1019" i="5" s="1"/>
  <c r="P1018" i="5"/>
  <c r="Q1018" i="5" s="1"/>
  <c r="R1018" i="5" s="1"/>
  <c r="P1017" i="5"/>
  <c r="Q1017" i="5" s="1"/>
  <c r="R1017" i="5" s="1"/>
  <c r="P1016" i="5"/>
  <c r="Q1016" i="5" s="1"/>
  <c r="R1016" i="5" s="1"/>
  <c r="P1015" i="5"/>
  <c r="Q1015" i="5" s="1"/>
  <c r="R1015" i="5" s="1"/>
  <c r="P1014" i="5"/>
  <c r="Q1014" i="5" s="1"/>
  <c r="R1014" i="5" s="1"/>
  <c r="P1013" i="5"/>
  <c r="Q1013" i="5" s="1"/>
  <c r="R1013" i="5" s="1"/>
  <c r="P1012" i="5"/>
  <c r="Q1012" i="5" s="1"/>
  <c r="R1012" i="5" s="1"/>
  <c r="P1011" i="5"/>
  <c r="Q1011" i="5" s="1"/>
  <c r="R1011" i="5" s="1"/>
  <c r="P1010" i="5"/>
  <c r="Q1010" i="5" s="1"/>
  <c r="R1010" i="5" s="1"/>
  <c r="P1009" i="5"/>
  <c r="Q1009" i="5" s="1"/>
  <c r="R1009" i="5" s="1"/>
  <c r="P1008" i="5"/>
  <c r="Q1008" i="5" s="1"/>
  <c r="R1008" i="5" s="1"/>
  <c r="P1007" i="5"/>
  <c r="Q1007" i="5" s="1"/>
  <c r="R1007" i="5" s="1"/>
  <c r="P1006" i="5"/>
  <c r="Q1006" i="5" s="1"/>
  <c r="R1006" i="5" s="1"/>
  <c r="P1005" i="5"/>
  <c r="Q1005" i="5" s="1"/>
  <c r="R1005" i="5" s="1"/>
  <c r="P1004" i="5"/>
  <c r="Q1004" i="5" s="1"/>
  <c r="R1004" i="5" s="1"/>
  <c r="P1003" i="5"/>
  <c r="Q1003" i="5" s="1"/>
  <c r="R1003" i="5" s="1"/>
  <c r="P1002" i="5"/>
  <c r="Q1002" i="5" s="1"/>
  <c r="R1002" i="5" s="1"/>
  <c r="P1001" i="5"/>
  <c r="Q1001" i="5" s="1"/>
  <c r="R1001" i="5" s="1"/>
  <c r="P1000" i="5"/>
  <c r="Q1000" i="5" s="1"/>
  <c r="R1000" i="5" s="1"/>
  <c r="P999" i="5"/>
  <c r="Q999" i="5" s="1"/>
  <c r="R999" i="5" s="1"/>
  <c r="P998" i="5"/>
  <c r="Q998" i="5" s="1"/>
  <c r="R998" i="5" s="1"/>
  <c r="P997" i="5"/>
  <c r="Q997" i="5" s="1"/>
  <c r="R997" i="5" s="1"/>
  <c r="P996" i="5"/>
  <c r="Q996" i="5" s="1"/>
  <c r="R996" i="5" s="1"/>
  <c r="P995" i="5"/>
  <c r="Q995" i="5" s="1"/>
  <c r="R995" i="5" s="1"/>
  <c r="P994" i="5"/>
  <c r="Q994" i="5" s="1"/>
  <c r="R994" i="5" s="1"/>
  <c r="P993" i="5"/>
  <c r="Q993" i="5" s="1"/>
  <c r="R993" i="5" s="1"/>
  <c r="P992" i="5"/>
  <c r="Q992" i="5" s="1"/>
  <c r="R992" i="5" s="1"/>
  <c r="P991" i="5"/>
  <c r="Q991" i="5" s="1"/>
  <c r="R991" i="5" s="1"/>
  <c r="P990" i="5"/>
  <c r="Q990" i="5" s="1"/>
  <c r="R990" i="5" s="1"/>
  <c r="P989" i="5"/>
  <c r="Q989" i="5" s="1"/>
  <c r="R989" i="5" s="1"/>
  <c r="P988" i="5"/>
  <c r="Q988" i="5" s="1"/>
  <c r="R988" i="5" s="1"/>
  <c r="P987" i="5"/>
  <c r="Q987" i="5" s="1"/>
  <c r="R987" i="5" s="1"/>
  <c r="P986" i="5"/>
  <c r="Q986" i="5" s="1"/>
  <c r="R986" i="5" s="1"/>
  <c r="P985" i="5"/>
  <c r="Q985" i="5" s="1"/>
  <c r="R985" i="5" s="1"/>
  <c r="P984" i="5"/>
  <c r="Q984" i="5" s="1"/>
  <c r="R984" i="5" s="1"/>
  <c r="P983" i="5"/>
  <c r="Q983" i="5" s="1"/>
  <c r="R983" i="5" s="1"/>
  <c r="P982" i="5"/>
  <c r="Q982" i="5" s="1"/>
  <c r="R982" i="5" s="1"/>
  <c r="P981" i="5"/>
  <c r="Q981" i="5" s="1"/>
  <c r="R981" i="5" s="1"/>
  <c r="P980" i="5"/>
  <c r="Q980" i="5" s="1"/>
  <c r="R980" i="5" s="1"/>
  <c r="P979" i="5"/>
  <c r="Q979" i="5" s="1"/>
  <c r="R979" i="5" s="1"/>
  <c r="P978" i="5"/>
  <c r="Q978" i="5" s="1"/>
  <c r="R978" i="5" s="1"/>
  <c r="P977" i="5"/>
  <c r="Q977" i="5" s="1"/>
  <c r="R977" i="5" s="1"/>
  <c r="P976" i="5"/>
  <c r="Q976" i="5" s="1"/>
  <c r="R976" i="5" s="1"/>
  <c r="P975" i="5"/>
  <c r="Q975" i="5" s="1"/>
  <c r="R975" i="5" s="1"/>
  <c r="P974" i="5"/>
  <c r="Q974" i="5" s="1"/>
  <c r="R974" i="5" s="1"/>
  <c r="P973" i="5"/>
  <c r="Q973" i="5" s="1"/>
  <c r="R973" i="5" s="1"/>
  <c r="P972" i="5"/>
  <c r="Q972" i="5" s="1"/>
  <c r="R972" i="5" s="1"/>
  <c r="P971" i="5"/>
  <c r="Q971" i="5" s="1"/>
  <c r="R971" i="5" s="1"/>
  <c r="P970" i="5"/>
  <c r="Q970" i="5" s="1"/>
  <c r="R970" i="5" s="1"/>
  <c r="P969" i="5"/>
  <c r="Q969" i="5" s="1"/>
  <c r="R969" i="5" s="1"/>
  <c r="P968" i="5"/>
  <c r="Q968" i="5" s="1"/>
  <c r="R968" i="5" s="1"/>
  <c r="P967" i="5"/>
  <c r="Q967" i="5" s="1"/>
  <c r="R967" i="5" s="1"/>
  <c r="P966" i="5"/>
  <c r="Q966" i="5" s="1"/>
  <c r="R966" i="5" s="1"/>
  <c r="P965" i="5"/>
  <c r="Q965" i="5" s="1"/>
  <c r="R965" i="5" s="1"/>
  <c r="P964" i="5"/>
  <c r="Q964" i="5" s="1"/>
  <c r="R964" i="5" s="1"/>
  <c r="P963" i="5"/>
  <c r="Q963" i="5" s="1"/>
  <c r="R963" i="5" s="1"/>
  <c r="P962" i="5"/>
  <c r="Q962" i="5" s="1"/>
  <c r="R962" i="5" s="1"/>
  <c r="P961" i="5"/>
  <c r="Q961" i="5" s="1"/>
  <c r="R961" i="5" s="1"/>
  <c r="P960" i="5"/>
  <c r="Q960" i="5" s="1"/>
  <c r="R960" i="5" s="1"/>
  <c r="P959" i="5"/>
  <c r="Q959" i="5" s="1"/>
  <c r="R959" i="5" s="1"/>
  <c r="P958" i="5"/>
  <c r="Q958" i="5" s="1"/>
  <c r="R958" i="5" s="1"/>
  <c r="P957" i="5"/>
  <c r="Q957" i="5" s="1"/>
  <c r="R957" i="5" s="1"/>
  <c r="P956" i="5"/>
  <c r="Q956" i="5" s="1"/>
  <c r="R956" i="5" s="1"/>
  <c r="P955" i="5"/>
  <c r="Q955" i="5" s="1"/>
  <c r="R955" i="5" s="1"/>
  <c r="P954" i="5"/>
  <c r="Q954" i="5" s="1"/>
  <c r="R954" i="5" s="1"/>
  <c r="P953" i="5"/>
  <c r="Q953" i="5" s="1"/>
  <c r="R953" i="5" s="1"/>
  <c r="P952" i="5"/>
  <c r="Q952" i="5" s="1"/>
  <c r="R952" i="5" s="1"/>
  <c r="P951" i="5"/>
  <c r="Q951" i="5" s="1"/>
  <c r="R951" i="5" s="1"/>
  <c r="P950" i="5"/>
  <c r="Q950" i="5" s="1"/>
  <c r="R950" i="5" s="1"/>
  <c r="P949" i="5"/>
  <c r="Q949" i="5" s="1"/>
  <c r="R949" i="5" s="1"/>
  <c r="P948" i="5"/>
  <c r="Q948" i="5" s="1"/>
  <c r="R948" i="5" s="1"/>
  <c r="P947" i="5"/>
  <c r="Q947" i="5" s="1"/>
  <c r="R947" i="5" s="1"/>
  <c r="P946" i="5"/>
  <c r="Q946" i="5" s="1"/>
  <c r="R946" i="5" s="1"/>
  <c r="P945" i="5"/>
  <c r="Q945" i="5" s="1"/>
  <c r="R945" i="5" s="1"/>
  <c r="P944" i="5"/>
  <c r="Q944" i="5" s="1"/>
  <c r="R944" i="5" s="1"/>
  <c r="P943" i="5"/>
  <c r="Q943" i="5" s="1"/>
  <c r="R943" i="5" s="1"/>
  <c r="P942" i="5"/>
  <c r="Q942" i="5" s="1"/>
  <c r="R942" i="5" s="1"/>
  <c r="P941" i="5"/>
  <c r="Q941" i="5" s="1"/>
  <c r="R941" i="5" s="1"/>
  <c r="P940" i="5"/>
  <c r="Q940" i="5" s="1"/>
  <c r="R940" i="5" s="1"/>
  <c r="P939" i="5"/>
  <c r="Q939" i="5" s="1"/>
  <c r="R939" i="5" s="1"/>
  <c r="P938" i="5"/>
  <c r="Q938" i="5" s="1"/>
  <c r="R938" i="5" s="1"/>
  <c r="P937" i="5"/>
  <c r="Q937" i="5" s="1"/>
  <c r="R937" i="5" s="1"/>
  <c r="P936" i="5"/>
  <c r="Q936" i="5" s="1"/>
  <c r="R936" i="5" s="1"/>
  <c r="P935" i="5"/>
  <c r="Q935" i="5" s="1"/>
  <c r="R935" i="5" s="1"/>
  <c r="P934" i="5"/>
  <c r="Q934" i="5" s="1"/>
  <c r="R934" i="5" s="1"/>
  <c r="P933" i="5"/>
  <c r="Q933" i="5" s="1"/>
  <c r="R933" i="5" s="1"/>
  <c r="P932" i="5"/>
  <c r="Q932" i="5" s="1"/>
  <c r="R932" i="5" s="1"/>
  <c r="P931" i="5"/>
  <c r="Q931" i="5" s="1"/>
  <c r="R931" i="5" s="1"/>
  <c r="P930" i="5"/>
  <c r="Q930" i="5" s="1"/>
  <c r="R930" i="5" s="1"/>
  <c r="P929" i="5"/>
  <c r="Q929" i="5" s="1"/>
  <c r="R929" i="5" s="1"/>
  <c r="P928" i="5"/>
  <c r="Q928" i="5" s="1"/>
  <c r="R928" i="5" s="1"/>
  <c r="P927" i="5"/>
  <c r="Q927" i="5" s="1"/>
  <c r="R927" i="5" s="1"/>
  <c r="P926" i="5"/>
  <c r="Q926" i="5" s="1"/>
  <c r="R926" i="5" s="1"/>
  <c r="P925" i="5"/>
  <c r="Q925" i="5" s="1"/>
  <c r="R925" i="5" s="1"/>
  <c r="P924" i="5"/>
  <c r="Q924" i="5" s="1"/>
  <c r="R924" i="5" s="1"/>
  <c r="P923" i="5"/>
  <c r="Q923" i="5" s="1"/>
  <c r="R923" i="5" s="1"/>
  <c r="P922" i="5"/>
  <c r="Q922" i="5" s="1"/>
  <c r="R922" i="5" s="1"/>
  <c r="P921" i="5"/>
  <c r="Q921" i="5" s="1"/>
  <c r="R921" i="5" s="1"/>
  <c r="P920" i="5"/>
  <c r="Q920" i="5" s="1"/>
  <c r="R920" i="5" s="1"/>
  <c r="P919" i="5"/>
  <c r="Q919" i="5" s="1"/>
  <c r="R919" i="5" s="1"/>
  <c r="P918" i="5"/>
  <c r="Q918" i="5" s="1"/>
  <c r="R918" i="5" s="1"/>
  <c r="P917" i="5"/>
  <c r="Q917" i="5" s="1"/>
  <c r="R917" i="5" s="1"/>
  <c r="P916" i="5"/>
  <c r="Q916" i="5" s="1"/>
  <c r="R916" i="5" s="1"/>
  <c r="P915" i="5"/>
  <c r="Q915" i="5" s="1"/>
  <c r="R915" i="5" s="1"/>
  <c r="P914" i="5"/>
  <c r="Q914" i="5" s="1"/>
  <c r="R914" i="5" s="1"/>
  <c r="P913" i="5"/>
  <c r="Q913" i="5" s="1"/>
  <c r="R913" i="5" s="1"/>
  <c r="P912" i="5"/>
  <c r="Q912" i="5" s="1"/>
  <c r="R912" i="5" s="1"/>
  <c r="P911" i="5"/>
  <c r="Q911" i="5" s="1"/>
  <c r="R911" i="5" s="1"/>
  <c r="P910" i="5"/>
  <c r="Q910" i="5" s="1"/>
  <c r="R910" i="5" s="1"/>
  <c r="Q909" i="5"/>
  <c r="R909" i="5" s="1"/>
  <c r="P909" i="5"/>
  <c r="P908" i="5"/>
  <c r="Q908" i="5" s="1"/>
  <c r="R908" i="5" s="1"/>
  <c r="P907" i="5"/>
  <c r="Q907" i="5" s="1"/>
  <c r="R907" i="5" s="1"/>
  <c r="P906" i="5"/>
  <c r="Q906" i="5" s="1"/>
  <c r="R906" i="5" s="1"/>
  <c r="P905" i="5"/>
  <c r="Q905" i="5" s="1"/>
  <c r="R905" i="5" s="1"/>
  <c r="P904" i="5"/>
  <c r="Q904" i="5" s="1"/>
  <c r="R904" i="5" s="1"/>
  <c r="P903" i="5"/>
  <c r="Q903" i="5" s="1"/>
  <c r="R903" i="5" s="1"/>
  <c r="P902" i="5"/>
  <c r="Q902" i="5" s="1"/>
  <c r="R902" i="5" s="1"/>
  <c r="P901" i="5"/>
  <c r="Q901" i="5" s="1"/>
  <c r="R901" i="5" s="1"/>
  <c r="P900" i="5"/>
  <c r="Q900" i="5" s="1"/>
  <c r="R900" i="5" s="1"/>
  <c r="P899" i="5"/>
  <c r="Q899" i="5" s="1"/>
  <c r="R899" i="5" s="1"/>
  <c r="P898" i="5"/>
  <c r="Q898" i="5" s="1"/>
  <c r="R898" i="5" s="1"/>
  <c r="P897" i="5"/>
  <c r="Q897" i="5" s="1"/>
  <c r="R897" i="5" s="1"/>
  <c r="P896" i="5"/>
  <c r="Q896" i="5" s="1"/>
  <c r="R896" i="5" s="1"/>
  <c r="P895" i="5"/>
  <c r="Q895" i="5" s="1"/>
  <c r="R895" i="5" s="1"/>
  <c r="P894" i="5"/>
  <c r="Q894" i="5" s="1"/>
  <c r="R894" i="5" s="1"/>
  <c r="P893" i="5"/>
  <c r="Q893" i="5" s="1"/>
  <c r="R893" i="5" s="1"/>
  <c r="P892" i="5"/>
  <c r="Q892" i="5" s="1"/>
  <c r="R892" i="5" s="1"/>
  <c r="P891" i="5"/>
  <c r="Q891" i="5" s="1"/>
  <c r="R891" i="5" s="1"/>
  <c r="P890" i="5"/>
  <c r="Q890" i="5" s="1"/>
  <c r="R890" i="5" s="1"/>
  <c r="P889" i="5"/>
  <c r="Q889" i="5" s="1"/>
  <c r="R889" i="5" s="1"/>
  <c r="P888" i="5"/>
  <c r="Q888" i="5" s="1"/>
  <c r="R888" i="5" s="1"/>
  <c r="P887" i="5"/>
  <c r="Q887" i="5" s="1"/>
  <c r="R887" i="5" s="1"/>
  <c r="P886" i="5"/>
  <c r="Q886" i="5" s="1"/>
  <c r="R886" i="5" s="1"/>
  <c r="P885" i="5"/>
  <c r="Q885" i="5" s="1"/>
  <c r="R885" i="5" s="1"/>
  <c r="P884" i="5"/>
  <c r="Q884" i="5" s="1"/>
  <c r="R884" i="5" s="1"/>
  <c r="P883" i="5"/>
  <c r="Q883" i="5" s="1"/>
  <c r="R883" i="5" s="1"/>
  <c r="P882" i="5"/>
  <c r="Q882" i="5" s="1"/>
  <c r="R882" i="5" s="1"/>
  <c r="P881" i="5"/>
  <c r="Q881" i="5" s="1"/>
  <c r="R881" i="5" s="1"/>
  <c r="P880" i="5"/>
  <c r="Q880" i="5" s="1"/>
  <c r="R880" i="5" s="1"/>
  <c r="P879" i="5"/>
  <c r="Q879" i="5" s="1"/>
  <c r="R879" i="5" s="1"/>
  <c r="P878" i="5"/>
  <c r="Q878" i="5" s="1"/>
  <c r="R878" i="5" s="1"/>
  <c r="P877" i="5"/>
  <c r="Q877" i="5" s="1"/>
  <c r="R877" i="5" s="1"/>
  <c r="P876" i="5"/>
  <c r="Q876" i="5" s="1"/>
  <c r="R876" i="5" s="1"/>
  <c r="P875" i="5"/>
  <c r="Q875" i="5" s="1"/>
  <c r="R875" i="5" s="1"/>
  <c r="Q874" i="5"/>
  <c r="R874" i="5" s="1"/>
  <c r="P874" i="5"/>
  <c r="Q873" i="5"/>
  <c r="R873" i="5" s="1"/>
  <c r="P873" i="5"/>
  <c r="P872" i="5"/>
  <c r="Q872" i="5" s="1"/>
  <c r="R872" i="5" s="1"/>
  <c r="P871" i="5"/>
  <c r="Q871" i="5" s="1"/>
  <c r="R871" i="5" s="1"/>
  <c r="P870" i="5"/>
  <c r="Q870" i="5" s="1"/>
  <c r="R870" i="5" s="1"/>
  <c r="P869" i="5"/>
  <c r="Q869" i="5" s="1"/>
  <c r="R869" i="5" s="1"/>
  <c r="Q868" i="5"/>
  <c r="R868" i="5" s="1"/>
  <c r="P868" i="5"/>
  <c r="P867" i="5"/>
  <c r="Q867" i="5" s="1"/>
  <c r="R867" i="5" s="1"/>
  <c r="P866" i="5"/>
  <c r="Q866" i="5" s="1"/>
  <c r="R866" i="5" s="1"/>
  <c r="P865" i="5"/>
  <c r="Q865" i="5" s="1"/>
  <c r="R865" i="5" s="1"/>
  <c r="P864" i="5"/>
  <c r="Q864" i="5" s="1"/>
  <c r="R864" i="5" s="1"/>
  <c r="P863" i="5"/>
  <c r="Q863" i="5" s="1"/>
  <c r="R863" i="5" s="1"/>
  <c r="P862" i="5"/>
  <c r="Q862" i="5" s="1"/>
  <c r="R862" i="5" s="1"/>
  <c r="P861" i="5"/>
  <c r="Q861" i="5" s="1"/>
  <c r="R861" i="5" s="1"/>
  <c r="P860" i="5"/>
  <c r="Q860" i="5" s="1"/>
  <c r="R860" i="5" s="1"/>
  <c r="P859" i="5"/>
  <c r="Q859" i="5" s="1"/>
  <c r="R859" i="5" s="1"/>
  <c r="P858" i="5"/>
  <c r="Q858" i="5" s="1"/>
  <c r="R858" i="5" s="1"/>
  <c r="P857" i="5"/>
  <c r="Q857" i="5" s="1"/>
  <c r="R857" i="5" s="1"/>
  <c r="P856" i="5"/>
  <c r="Q856" i="5" s="1"/>
  <c r="R856" i="5" s="1"/>
  <c r="P855" i="5"/>
  <c r="Q855" i="5" s="1"/>
  <c r="R855" i="5" s="1"/>
  <c r="P854" i="5"/>
  <c r="Q854" i="5" s="1"/>
  <c r="R854" i="5" s="1"/>
  <c r="P853" i="5"/>
  <c r="Q853" i="5" s="1"/>
  <c r="R853" i="5" s="1"/>
  <c r="P852" i="5"/>
  <c r="Q852" i="5" s="1"/>
  <c r="R852" i="5" s="1"/>
  <c r="P851" i="5"/>
  <c r="Q851" i="5" s="1"/>
  <c r="R851" i="5" s="1"/>
  <c r="P850" i="5"/>
  <c r="Q850" i="5" s="1"/>
  <c r="R850" i="5" s="1"/>
  <c r="P849" i="5"/>
  <c r="Q849" i="5" s="1"/>
  <c r="R849" i="5" s="1"/>
  <c r="P848" i="5"/>
  <c r="Q848" i="5" s="1"/>
  <c r="R848" i="5" s="1"/>
  <c r="P847" i="5"/>
  <c r="Q847" i="5" s="1"/>
  <c r="R847" i="5" s="1"/>
  <c r="P846" i="5"/>
  <c r="Q846" i="5" s="1"/>
  <c r="R846" i="5" s="1"/>
  <c r="P845" i="5"/>
  <c r="Q845" i="5" s="1"/>
  <c r="R845" i="5" s="1"/>
  <c r="P844" i="5"/>
  <c r="Q844" i="5" s="1"/>
  <c r="R844" i="5" s="1"/>
  <c r="P843" i="5"/>
  <c r="Q843" i="5" s="1"/>
  <c r="R843" i="5" s="1"/>
  <c r="P842" i="5"/>
  <c r="Q842" i="5" s="1"/>
  <c r="R842" i="5" s="1"/>
  <c r="P841" i="5"/>
  <c r="Q841" i="5" s="1"/>
  <c r="R841" i="5" s="1"/>
  <c r="P840" i="5"/>
  <c r="Q840" i="5" s="1"/>
  <c r="R840" i="5" s="1"/>
  <c r="P839" i="5"/>
  <c r="Q839" i="5" s="1"/>
  <c r="R839" i="5" s="1"/>
  <c r="P838" i="5"/>
  <c r="Q838" i="5" s="1"/>
  <c r="R838" i="5" s="1"/>
  <c r="P837" i="5"/>
  <c r="Q837" i="5" s="1"/>
  <c r="R837" i="5" s="1"/>
  <c r="P836" i="5"/>
  <c r="Q836" i="5" s="1"/>
  <c r="R836" i="5" s="1"/>
  <c r="P835" i="5"/>
  <c r="Q835" i="5" s="1"/>
  <c r="R835" i="5" s="1"/>
  <c r="P834" i="5"/>
  <c r="Q834" i="5" s="1"/>
  <c r="R834" i="5" s="1"/>
  <c r="P833" i="5"/>
  <c r="Q833" i="5" s="1"/>
  <c r="R833" i="5" s="1"/>
  <c r="P832" i="5"/>
  <c r="Q832" i="5" s="1"/>
  <c r="R832" i="5" s="1"/>
  <c r="P831" i="5"/>
  <c r="Q831" i="5" s="1"/>
  <c r="R831" i="5" s="1"/>
  <c r="Q830" i="5"/>
  <c r="R830" i="5" s="1"/>
  <c r="P830" i="5"/>
  <c r="P829" i="5"/>
  <c r="Q829" i="5" s="1"/>
  <c r="R829" i="5" s="1"/>
  <c r="P828" i="5"/>
  <c r="Q828" i="5" s="1"/>
  <c r="R828" i="5" s="1"/>
  <c r="P827" i="5"/>
  <c r="Q827" i="5" s="1"/>
  <c r="R827" i="5" s="1"/>
  <c r="P826" i="5"/>
  <c r="Q826" i="5" s="1"/>
  <c r="R826" i="5" s="1"/>
  <c r="P825" i="5"/>
  <c r="Q825" i="5" s="1"/>
  <c r="R825" i="5" s="1"/>
  <c r="P824" i="5"/>
  <c r="Q824" i="5" s="1"/>
  <c r="R824" i="5" s="1"/>
  <c r="P823" i="5"/>
  <c r="Q823" i="5" s="1"/>
  <c r="R823" i="5" s="1"/>
  <c r="P822" i="5"/>
  <c r="Q822" i="5" s="1"/>
  <c r="R822" i="5" s="1"/>
  <c r="P821" i="5"/>
  <c r="Q821" i="5" s="1"/>
  <c r="R821" i="5" s="1"/>
  <c r="P820" i="5"/>
  <c r="Q820" i="5" s="1"/>
  <c r="R820" i="5" s="1"/>
  <c r="P819" i="5"/>
  <c r="Q819" i="5" s="1"/>
  <c r="R819" i="5" s="1"/>
  <c r="Q818" i="5"/>
  <c r="R818" i="5" s="1"/>
  <c r="P818" i="5"/>
  <c r="P817" i="5"/>
  <c r="Q817" i="5" s="1"/>
  <c r="R817" i="5" s="1"/>
  <c r="P816" i="5"/>
  <c r="Q816" i="5" s="1"/>
  <c r="R816" i="5" s="1"/>
  <c r="P815" i="5"/>
  <c r="Q815" i="5" s="1"/>
  <c r="R815" i="5" s="1"/>
  <c r="P814" i="5"/>
  <c r="Q814" i="5" s="1"/>
  <c r="R814" i="5" s="1"/>
  <c r="P813" i="5"/>
  <c r="Q813" i="5" s="1"/>
  <c r="R813" i="5" s="1"/>
  <c r="P812" i="5"/>
  <c r="Q812" i="5" s="1"/>
  <c r="R812" i="5" s="1"/>
  <c r="P811" i="5"/>
  <c r="Q811" i="5" s="1"/>
  <c r="R811" i="5" s="1"/>
  <c r="P810" i="5"/>
  <c r="Q810" i="5" s="1"/>
  <c r="R810" i="5" s="1"/>
  <c r="P809" i="5"/>
  <c r="Q809" i="5" s="1"/>
  <c r="R809" i="5" s="1"/>
  <c r="Q808" i="5"/>
  <c r="R808" i="5" s="1"/>
  <c r="P808" i="5"/>
  <c r="P807" i="5"/>
  <c r="Q807" i="5" s="1"/>
  <c r="R807" i="5" s="1"/>
  <c r="P806" i="5"/>
  <c r="Q806" i="5" s="1"/>
  <c r="R806" i="5" s="1"/>
  <c r="P805" i="5"/>
  <c r="Q805" i="5" s="1"/>
  <c r="R805" i="5" s="1"/>
  <c r="P804" i="5"/>
  <c r="Q804" i="5" s="1"/>
  <c r="R804" i="5" s="1"/>
  <c r="P803" i="5"/>
  <c r="Q803" i="5" s="1"/>
  <c r="R803" i="5" s="1"/>
  <c r="P802" i="5"/>
  <c r="Q802" i="5" s="1"/>
  <c r="R802" i="5" s="1"/>
  <c r="P801" i="5"/>
  <c r="Q801" i="5" s="1"/>
  <c r="R801" i="5" s="1"/>
  <c r="P800" i="5"/>
  <c r="Q800" i="5" s="1"/>
  <c r="R800" i="5" s="1"/>
  <c r="P799" i="5"/>
  <c r="Q799" i="5" s="1"/>
  <c r="R799" i="5" s="1"/>
  <c r="P798" i="5"/>
  <c r="Q798" i="5" s="1"/>
  <c r="R798" i="5" s="1"/>
  <c r="P797" i="5"/>
  <c r="Q797" i="5" s="1"/>
  <c r="R797" i="5" s="1"/>
  <c r="P796" i="5"/>
  <c r="Q796" i="5" s="1"/>
  <c r="R796" i="5" s="1"/>
  <c r="P795" i="5"/>
  <c r="Q795" i="5" s="1"/>
  <c r="R795" i="5" s="1"/>
  <c r="P794" i="5"/>
  <c r="Q794" i="5" s="1"/>
  <c r="R794" i="5" s="1"/>
  <c r="P793" i="5"/>
  <c r="Q793" i="5" s="1"/>
  <c r="R793" i="5" s="1"/>
  <c r="Q792" i="5"/>
  <c r="R792" i="5" s="1"/>
  <c r="P792" i="5"/>
  <c r="P791" i="5"/>
  <c r="Q791" i="5" s="1"/>
  <c r="R791" i="5" s="1"/>
  <c r="P790" i="5"/>
  <c r="Q790" i="5" s="1"/>
  <c r="R790" i="5" s="1"/>
  <c r="P789" i="5"/>
  <c r="Q789" i="5" s="1"/>
  <c r="R789" i="5" s="1"/>
  <c r="P788" i="5"/>
  <c r="Q788" i="5" s="1"/>
  <c r="R788" i="5" s="1"/>
  <c r="P787" i="5"/>
  <c r="Q787" i="5" s="1"/>
  <c r="R787" i="5" s="1"/>
  <c r="P786" i="5"/>
  <c r="Q786" i="5" s="1"/>
  <c r="R786" i="5" s="1"/>
  <c r="P785" i="5"/>
  <c r="Q785" i="5" s="1"/>
  <c r="R785" i="5" s="1"/>
  <c r="P784" i="5"/>
  <c r="Q784" i="5" s="1"/>
  <c r="R784" i="5" s="1"/>
  <c r="P783" i="5"/>
  <c r="Q783" i="5" s="1"/>
  <c r="R783" i="5" s="1"/>
  <c r="P782" i="5"/>
  <c r="Q782" i="5" s="1"/>
  <c r="R782" i="5" s="1"/>
  <c r="P781" i="5"/>
  <c r="Q781" i="5" s="1"/>
  <c r="R781" i="5" s="1"/>
  <c r="P780" i="5"/>
  <c r="Q780" i="5" s="1"/>
  <c r="R780" i="5" s="1"/>
  <c r="P779" i="5"/>
  <c r="Q779" i="5" s="1"/>
  <c r="R779" i="5" s="1"/>
  <c r="P778" i="5"/>
  <c r="Q778" i="5" s="1"/>
  <c r="R778" i="5" s="1"/>
  <c r="P777" i="5"/>
  <c r="Q777" i="5" s="1"/>
  <c r="R777" i="5" s="1"/>
  <c r="P776" i="5"/>
  <c r="Q776" i="5" s="1"/>
  <c r="R776" i="5" s="1"/>
  <c r="P775" i="5"/>
  <c r="Q775" i="5" s="1"/>
  <c r="R775" i="5" s="1"/>
  <c r="P774" i="5"/>
  <c r="Q774" i="5" s="1"/>
  <c r="R774" i="5" s="1"/>
  <c r="P773" i="5"/>
  <c r="Q773" i="5" s="1"/>
  <c r="R773" i="5" s="1"/>
  <c r="P772" i="5"/>
  <c r="Q772" i="5" s="1"/>
  <c r="R772" i="5" s="1"/>
  <c r="P771" i="5"/>
  <c r="Q771" i="5" s="1"/>
  <c r="R771" i="5" s="1"/>
  <c r="P770" i="5"/>
  <c r="Q770" i="5" s="1"/>
  <c r="R770" i="5" s="1"/>
  <c r="Q769" i="5"/>
  <c r="R769" i="5" s="1"/>
  <c r="P769" i="5"/>
  <c r="P768" i="5"/>
  <c r="Q768" i="5" s="1"/>
  <c r="R768" i="5" s="1"/>
  <c r="P767" i="5"/>
  <c r="Q767" i="5" s="1"/>
  <c r="R767" i="5" s="1"/>
  <c r="P766" i="5"/>
  <c r="Q766" i="5" s="1"/>
  <c r="R766" i="5" s="1"/>
  <c r="P765" i="5"/>
  <c r="Q765" i="5" s="1"/>
  <c r="R765" i="5" s="1"/>
  <c r="P764" i="5"/>
  <c r="Q764" i="5" s="1"/>
  <c r="R764" i="5" s="1"/>
  <c r="P763" i="5"/>
  <c r="Q763" i="5" s="1"/>
  <c r="R763" i="5" s="1"/>
  <c r="P762" i="5"/>
  <c r="Q762" i="5" s="1"/>
  <c r="R762" i="5" s="1"/>
  <c r="P761" i="5"/>
  <c r="Q761" i="5" s="1"/>
  <c r="R761" i="5" s="1"/>
  <c r="P760" i="5"/>
  <c r="Q760" i="5" s="1"/>
  <c r="R760" i="5" s="1"/>
  <c r="P759" i="5"/>
  <c r="Q759" i="5" s="1"/>
  <c r="R759" i="5" s="1"/>
  <c r="P758" i="5"/>
  <c r="Q758" i="5" s="1"/>
  <c r="R758" i="5" s="1"/>
  <c r="P757" i="5"/>
  <c r="Q757" i="5" s="1"/>
  <c r="R757" i="5" s="1"/>
  <c r="P756" i="5"/>
  <c r="Q756" i="5" s="1"/>
  <c r="R756" i="5" s="1"/>
  <c r="P755" i="5"/>
  <c r="Q755" i="5" s="1"/>
  <c r="R755" i="5" s="1"/>
  <c r="P754" i="5"/>
  <c r="Q754" i="5" s="1"/>
  <c r="R754" i="5" s="1"/>
  <c r="P753" i="5"/>
  <c r="Q753" i="5" s="1"/>
  <c r="R753" i="5" s="1"/>
  <c r="P752" i="5"/>
  <c r="Q752" i="5" s="1"/>
  <c r="R752" i="5" s="1"/>
  <c r="P751" i="5"/>
  <c r="Q751" i="5" s="1"/>
  <c r="R751" i="5" s="1"/>
  <c r="P750" i="5"/>
  <c r="Q750" i="5" s="1"/>
  <c r="R750" i="5" s="1"/>
  <c r="P749" i="5"/>
  <c r="Q749" i="5" s="1"/>
  <c r="R749" i="5" s="1"/>
  <c r="P748" i="5"/>
  <c r="Q748" i="5" s="1"/>
  <c r="R748" i="5" s="1"/>
  <c r="P747" i="5"/>
  <c r="Q747" i="5" s="1"/>
  <c r="R747" i="5" s="1"/>
  <c r="P746" i="5"/>
  <c r="Q746" i="5" s="1"/>
  <c r="R746" i="5" s="1"/>
  <c r="P745" i="5"/>
  <c r="Q745" i="5" s="1"/>
  <c r="R745" i="5" s="1"/>
  <c r="P744" i="5"/>
  <c r="Q744" i="5" s="1"/>
  <c r="R744" i="5" s="1"/>
  <c r="P743" i="5"/>
  <c r="Q743" i="5" s="1"/>
  <c r="R743" i="5" s="1"/>
  <c r="P742" i="5"/>
  <c r="Q742" i="5" s="1"/>
  <c r="R742" i="5" s="1"/>
  <c r="P741" i="5"/>
  <c r="Q741" i="5" s="1"/>
  <c r="R741" i="5" s="1"/>
  <c r="P740" i="5"/>
  <c r="Q740" i="5" s="1"/>
  <c r="R740" i="5" s="1"/>
  <c r="P739" i="5"/>
  <c r="Q739" i="5" s="1"/>
  <c r="R739" i="5" s="1"/>
  <c r="P738" i="5"/>
  <c r="Q738" i="5" s="1"/>
  <c r="R738" i="5" s="1"/>
  <c r="P737" i="5"/>
  <c r="Q737" i="5" s="1"/>
  <c r="R737" i="5" s="1"/>
  <c r="P736" i="5"/>
  <c r="Q736" i="5" s="1"/>
  <c r="R736" i="5" s="1"/>
  <c r="P735" i="5"/>
  <c r="Q735" i="5" s="1"/>
  <c r="R735" i="5" s="1"/>
  <c r="P734" i="5"/>
  <c r="Q734" i="5" s="1"/>
  <c r="R734" i="5" s="1"/>
  <c r="P733" i="5"/>
  <c r="Q733" i="5" s="1"/>
  <c r="R733" i="5" s="1"/>
  <c r="P732" i="5"/>
  <c r="Q732" i="5" s="1"/>
  <c r="R732" i="5" s="1"/>
  <c r="P731" i="5"/>
  <c r="Q731" i="5" s="1"/>
  <c r="R731" i="5" s="1"/>
  <c r="P730" i="5"/>
  <c r="Q730" i="5" s="1"/>
  <c r="R730" i="5" s="1"/>
  <c r="P729" i="5"/>
  <c r="Q729" i="5" s="1"/>
  <c r="R729" i="5" s="1"/>
  <c r="P728" i="5"/>
  <c r="Q728" i="5" s="1"/>
  <c r="R728" i="5" s="1"/>
  <c r="P727" i="5"/>
  <c r="Q727" i="5" s="1"/>
  <c r="R727" i="5" s="1"/>
  <c r="P726" i="5"/>
  <c r="Q726" i="5" s="1"/>
  <c r="R726" i="5" s="1"/>
  <c r="P725" i="5"/>
  <c r="Q725" i="5" s="1"/>
  <c r="R725" i="5" s="1"/>
  <c r="P724" i="5"/>
  <c r="Q724" i="5" s="1"/>
  <c r="R724" i="5" s="1"/>
  <c r="P723" i="5"/>
  <c r="Q723" i="5" s="1"/>
  <c r="R723" i="5" s="1"/>
  <c r="P722" i="5"/>
  <c r="Q722" i="5" s="1"/>
  <c r="R722" i="5" s="1"/>
  <c r="P721" i="5"/>
  <c r="Q721" i="5" s="1"/>
  <c r="R721" i="5" s="1"/>
  <c r="Q720" i="5"/>
  <c r="R720" i="5" s="1"/>
  <c r="P720" i="5"/>
  <c r="R719" i="5"/>
  <c r="P719" i="5"/>
  <c r="Q719" i="5" s="1"/>
  <c r="P718" i="5"/>
  <c r="Q718" i="5" s="1"/>
  <c r="R718" i="5" s="1"/>
  <c r="P717" i="5"/>
  <c r="Q717" i="5" s="1"/>
  <c r="R717" i="5" s="1"/>
  <c r="P716" i="5"/>
  <c r="Q716" i="5" s="1"/>
  <c r="R716" i="5" s="1"/>
  <c r="P715" i="5"/>
  <c r="Q715" i="5" s="1"/>
  <c r="R715" i="5" s="1"/>
  <c r="Q714" i="5"/>
  <c r="R714" i="5" s="1"/>
  <c r="P714" i="5"/>
  <c r="P713" i="5"/>
  <c r="Q713" i="5" s="1"/>
  <c r="R713" i="5" s="1"/>
  <c r="P712" i="5"/>
  <c r="Q712" i="5" s="1"/>
  <c r="R712" i="5" s="1"/>
  <c r="P711" i="5"/>
  <c r="Q711" i="5" s="1"/>
  <c r="R711" i="5" s="1"/>
  <c r="P710" i="5"/>
  <c r="Q710" i="5" s="1"/>
  <c r="R710" i="5" s="1"/>
  <c r="P709" i="5"/>
  <c r="Q709" i="5" s="1"/>
  <c r="R709" i="5" s="1"/>
  <c r="P708" i="5"/>
  <c r="Q708" i="5" s="1"/>
  <c r="R708" i="5" s="1"/>
  <c r="P707" i="5"/>
  <c r="Q707" i="5" s="1"/>
  <c r="R707" i="5" s="1"/>
  <c r="P706" i="5"/>
  <c r="Q706" i="5" s="1"/>
  <c r="R706" i="5" s="1"/>
  <c r="P705" i="5"/>
  <c r="Q705" i="5" s="1"/>
  <c r="R705" i="5" s="1"/>
  <c r="Q704" i="5"/>
  <c r="R704" i="5" s="1"/>
  <c r="P704" i="5"/>
  <c r="P703" i="5"/>
  <c r="Q703" i="5" s="1"/>
  <c r="R703" i="5" s="1"/>
  <c r="P702" i="5"/>
  <c r="Q702" i="5" s="1"/>
  <c r="R702" i="5" s="1"/>
  <c r="P701" i="5"/>
  <c r="Q701" i="5" s="1"/>
  <c r="R701" i="5" s="1"/>
  <c r="P700" i="5"/>
  <c r="Q700" i="5" s="1"/>
  <c r="R700" i="5" s="1"/>
  <c r="P699" i="5"/>
  <c r="Q699" i="5" s="1"/>
  <c r="R699" i="5" s="1"/>
  <c r="P698" i="5"/>
  <c r="Q698" i="5" s="1"/>
  <c r="R698" i="5" s="1"/>
  <c r="P697" i="5"/>
  <c r="Q697" i="5" s="1"/>
  <c r="R697" i="5" s="1"/>
  <c r="P696" i="5"/>
  <c r="Q696" i="5" s="1"/>
  <c r="R696" i="5" s="1"/>
  <c r="P695" i="5"/>
  <c r="Q695" i="5" s="1"/>
  <c r="R695" i="5" s="1"/>
  <c r="P694" i="5"/>
  <c r="Q694" i="5" s="1"/>
  <c r="R694" i="5" s="1"/>
  <c r="P693" i="5"/>
  <c r="Q693" i="5" s="1"/>
  <c r="R693" i="5" s="1"/>
  <c r="P692" i="5"/>
  <c r="Q692" i="5" s="1"/>
  <c r="R692" i="5" s="1"/>
  <c r="P691" i="5"/>
  <c r="Q691" i="5" s="1"/>
  <c r="R691" i="5" s="1"/>
  <c r="Q690" i="5"/>
  <c r="R690" i="5" s="1"/>
  <c r="P690" i="5"/>
  <c r="P689" i="5"/>
  <c r="Q689" i="5" s="1"/>
  <c r="R689" i="5" s="1"/>
  <c r="P688" i="5"/>
  <c r="Q688" i="5" s="1"/>
  <c r="R688" i="5" s="1"/>
  <c r="P687" i="5"/>
  <c r="Q687" i="5" s="1"/>
  <c r="R687" i="5" s="1"/>
  <c r="P686" i="5"/>
  <c r="Q686" i="5" s="1"/>
  <c r="R686" i="5" s="1"/>
  <c r="P685" i="5"/>
  <c r="Q685" i="5" s="1"/>
  <c r="R685" i="5" s="1"/>
  <c r="P684" i="5"/>
  <c r="Q684" i="5" s="1"/>
  <c r="R684" i="5" s="1"/>
  <c r="P683" i="5"/>
  <c r="Q683" i="5" s="1"/>
  <c r="R683" i="5" s="1"/>
  <c r="P682" i="5"/>
  <c r="Q682" i="5" s="1"/>
  <c r="R682" i="5" s="1"/>
  <c r="P681" i="5"/>
  <c r="Q681" i="5" s="1"/>
  <c r="R681" i="5" s="1"/>
  <c r="P680" i="5"/>
  <c r="Q680" i="5" s="1"/>
  <c r="R680" i="5" s="1"/>
  <c r="P679" i="5"/>
  <c r="Q679" i="5" s="1"/>
  <c r="R679" i="5" s="1"/>
  <c r="P678" i="5"/>
  <c r="Q678" i="5" s="1"/>
  <c r="R678" i="5" s="1"/>
  <c r="P677" i="5"/>
  <c r="Q677" i="5" s="1"/>
  <c r="R677" i="5" s="1"/>
  <c r="Q676" i="5"/>
  <c r="R676" i="5" s="1"/>
  <c r="P676" i="5"/>
  <c r="P675" i="5"/>
  <c r="Q675" i="5" s="1"/>
  <c r="R675" i="5" s="1"/>
  <c r="P674" i="5"/>
  <c r="Q674" i="5" s="1"/>
  <c r="R674" i="5" s="1"/>
  <c r="P673" i="5"/>
  <c r="Q673" i="5" s="1"/>
  <c r="R673" i="5" s="1"/>
  <c r="P672" i="5"/>
  <c r="Q672" i="5" s="1"/>
  <c r="R672" i="5" s="1"/>
  <c r="P671" i="5"/>
  <c r="Q671" i="5" s="1"/>
  <c r="R671" i="5" s="1"/>
  <c r="P670" i="5"/>
  <c r="Q670" i="5" s="1"/>
  <c r="R670" i="5" s="1"/>
  <c r="P669" i="5"/>
  <c r="Q669" i="5" s="1"/>
  <c r="R669" i="5" s="1"/>
  <c r="P668" i="5"/>
  <c r="Q668" i="5" s="1"/>
  <c r="R668" i="5" s="1"/>
  <c r="P667" i="5"/>
  <c r="Q667" i="5" s="1"/>
  <c r="R667" i="5" s="1"/>
  <c r="P666" i="5"/>
  <c r="Q666" i="5" s="1"/>
  <c r="R666" i="5" s="1"/>
  <c r="P665" i="5"/>
  <c r="Q665" i="5" s="1"/>
  <c r="R665" i="5" s="1"/>
  <c r="P664" i="5"/>
  <c r="Q664" i="5" s="1"/>
  <c r="R664" i="5" s="1"/>
  <c r="Q663" i="5"/>
  <c r="R663" i="5" s="1"/>
  <c r="P663" i="5"/>
  <c r="P662" i="5"/>
  <c r="Q662" i="5" s="1"/>
  <c r="R662" i="5" s="1"/>
  <c r="P661" i="5"/>
  <c r="Q661" i="5" s="1"/>
  <c r="R661" i="5" s="1"/>
  <c r="P660" i="5"/>
  <c r="Q660" i="5" s="1"/>
  <c r="R660" i="5" s="1"/>
  <c r="P659" i="5"/>
  <c r="Q659" i="5" s="1"/>
  <c r="R659" i="5" s="1"/>
  <c r="P658" i="5"/>
  <c r="Q658" i="5" s="1"/>
  <c r="R658" i="5" s="1"/>
  <c r="P657" i="5"/>
  <c r="Q657" i="5" s="1"/>
  <c r="R657" i="5" s="1"/>
  <c r="P656" i="5"/>
  <c r="Q656" i="5" s="1"/>
  <c r="R656" i="5" s="1"/>
  <c r="P655" i="5"/>
  <c r="Q655" i="5" s="1"/>
  <c r="R655" i="5" s="1"/>
  <c r="P654" i="5"/>
  <c r="Q654" i="5" s="1"/>
  <c r="R654" i="5" s="1"/>
  <c r="P653" i="5"/>
  <c r="Q653" i="5" s="1"/>
  <c r="R653" i="5" s="1"/>
  <c r="P652" i="5"/>
  <c r="Q652" i="5" s="1"/>
  <c r="R652" i="5" s="1"/>
  <c r="P651" i="5"/>
  <c r="Q651" i="5" s="1"/>
  <c r="R651" i="5" s="1"/>
  <c r="P650" i="5"/>
  <c r="Q650" i="5" s="1"/>
  <c r="R650" i="5" s="1"/>
  <c r="P649" i="5"/>
  <c r="Q649" i="5" s="1"/>
  <c r="R649" i="5" s="1"/>
  <c r="P648" i="5"/>
  <c r="Q648" i="5" s="1"/>
  <c r="R648" i="5" s="1"/>
  <c r="P647" i="5"/>
  <c r="Q647" i="5" s="1"/>
  <c r="R647" i="5" s="1"/>
  <c r="P646" i="5"/>
  <c r="Q646" i="5" s="1"/>
  <c r="R646" i="5" s="1"/>
  <c r="P645" i="5"/>
  <c r="Q645" i="5" s="1"/>
  <c r="R645" i="5" s="1"/>
  <c r="P644" i="5"/>
  <c r="Q644" i="5" s="1"/>
  <c r="R644" i="5" s="1"/>
  <c r="P643" i="5"/>
  <c r="Q643" i="5" s="1"/>
  <c r="R643" i="5" s="1"/>
  <c r="P642" i="5"/>
  <c r="Q642" i="5" s="1"/>
  <c r="R642" i="5" s="1"/>
  <c r="P641" i="5"/>
  <c r="Q641" i="5" s="1"/>
  <c r="R641" i="5" s="1"/>
  <c r="P640" i="5"/>
  <c r="Q640" i="5" s="1"/>
  <c r="R640" i="5" s="1"/>
  <c r="P639" i="5"/>
  <c r="Q639" i="5" s="1"/>
  <c r="R639" i="5" s="1"/>
  <c r="P638" i="5"/>
  <c r="Q638" i="5" s="1"/>
  <c r="R638" i="5" s="1"/>
  <c r="P637" i="5"/>
  <c r="Q637" i="5" s="1"/>
  <c r="R637" i="5" s="1"/>
  <c r="P636" i="5"/>
  <c r="Q636" i="5" s="1"/>
  <c r="R636" i="5" s="1"/>
  <c r="P635" i="5"/>
  <c r="Q635" i="5" s="1"/>
  <c r="R635" i="5" s="1"/>
  <c r="P634" i="5"/>
  <c r="Q634" i="5" s="1"/>
  <c r="R634" i="5" s="1"/>
  <c r="P633" i="5"/>
  <c r="Q633" i="5" s="1"/>
  <c r="R633" i="5" s="1"/>
  <c r="P632" i="5"/>
  <c r="Q632" i="5" s="1"/>
  <c r="R632" i="5" s="1"/>
  <c r="P631" i="5"/>
  <c r="Q631" i="5" s="1"/>
  <c r="R631" i="5" s="1"/>
  <c r="P630" i="5"/>
  <c r="Q630" i="5" s="1"/>
  <c r="R630" i="5" s="1"/>
  <c r="P629" i="5"/>
  <c r="Q629" i="5" s="1"/>
  <c r="R629" i="5" s="1"/>
  <c r="P628" i="5"/>
  <c r="Q628" i="5" s="1"/>
  <c r="R628" i="5" s="1"/>
  <c r="P627" i="5"/>
  <c r="Q627" i="5" s="1"/>
  <c r="R627" i="5" s="1"/>
  <c r="P626" i="5"/>
  <c r="Q626" i="5" s="1"/>
  <c r="R626" i="5" s="1"/>
  <c r="Q625" i="5"/>
  <c r="R625" i="5" s="1"/>
  <c r="P625" i="5"/>
  <c r="P624" i="5"/>
  <c r="Q624" i="5" s="1"/>
  <c r="R624" i="5" s="1"/>
  <c r="P623" i="5"/>
  <c r="Q623" i="5" s="1"/>
  <c r="R623" i="5" s="1"/>
  <c r="P622" i="5"/>
  <c r="Q622" i="5" s="1"/>
  <c r="R622" i="5" s="1"/>
  <c r="P621" i="5"/>
  <c r="Q621" i="5" s="1"/>
  <c r="R621" i="5" s="1"/>
  <c r="P620" i="5"/>
  <c r="Q620" i="5" s="1"/>
  <c r="R620" i="5" s="1"/>
  <c r="P619" i="5"/>
  <c r="Q619" i="5" s="1"/>
  <c r="R619" i="5" s="1"/>
  <c r="P618" i="5"/>
  <c r="Q618" i="5" s="1"/>
  <c r="R618" i="5" s="1"/>
  <c r="P617" i="5"/>
  <c r="Q617" i="5" s="1"/>
  <c r="R617" i="5" s="1"/>
  <c r="P616" i="5"/>
  <c r="Q616" i="5" s="1"/>
  <c r="R616" i="5" s="1"/>
  <c r="P615" i="5"/>
  <c r="Q615" i="5" s="1"/>
  <c r="R615" i="5" s="1"/>
  <c r="P614" i="5"/>
  <c r="Q614" i="5" s="1"/>
  <c r="R614" i="5" s="1"/>
  <c r="P613" i="5"/>
  <c r="Q613" i="5" s="1"/>
  <c r="R613" i="5" s="1"/>
  <c r="P612" i="5"/>
  <c r="Q612" i="5" s="1"/>
  <c r="R612" i="5" s="1"/>
  <c r="P611" i="5"/>
  <c r="Q611" i="5" s="1"/>
  <c r="R611" i="5" s="1"/>
  <c r="P610" i="5"/>
  <c r="Q610" i="5" s="1"/>
  <c r="R610" i="5" s="1"/>
  <c r="P609" i="5"/>
  <c r="Q609" i="5" s="1"/>
  <c r="R609" i="5" s="1"/>
  <c r="P608" i="5"/>
  <c r="Q608" i="5" s="1"/>
  <c r="R608" i="5" s="1"/>
  <c r="P607" i="5"/>
  <c r="Q607" i="5" s="1"/>
  <c r="R607" i="5" s="1"/>
  <c r="P606" i="5"/>
  <c r="Q606" i="5" s="1"/>
  <c r="R606" i="5" s="1"/>
  <c r="Q605" i="5"/>
  <c r="R605" i="5" s="1"/>
  <c r="P605" i="5"/>
  <c r="P604" i="5"/>
  <c r="Q604" i="5" s="1"/>
  <c r="R604" i="5" s="1"/>
  <c r="P603" i="5"/>
  <c r="Q603" i="5" s="1"/>
  <c r="R603" i="5" s="1"/>
  <c r="P602" i="5"/>
  <c r="Q602" i="5" s="1"/>
  <c r="R602" i="5" s="1"/>
  <c r="P601" i="5"/>
  <c r="Q601" i="5" s="1"/>
  <c r="R601" i="5" s="1"/>
  <c r="P600" i="5"/>
  <c r="Q600" i="5" s="1"/>
  <c r="R600" i="5" s="1"/>
  <c r="P599" i="5"/>
  <c r="Q599" i="5" s="1"/>
  <c r="R599" i="5" s="1"/>
  <c r="P598" i="5"/>
  <c r="Q598" i="5" s="1"/>
  <c r="R598" i="5" s="1"/>
  <c r="P597" i="5"/>
  <c r="Q597" i="5" s="1"/>
  <c r="R597" i="5" s="1"/>
  <c r="P596" i="5"/>
  <c r="Q596" i="5" s="1"/>
  <c r="R596" i="5" s="1"/>
  <c r="P595" i="5"/>
  <c r="Q595" i="5" s="1"/>
  <c r="R595" i="5" s="1"/>
  <c r="P594" i="5"/>
  <c r="Q594" i="5" s="1"/>
  <c r="R594" i="5" s="1"/>
  <c r="P593" i="5"/>
  <c r="Q593" i="5" s="1"/>
  <c r="R593" i="5" s="1"/>
  <c r="P592" i="5"/>
  <c r="Q592" i="5" s="1"/>
  <c r="R592" i="5" s="1"/>
  <c r="P591" i="5"/>
  <c r="Q591" i="5" s="1"/>
  <c r="R591" i="5" s="1"/>
  <c r="P590" i="5"/>
  <c r="Q590" i="5" s="1"/>
  <c r="R590" i="5" s="1"/>
  <c r="P589" i="5"/>
  <c r="Q589" i="5" s="1"/>
  <c r="R589" i="5" s="1"/>
  <c r="P588" i="5"/>
  <c r="Q588" i="5" s="1"/>
  <c r="R588" i="5" s="1"/>
  <c r="P587" i="5"/>
  <c r="Q587" i="5" s="1"/>
  <c r="R587" i="5" s="1"/>
  <c r="P586" i="5"/>
  <c r="Q586" i="5" s="1"/>
  <c r="R586" i="5" s="1"/>
  <c r="P585" i="5"/>
  <c r="Q585" i="5" s="1"/>
  <c r="R585" i="5" s="1"/>
  <c r="P584" i="5"/>
  <c r="Q584" i="5" s="1"/>
  <c r="R584" i="5" s="1"/>
  <c r="P583" i="5"/>
  <c r="Q583" i="5" s="1"/>
  <c r="R583" i="5" s="1"/>
  <c r="P582" i="5"/>
  <c r="Q582" i="5" s="1"/>
  <c r="R582" i="5" s="1"/>
  <c r="P581" i="5"/>
  <c r="Q581" i="5" s="1"/>
  <c r="R581" i="5" s="1"/>
  <c r="P580" i="5"/>
  <c r="Q580" i="5" s="1"/>
  <c r="R580" i="5" s="1"/>
  <c r="P579" i="5"/>
  <c r="Q579" i="5" s="1"/>
  <c r="R579" i="5" s="1"/>
  <c r="P578" i="5"/>
  <c r="Q578" i="5" s="1"/>
  <c r="R578" i="5" s="1"/>
  <c r="P577" i="5"/>
  <c r="Q577" i="5" s="1"/>
  <c r="R577" i="5" s="1"/>
  <c r="P576" i="5"/>
  <c r="Q576" i="5" s="1"/>
  <c r="R576" i="5" s="1"/>
  <c r="P575" i="5"/>
  <c r="Q575" i="5" s="1"/>
  <c r="R575" i="5" s="1"/>
  <c r="P574" i="5"/>
  <c r="Q574" i="5" s="1"/>
  <c r="R574" i="5" s="1"/>
  <c r="P573" i="5"/>
  <c r="Q573" i="5" s="1"/>
  <c r="R573" i="5" s="1"/>
  <c r="P572" i="5"/>
  <c r="Q572" i="5" s="1"/>
  <c r="R572" i="5" s="1"/>
  <c r="P571" i="5"/>
  <c r="Q571" i="5" s="1"/>
  <c r="R571" i="5" s="1"/>
  <c r="P570" i="5"/>
  <c r="Q570" i="5" s="1"/>
  <c r="R570" i="5" s="1"/>
  <c r="P569" i="5"/>
  <c r="Q569" i="5" s="1"/>
  <c r="R569" i="5" s="1"/>
  <c r="P568" i="5"/>
  <c r="Q568" i="5" s="1"/>
  <c r="R568" i="5" s="1"/>
  <c r="P567" i="5"/>
  <c r="Q567" i="5" s="1"/>
  <c r="R567" i="5" s="1"/>
  <c r="P566" i="5"/>
  <c r="Q566" i="5" s="1"/>
  <c r="R566" i="5" s="1"/>
  <c r="P565" i="5"/>
  <c r="Q565" i="5" s="1"/>
  <c r="R565" i="5" s="1"/>
  <c r="P564" i="5"/>
  <c r="Q564" i="5" s="1"/>
  <c r="R564" i="5" s="1"/>
  <c r="P563" i="5"/>
  <c r="Q563" i="5" s="1"/>
  <c r="R563" i="5" s="1"/>
  <c r="P562" i="5"/>
  <c r="Q562" i="5" s="1"/>
  <c r="R562" i="5" s="1"/>
  <c r="P561" i="5"/>
  <c r="Q561" i="5" s="1"/>
  <c r="R561" i="5" s="1"/>
  <c r="P560" i="5"/>
  <c r="Q560" i="5" s="1"/>
  <c r="R560" i="5" s="1"/>
  <c r="P559" i="5"/>
  <c r="Q559" i="5" s="1"/>
  <c r="R559" i="5" s="1"/>
  <c r="P558" i="5"/>
  <c r="Q558" i="5" s="1"/>
  <c r="R558" i="5" s="1"/>
  <c r="P557" i="5"/>
  <c r="Q557" i="5" s="1"/>
  <c r="R557" i="5" s="1"/>
  <c r="P556" i="5"/>
  <c r="Q556" i="5" s="1"/>
  <c r="R556" i="5" s="1"/>
  <c r="P555" i="5"/>
  <c r="Q555" i="5" s="1"/>
  <c r="R555" i="5" s="1"/>
  <c r="P554" i="5"/>
  <c r="Q554" i="5" s="1"/>
  <c r="R554" i="5" s="1"/>
  <c r="P553" i="5"/>
  <c r="Q553" i="5" s="1"/>
  <c r="R553" i="5" s="1"/>
  <c r="P552" i="5"/>
  <c r="Q552" i="5" s="1"/>
  <c r="R552" i="5" s="1"/>
  <c r="P551" i="5"/>
  <c r="Q551" i="5" s="1"/>
  <c r="R551" i="5" s="1"/>
  <c r="P550" i="5"/>
  <c r="Q550" i="5" s="1"/>
  <c r="R550" i="5" s="1"/>
  <c r="P549" i="5"/>
  <c r="Q549" i="5" s="1"/>
  <c r="R549" i="5" s="1"/>
  <c r="P548" i="5"/>
  <c r="Q548" i="5" s="1"/>
  <c r="R548" i="5" s="1"/>
  <c r="P547" i="5"/>
  <c r="Q547" i="5" s="1"/>
  <c r="R547" i="5" s="1"/>
  <c r="P546" i="5"/>
  <c r="Q546" i="5" s="1"/>
  <c r="R546" i="5" s="1"/>
  <c r="P545" i="5"/>
  <c r="Q545" i="5" s="1"/>
  <c r="R545" i="5" s="1"/>
  <c r="P544" i="5"/>
  <c r="Q544" i="5" s="1"/>
  <c r="R544" i="5" s="1"/>
  <c r="P543" i="5"/>
  <c r="Q543" i="5" s="1"/>
  <c r="R543" i="5" s="1"/>
  <c r="P542" i="5"/>
  <c r="Q542" i="5" s="1"/>
  <c r="R542" i="5" s="1"/>
  <c r="P541" i="5"/>
  <c r="Q541" i="5" s="1"/>
  <c r="R541" i="5" s="1"/>
  <c r="P540" i="5"/>
  <c r="Q540" i="5" s="1"/>
  <c r="R540" i="5" s="1"/>
  <c r="P539" i="5"/>
  <c r="Q539" i="5" s="1"/>
  <c r="R539" i="5" s="1"/>
  <c r="P538" i="5"/>
  <c r="Q538" i="5" s="1"/>
  <c r="R538" i="5" s="1"/>
  <c r="P537" i="5"/>
  <c r="Q537" i="5" s="1"/>
  <c r="R537" i="5" s="1"/>
  <c r="P536" i="5"/>
  <c r="Q536" i="5" s="1"/>
  <c r="R536" i="5" s="1"/>
  <c r="P535" i="5"/>
  <c r="Q535" i="5" s="1"/>
  <c r="R535" i="5" s="1"/>
  <c r="P534" i="5"/>
  <c r="Q534" i="5" s="1"/>
  <c r="R534" i="5" s="1"/>
  <c r="P533" i="5"/>
  <c r="Q533" i="5" s="1"/>
  <c r="R533" i="5" s="1"/>
  <c r="P532" i="5"/>
  <c r="Q532" i="5" s="1"/>
  <c r="R532" i="5" s="1"/>
  <c r="P531" i="5"/>
  <c r="Q531" i="5" s="1"/>
  <c r="R531" i="5" s="1"/>
  <c r="P530" i="5"/>
  <c r="Q530" i="5" s="1"/>
  <c r="R530" i="5" s="1"/>
  <c r="P529" i="5"/>
  <c r="Q529" i="5" s="1"/>
  <c r="R529" i="5" s="1"/>
  <c r="P528" i="5"/>
  <c r="Q528" i="5" s="1"/>
  <c r="R528" i="5" s="1"/>
  <c r="P527" i="5"/>
  <c r="Q527" i="5" s="1"/>
  <c r="R527" i="5" s="1"/>
  <c r="P526" i="5"/>
  <c r="Q526" i="5" s="1"/>
  <c r="R526" i="5" s="1"/>
  <c r="P525" i="5"/>
  <c r="Q525" i="5" s="1"/>
  <c r="R525" i="5" s="1"/>
  <c r="P524" i="5"/>
  <c r="Q524" i="5" s="1"/>
  <c r="R524" i="5" s="1"/>
  <c r="P523" i="5"/>
  <c r="Q523" i="5" s="1"/>
  <c r="R523" i="5" s="1"/>
  <c r="P522" i="5"/>
  <c r="Q522" i="5" s="1"/>
  <c r="R522" i="5" s="1"/>
  <c r="P521" i="5"/>
  <c r="Q521" i="5" s="1"/>
  <c r="R521" i="5" s="1"/>
  <c r="P520" i="5"/>
  <c r="Q520" i="5" s="1"/>
  <c r="R520" i="5" s="1"/>
  <c r="P519" i="5"/>
  <c r="Q519" i="5" s="1"/>
  <c r="R519" i="5" s="1"/>
  <c r="P518" i="5"/>
  <c r="Q518" i="5" s="1"/>
  <c r="R518" i="5" s="1"/>
  <c r="P517" i="5"/>
  <c r="Q517" i="5" s="1"/>
  <c r="R517" i="5" s="1"/>
  <c r="P516" i="5"/>
  <c r="Q516" i="5" s="1"/>
  <c r="R516" i="5" s="1"/>
  <c r="Q515" i="5"/>
  <c r="R515" i="5" s="1"/>
  <c r="P515" i="5"/>
  <c r="P514" i="5"/>
  <c r="Q514" i="5" s="1"/>
  <c r="R514" i="5" s="1"/>
  <c r="P513" i="5"/>
  <c r="Q513" i="5" s="1"/>
  <c r="R513" i="5" s="1"/>
  <c r="P512" i="5"/>
  <c r="Q512" i="5" s="1"/>
  <c r="R512" i="5" s="1"/>
  <c r="P511" i="5"/>
  <c r="Q511" i="5" s="1"/>
  <c r="R511" i="5" s="1"/>
  <c r="P510" i="5"/>
  <c r="Q510" i="5" s="1"/>
  <c r="R510" i="5" s="1"/>
  <c r="P509" i="5"/>
  <c r="Q509" i="5" s="1"/>
  <c r="R509" i="5" s="1"/>
  <c r="P508" i="5"/>
  <c r="Q508" i="5" s="1"/>
  <c r="R508" i="5" s="1"/>
  <c r="P507" i="5"/>
  <c r="Q507" i="5" s="1"/>
  <c r="R507" i="5" s="1"/>
  <c r="P506" i="5"/>
  <c r="Q506" i="5" s="1"/>
  <c r="R506" i="5" s="1"/>
  <c r="P505" i="5"/>
  <c r="Q505" i="5" s="1"/>
  <c r="R505" i="5" s="1"/>
  <c r="P504" i="5"/>
  <c r="Q504" i="5" s="1"/>
  <c r="R504" i="5" s="1"/>
  <c r="P503" i="5"/>
  <c r="Q503" i="5" s="1"/>
  <c r="R503" i="5" s="1"/>
  <c r="P502" i="5"/>
  <c r="Q502" i="5" s="1"/>
  <c r="R502" i="5" s="1"/>
  <c r="Q501" i="5"/>
  <c r="R501" i="5" s="1"/>
  <c r="P501" i="5"/>
  <c r="P500" i="5"/>
  <c r="Q500" i="5" s="1"/>
  <c r="R500" i="5" s="1"/>
  <c r="P499" i="5"/>
  <c r="Q499" i="5" s="1"/>
  <c r="R499" i="5" s="1"/>
  <c r="P498" i="5"/>
  <c r="Q498" i="5" s="1"/>
  <c r="R498" i="5" s="1"/>
  <c r="P497" i="5"/>
  <c r="Q497" i="5" s="1"/>
  <c r="R497" i="5" s="1"/>
  <c r="P496" i="5"/>
  <c r="Q496" i="5" s="1"/>
  <c r="R496" i="5" s="1"/>
  <c r="P495" i="5"/>
  <c r="Q495" i="5" s="1"/>
  <c r="R495" i="5" s="1"/>
  <c r="P494" i="5"/>
  <c r="Q494" i="5" s="1"/>
  <c r="R494" i="5" s="1"/>
  <c r="P493" i="5"/>
  <c r="Q493" i="5" s="1"/>
  <c r="R493" i="5" s="1"/>
  <c r="P492" i="5"/>
  <c r="Q492" i="5" s="1"/>
  <c r="R492" i="5" s="1"/>
  <c r="P491" i="5"/>
  <c r="Q491" i="5" s="1"/>
  <c r="R491" i="5" s="1"/>
  <c r="P490" i="5"/>
  <c r="Q490" i="5" s="1"/>
  <c r="R490" i="5" s="1"/>
  <c r="P489" i="5"/>
  <c r="Q489" i="5" s="1"/>
  <c r="R489" i="5" s="1"/>
  <c r="P488" i="5"/>
  <c r="Q488" i="5" s="1"/>
  <c r="R488" i="5" s="1"/>
  <c r="P487" i="5"/>
  <c r="Q487" i="5" s="1"/>
  <c r="R487" i="5" s="1"/>
  <c r="P486" i="5"/>
  <c r="Q486" i="5" s="1"/>
  <c r="R486" i="5" s="1"/>
  <c r="P485" i="5"/>
  <c r="Q485" i="5" s="1"/>
  <c r="R485" i="5" s="1"/>
  <c r="P484" i="5"/>
  <c r="Q484" i="5" s="1"/>
  <c r="R484" i="5" s="1"/>
  <c r="P483" i="5"/>
  <c r="Q483" i="5" s="1"/>
  <c r="R483" i="5" s="1"/>
  <c r="P482" i="5"/>
  <c r="Q482" i="5" s="1"/>
  <c r="R482" i="5" s="1"/>
  <c r="P481" i="5"/>
  <c r="Q481" i="5" s="1"/>
  <c r="R481" i="5" s="1"/>
  <c r="P480" i="5"/>
  <c r="Q480" i="5" s="1"/>
  <c r="R480" i="5" s="1"/>
  <c r="P479" i="5"/>
  <c r="Q479" i="5" s="1"/>
  <c r="R479" i="5" s="1"/>
  <c r="P478" i="5"/>
  <c r="Q478" i="5" s="1"/>
  <c r="R478" i="5" s="1"/>
  <c r="P477" i="5"/>
  <c r="Q477" i="5" s="1"/>
  <c r="R477" i="5" s="1"/>
  <c r="P476" i="5"/>
  <c r="Q476" i="5" s="1"/>
  <c r="R476" i="5" s="1"/>
  <c r="P475" i="5"/>
  <c r="Q475" i="5" s="1"/>
  <c r="R475" i="5" s="1"/>
  <c r="P474" i="5"/>
  <c r="Q474" i="5" s="1"/>
  <c r="R474" i="5" s="1"/>
  <c r="P473" i="5"/>
  <c r="Q473" i="5" s="1"/>
  <c r="R473" i="5" s="1"/>
  <c r="P472" i="5"/>
  <c r="Q472" i="5" s="1"/>
  <c r="R472" i="5" s="1"/>
  <c r="P471" i="5"/>
  <c r="Q471" i="5" s="1"/>
  <c r="R471" i="5" s="1"/>
  <c r="P470" i="5"/>
  <c r="Q470" i="5" s="1"/>
  <c r="R470" i="5" s="1"/>
  <c r="P469" i="5"/>
  <c r="Q469" i="5" s="1"/>
  <c r="R469" i="5" s="1"/>
  <c r="P468" i="5"/>
  <c r="Q468" i="5" s="1"/>
  <c r="R468" i="5" s="1"/>
  <c r="P467" i="5"/>
  <c r="Q467" i="5" s="1"/>
  <c r="R467" i="5" s="1"/>
  <c r="P466" i="5"/>
  <c r="Q466" i="5" s="1"/>
  <c r="R466" i="5" s="1"/>
  <c r="P465" i="5"/>
  <c r="Q465" i="5" s="1"/>
  <c r="R465" i="5" s="1"/>
  <c r="P464" i="5"/>
  <c r="Q464" i="5" s="1"/>
  <c r="R464" i="5" s="1"/>
  <c r="P463" i="5"/>
  <c r="Q463" i="5" s="1"/>
  <c r="R463" i="5" s="1"/>
  <c r="P462" i="5"/>
  <c r="Q462" i="5" s="1"/>
  <c r="R462" i="5" s="1"/>
  <c r="P461" i="5"/>
  <c r="Q461" i="5" s="1"/>
  <c r="R461" i="5" s="1"/>
  <c r="P460" i="5"/>
  <c r="Q460" i="5" s="1"/>
  <c r="R460" i="5" s="1"/>
  <c r="P459" i="5"/>
  <c r="Q459" i="5" s="1"/>
  <c r="R459" i="5" s="1"/>
  <c r="P458" i="5"/>
  <c r="Q458" i="5" s="1"/>
  <c r="R458" i="5" s="1"/>
  <c r="P457" i="5"/>
  <c r="Q457" i="5" s="1"/>
  <c r="R457" i="5" s="1"/>
  <c r="P456" i="5"/>
  <c r="Q456" i="5" s="1"/>
  <c r="R456" i="5" s="1"/>
  <c r="P455" i="5"/>
  <c r="Q455" i="5" s="1"/>
  <c r="R455" i="5" s="1"/>
  <c r="P454" i="5"/>
  <c r="Q454" i="5" s="1"/>
  <c r="R454" i="5" s="1"/>
  <c r="P453" i="5"/>
  <c r="Q453" i="5" s="1"/>
  <c r="R453" i="5" s="1"/>
  <c r="P452" i="5"/>
  <c r="Q452" i="5" s="1"/>
  <c r="R452" i="5" s="1"/>
  <c r="P451" i="5"/>
  <c r="Q451" i="5" s="1"/>
  <c r="R451" i="5" s="1"/>
  <c r="P450" i="5"/>
  <c r="Q450" i="5" s="1"/>
  <c r="R450" i="5" s="1"/>
  <c r="P449" i="5"/>
  <c r="Q449" i="5" s="1"/>
  <c r="R449" i="5" s="1"/>
  <c r="P448" i="5"/>
  <c r="Q448" i="5" s="1"/>
  <c r="R448" i="5" s="1"/>
  <c r="P447" i="5"/>
  <c r="Q447" i="5" s="1"/>
  <c r="R447" i="5" s="1"/>
  <c r="P446" i="5"/>
  <c r="Q446" i="5" s="1"/>
  <c r="R446" i="5" s="1"/>
  <c r="P445" i="5"/>
  <c r="Q445" i="5" s="1"/>
  <c r="R445" i="5" s="1"/>
  <c r="P444" i="5"/>
  <c r="Q444" i="5" s="1"/>
  <c r="R444" i="5" s="1"/>
  <c r="P443" i="5"/>
  <c r="Q443" i="5" s="1"/>
  <c r="R443" i="5" s="1"/>
  <c r="P442" i="5"/>
  <c r="Q442" i="5" s="1"/>
  <c r="R442" i="5" s="1"/>
  <c r="P441" i="5"/>
  <c r="Q441" i="5" s="1"/>
  <c r="R441" i="5" s="1"/>
  <c r="P440" i="5"/>
  <c r="Q440" i="5" s="1"/>
  <c r="R440" i="5" s="1"/>
  <c r="P439" i="5"/>
  <c r="Q439" i="5" s="1"/>
  <c r="R439" i="5" s="1"/>
  <c r="P438" i="5"/>
  <c r="Q438" i="5" s="1"/>
  <c r="R438" i="5" s="1"/>
  <c r="Q437" i="5"/>
  <c r="R437" i="5" s="1"/>
  <c r="P437" i="5"/>
  <c r="P436" i="5"/>
  <c r="Q436" i="5" s="1"/>
  <c r="R436" i="5" s="1"/>
  <c r="P435" i="5"/>
  <c r="Q435" i="5" s="1"/>
  <c r="R435" i="5" s="1"/>
  <c r="P434" i="5"/>
  <c r="Q434" i="5" s="1"/>
  <c r="R434" i="5" s="1"/>
  <c r="P433" i="5"/>
  <c r="Q433" i="5" s="1"/>
  <c r="R433" i="5" s="1"/>
  <c r="P432" i="5"/>
  <c r="Q432" i="5" s="1"/>
  <c r="R432" i="5" s="1"/>
  <c r="P431" i="5"/>
  <c r="Q431" i="5" s="1"/>
  <c r="R431" i="5" s="1"/>
  <c r="P430" i="5"/>
  <c r="Q430" i="5" s="1"/>
  <c r="R430" i="5" s="1"/>
  <c r="P429" i="5"/>
  <c r="Q429" i="5" s="1"/>
  <c r="R429" i="5" s="1"/>
  <c r="P428" i="5"/>
  <c r="Q428" i="5" s="1"/>
  <c r="R428" i="5" s="1"/>
  <c r="Q427" i="5"/>
  <c r="R427" i="5" s="1"/>
  <c r="P427" i="5"/>
  <c r="P426" i="5"/>
  <c r="Q426" i="5" s="1"/>
  <c r="R426" i="5" s="1"/>
  <c r="P425" i="5"/>
  <c r="Q425" i="5" s="1"/>
  <c r="R425" i="5" s="1"/>
  <c r="P424" i="5"/>
  <c r="Q424" i="5" s="1"/>
  <c r="R424" i="5" s="1"/>
  <c r="P423" i="5"/>
  <c r="Q423" i="5" s="1"/>
  <c r="R423" i="5" s="1"/>
  <c r="P422" i="5"/>
  <c r="Q422" i="5" s="1"/>
  <c r="R422" i="5" s="1"/>
  <c r="P421" i="5"/>
  <c r="Q421" i="5" s="1"/>
  <c r="R421" i="5" s="1"/>
  <c r="P420" i="5"/>
  <c r="Q420" i="5" s="1"/>
  <c r="R420" i="5" s="1"/>
  <c r="P419" i="5"/>
  <c r="Q419" i="5" s="1"/>
  <c r="R419" i="5" s="1"/>
  <c r="P418" i="5"/>
  <c r="Q418" i="5" s="1"/>
  <c r="R418" i="5" s="1"/>
  <c r="Q417" i="5"/>
  <c r="R417" i="5" s="1"/>
  <c r="P417" i="5"/>
  <c r="P416" i="5"/>
  <c r="Q416" i="5" s="1"/>
  <c r="R416" i="5" s="1"/>
  <c r="P415" i="5"/>
  <c r="Q415" i="5" s="1"/>
  <c r="R415" i="5" s="1"/>
  <c r="P414" i="5"/>
  <c r="Q414" i="5" s="1"/>
  <c r="R414" i="5" s="1"/>
  <c r="P413" i="5"/>
  <c r="Q413" i="5" s="1"/>
  <c r="R413" i="5" s="1"/>
  <c r="P412" i="5"/>
  <c r="Q412" i="5" s="1"/>
  <c r="R412" i="5" s="1"/>
  <c r="P411" i="5"/>
  <c r="Q411" i="5" s="1"/>
  <c r="R411" i="5" s="1"/>
  <c r="P410" i="5"/>
  <c r="Q410" i="5" s="1"/>
  <c r="R410" i="5" s="1"/>
  <c r="P409" i="5"/>
  <c r="Q409" i="5" s="1"/>
  <c r="R409" i="5" s="1"/>
  <c r="P408" i="5"/>
  <c r="Q408" i="5" s="1"/>
  <c r="R408" i="5" s="1"/>
  <c r="P407" i="5"/>
  <c r="Q407" i="5" s="1"/>
  <c r="R407" i="5" s="1"/>
  <c r="P406" i="5"/>
  <c r="Q406" i="5" s="1"/>
  <c r="R406" i="5" s="1"/>
  <c r="P405" i="5"/>
  <c r="Q405" i="5" s="1"/>
  <c r="R405" i="5" s="1"/>
  <c r="P404" i="5"/>
  <c r="Q404" i="5" s="1"/>
  <c r="R404" i="5" s="1"/>
  <c r="P403" i="5"/>
  <c r="Q403" i="5" s="1"/>
  <c r="R403" i="5" s="1"/>
  <c r="P402" i="5"/>
  <c r="Q402" i="5" s="1"/>
  <c r="R402" i="5" s="1"/>
  <c r="P401" i="5"/>
  <c r="Q401" i="5" s="1"/>
  <c r="R401" i="5" s="1"/>
  <c r="R400" i="5"/>
  <c r="P400" i="5"/>
  <c r="Q400" i="5" s="1"/>
  <c r="P399" i="5"/>
  <c r="Q399" i="5" s="1"/>
  <c r="R399" i="5" s="1"/>
  <c r="P398" i="5"/>
  <c r="Q398" i="5" s="1"/>
  <c r="R398" i="5" s="1"/>
  <c r="P397" i="5"/>
  <c r="Q397" i="5" s="1"/>
  <c r="R397" i="5" s="1"/>
  <c r="P396" i="5"/>
  <c r="Q396" i="5" s="1"/>
  <c r="R396" i="5" s="1"/>
  <c r="P395" i="5"/>
  <c r="Q395" i="5" s="1"/>
  <c r="R395" i="5" s="1"/>
  <c r="P394" i="5"/>
  <c r="Q394" i="5" s="1"/>
  <c r="R394" i="5" s="1"/>
  <c r="P393" i="5"/>
  <c r="Q393" i="5" s="1"/>
  <c r="R393" i="5" s="1"/>
  <c r="P392" i="5"/>
  <c r="Q392" i="5" s="1"/>
  <c r="R392" i="5" s="1"/>
  <c r="P391" i="5"/>
  <c r="Q391" i="5" s="1"/>
  <c r="R391" i="5" s="1"/>
  <c r="P390" i="5"/>
  <c r="Q390" i="5" s="1"/>
  <c r="R390" i="5" s="1"/>
  <c r="P389" i="5"/>
  <c r="Q389" i="5" s="1"/>
  <c r="R389" i="5" s="1"/>
  <c r="P388" i="5"/>
  <c r="Q388" i="5" s="1"/>
  <c r="R388" i="5" s="1"/>
  <c r="P387" i="5"/>
  <c r="Q387" i="5" s="1"/>
  <c r="R387" i="5" s="1"/>
  <c r="P386" i="5"/>
  <c r="Q386" i="5" s="1"/>
  <c r="R386" i="5" s="1"/>
  <c r="P385" i="5"/>
  <c r="Q385" i="5" s="1"/>
  <c r="R385" i="5" s="1"/>
  <c r="P384" i="5"/>
  <c r="Q384" i="5" s="1"/>
  <c r="R384" i="5" s="1"/>
  <c r="P383" i="5"/>
  <c r="Q383" i="5" s="1"/>
  <c r="R383" i="5" s="1"/>
  <c r="P382" i="5"/>
  <c r="Q382" i="5" s="1"/>
  <c r="R382" i="5" s="1"/>
  <c r="P381" i="5"/>
  <c r="Q381" i="5" s="1"/>
  <c r="R381" i="5" s="1"/>
  <c r="P380" i="5"/>
  <c r="Q380" i="5" s="1"/>
  <c r="R380" i="5" s="1"/>
  <c r="P379" i="5"/>
  <c r="Q379" i="5" s="1"/>
  <c r="R379" i="5" s="1"/>
  <c r="P378" i="5"/>
  <c r="Q378" i="5" s="1"/>
  <c r="R378" i="5" s="1"/>
  <c r="P377" i="5"/>
  <c r="Q377" i="5" s="1"/>
  <c r="R377" i="5" s="1"/>
  <c r="P376" i="5"/>
  <c r="Q376" i="5" s="1"/>
  <c r="R376" i="5" s="1"/>
  <c r="P375" i="5"/>
  <c r="Q375" i="5" s="1"/>
  <c r="R375" i="5" s="1"/>
  <c r="P374" i="5"/>
  <c r="Q374" i="5" s="1"/>
  <c r="R374" i="5" s="1"/>
  <c r="P373" i="5"/>
  <c r="Q373" i="5" s="1"/>
  <c r="R373" i="5" s="1"/>
  <c r="P372" i="5"/>
  <c r="Q372" i="5" s="1"/>
  <c r="R372" i="5" s="1"/>
  <c r="P371" i="5"/>
  <c r="Q371" i="5" s="1"/>
  <c r="R371" i="5" s="1"/>
  <c r="P370" i="5"/>
  <c r="Q370" i="5" s="1"/>
  <c r="R370" i="5" s="1"/>
  <c r="P369" i="5"/>
  <c r="Q369" i="5" s="1"/>
  <c r="R369" i="5" s="1"/>
  <c r="P368" i="5"/>
  <c r="Q368" i="5" s="1"/>
  <c r="R368" i="5" s="1"/>
  <c r="P367" i="5"/>
  <c r="Q367" i="5" s="1"/>
  <c r="R367" i="5" s="1"/>
  <c r="P366" i="5"/>
  <c r="Q366" i="5" s="1"/>
  <c r="R366" i="5" s="1"/>
  <c r="P365" i="5"/>
  <c r="Q365" i="5" s="1"/>
  <c r="R365" i="5" s="1"/>
  <c r="P364" i="5"/>
  <c r="Q364" i="5" s="1"/>
  <c r="R364" i="5" s="1"/>
  <c r="P363" i="5"/>
  <c r="Q363" i="5" s="1"/>
  <c r="R363" i="5" s="1"/>
  <c r="P362" i="5"/>
  <c r="Q362" i="5" s="1"/>
  <c r="R362" i="5" s="1"/>
  <c r="P361" i="5"/>
  <c r="Q361" i="5" s="1"/>
  <c r="R361" i="5" s="1"/>
  <c r="P360" i="5"/>
  <c r="Q360" i="5" s="1"/>
  <c r="R360" i="5" s="1"/>
  <c r="P359" i="5"/>
  <c r="Q359" i="5" s="1"/>
  <c r="R359" i="5" s="1"/>
  <c r="P358" i="5"/>
  <c r="Q358" i="5" s="1"/>
  <c r="R358" i="5" s="1"/>
  <c r="P357" i="5"/>
  <c r="Q357" i="5" s="1"/>
  <c r="R357" i="5" s="1"/>
  <c r="P356" i="5"/>
  <c r="Q356" i="5" s="1"/>
  <c r="R356" i="5" s="1"/>
  <c r="P355" i="5"/>
  <c r="Q355" i="5" s="1"/>
  <c r="R355" i="5" s="1"/>
  <c r="P354" i="5"/>
  <c r="Q354" i="5" s="1"/>
  <c r="R354" i="5" s="1"/>
  <c r="P353" i="5"/>
  <c r="Q353" i="5" s="1"/>
  <c r="R353" i="5" s="1"/>
  <c r="P352" i="5"/>
  <c r="Q352" i="5" s="1"/>
  <c r="R352" i="5" s="1"/>
  <c r="P351" i="5"/>
  <c r="Q351" i="5" s="1"/>
  <c r="R351" i="5" s="1"/>
  <c r="P350" i="5"/>
  <c r="Q350" i="5" s="1"/>
  <c r="R350" i="5" s="1"/>
  <c r="P349" i="5"/>
  <c r="Q349" i="5" s="1"/>
  <c r="R349" i="5" s="1"/>
  <c r="P348" i="5"/>
  <c r="Q348" i="5" s="1"/>
  <c r="R348" i="5" s="1"/>
  <c r="P347" i="5"/>
  <c r="Q347" i="5" s="1"/>
  <c r="R347" i="5" s="1"/>
  <c r="P346" i="5"/>
  <c r="Q346" i="5" s="1"/>
  <c r="R346" i="5" s="1"/>
  <c r="P345" i="5"/>
  <c r="Q345" i="5" s="1"/>
  <c r="R345" i="5" s="1"/>
  <c r="P344" i="5"/>
  <c r="Q344" i="5" s="1"/>
  <c r="R344" i="5" s="1"/>
  <c r="P343" i="5"/>
  <c r="Q343" i="5" s="1"/>
  <c r="R343" i="5" s="1"/>
  <c r="P342" i="5"/>
  <c r="Q342" i="5" s="1"/>
  <c r="R342" i="5" s="1"/>
  <c r="P341" i="5"/>
  <c r="Q341" i="5" s="1"/>
  <c r="R341" i="5" s="1"/>
  <c r="P340" i="5"/>
  <c r="Q340" i="5" s="1"/>
  <c r="R340" i="5" s="1"/>
  <c r="P339" i="5"/>
  <c r="Q339" i="5" s="1"/>
  <c r="R339" i="5" s="1"/>
  <c r="P338" i="5"/>
  <c r="Q338" i="5" s="1"/>
  <c r="R338" i="5" s="1"/>
  <c r="P337" i="5"/>
  <c r="Q337" i="5" s="1"/>
  <c r="R337" i="5" s="1"/>
  <c r="P336" i="5"/>
  <c r="Q336" i="5" s="1"/>
  <c r="R336" i="5" s="1"/>
  <c r="P335" i="5"/>
  <c r="Q335" i="5" s="1"/>
  <c r="R335" i="5" s="1"/>
  <c r="P334" i="5"/>
  <c r="Q334" i="5" s="1"/>
  <c r="R334" i="5" s="1"/>
  <c r="P333" i="5"/>
  <c r="Q333" i="5" s="1"/>
  <c r="R333" i="5" s="1"/>
  <c r="P332" i="5"/>
  <c r="Q332" i="5" s="1"/>
  <c r="R332" i="5" s="1"/>
  <c r="P331" i="5"/>
  <c r="Q331" i="5" s="1"/>
  <c r="R331" i="5" s="1"/>
  <c r="P330" i="5"/>
  <c r="Q330" i="5" s="1"/>
  <c r="R330" i="5" s="1"/>
  <c r="P329" i="5"/>
  <c r="Q329" i="5" s="1"/>
  <c r="R329" i="5" s="1"/>
  <c r="P328" i="5"/>
  <c r="Q328" i="5" s="1"/>
  <c r="R328" i="5" s="1"/>
  <c r="P327" i="5"/>
  <c r="Q327" i="5" s="1"/>
  <c r="R327" i="5" s="1"/>
  <c r="P326" i="5"/>
  <c r="Q326" i="5" s="1"/>
  <c r="R326" i="5" s="1"/>
  <c r="P325" i="5"/>
  <c r="Q325" i="5" s="1"/>
  <c r="R325" i="5" s="1"/>
  <c r="P324" i="5"/>
  <c r="Q324" i="5" s="1"/>
  <c r="R324" i="5" s="1"/>
  <c r="P323" i="5"/>
  <c r="Q323" i="5" s="1"/>
  <c r="R323" i="5" s="1"/>
  <c r="P322" i="5"/>
  <c r="Q322" i="5" s="1"/>
  <c r="R322" i="5" s="1"/>
  <c r="P321" i="5"/>
  <c r="Q321" i="5" s="1"/>
  <c r="R321" i="5" s="1"/>
  <c r="P320" i="5"/>
  <c r="Q320" i="5" s="1"/>
  <c r="R320" i="5" s="1"/>
  <c r="Q319" i="5"/>
  <c r="R319" i="5" s="1"/>
  <c r="P319" i="5"/>
  <c r="P318" i="5"/>
  <c r="Q318" i="5" s="1"/>
  <c r="R318" i="5" s="1"/>
  <c r="P317" i="5"/>
  <c r="Q317" i="5" s="1"/>
  <c r="R317" i="5" s="1"/>
  <c r="P316" i="5"/>
  <c r="Q316" i="5" s="1"/>
  <c r="R316" i="5" s="1"/>
  <c r="P315" i="5"/>
  <c r="Q315" i="5" s="1"/>
  <c r="R315" i="5" s="1"/>
  <c r="P314" i="5"/>
  <c r="Q314" i="5" s="1"/>
  <c r="R314" i="5" s="1"/>
  <c r="P313" i="5"/>
  <c r="Q313" i="5" s="1"/>
  <c r="R313" i="5" s="1"/>
  <c r="P312" i="5"/>
  <c r="Q312" i="5" s="1"/>
  <c r="R312" i="5" s="1"/>
  <c r="P311" i="5"/>
  <c r="Q311" i="5" s="1"/>
  <c r="R311" i="5" s="1"/>
  <c r="P310" i="5"/>
  <c r="Q310" i="5" s="1"/>
  <c r="R310" i="5" s="1"/>
  <c r="P309" i="5"/>
  <c r="Q309" i="5" s="1"/>
  <c r="R309" i="5" s="1"/>
  <c r="P308" i="5"/>
  <c r="Q308" i="5" s="1"/>
  <c r="R308" i="5" s="1"/>
  <c r="P307" i="5"/>
  <c r="Q307" i="5" s="1"/>
  <c r="R307" i="5" s="1"/>
  <c r="P306" i="5"/>
  <c r="Q306" i="5" s="1"/>
  <c r="R306" i="5" s="1"/>
  <c r="P305" i="5"/>
  <c r="Q305" i="5" s="1"/>
  <c r="R305" i="5" s="1"/>
  <c r="P304" i="5"/>
  <c r="Q304" i="5" s="1"/>
  <c r="R304" i="5" s="1"/>
  <c r="P303" i="5"/>
  <c r="Q303" i="5" s="1"/>
  <c r="R303" i="5" s="1"/>
  <c r="P302" i="5"/>
  <c r="Q302" i="5" s="1"/>
  <c r="R302" i="5" s="1"/>
  <c r="P301" i="5"/>
  <c r="Q301" i="5" s="1"/>
  <c r="R301" i="5" s="1"/>
  <c r="P300" i="5"/>
  <c r="Q300" i="5" s="1"/>
  <c r="R300" i="5" s="1"/>
  <c r="P299" i="5"/>
  <c r="Q299" i="5" s="1"/>
  <c r="R299" i="5" s="1"/>
  <c r="P298" i="5"/>
  <c r="Q298" i="5" s="1"/>
  <c r="R298" i="5" s="1"/>
  <c r="P297" i="5"/>
  <c r="Q297" i="5" s="1"/>
  <c r="R297" i="5" s="1"/>
  <c r="P296" i="5"/>
  <c r="Q296" i="5" s="1"/>
  <c r="R296" i="5" s="1"/>
  <c r="P295" i="5"/>
  <c r="Q295" i="5" s="1"/>
  <c r="R295" i="5" s="1"/>
  <c r="P294" i="5"/>
  <c r="Q294" i="5" s="1"/>
  <c r="R294" i="5" s="1"/>
  <c r="P293" i="5"/>
  <c r="Q293" i="5" s="1"/>
  <c r="R293" i="5" s="1"/>
  <c r="P292" i="5"/>
  <c r="Q292" i="5" s="1"/>
  <c r="R292" i="5" s="1"/>
  <c r="P291" i="5"/>
  <c r="Q291" i="5" s="1"/>
  <c r="R291" i="5" s="1"/>
  <c r="P290" i="5"/>
  <c r="Q290" i="5" s="1"/>
  <c r="R290" i="5" s="1"/>
  <c r="P289" i="5"/>
  <c r="Q289" i="5" s="1"/>
  <c r="R289" i="5" s="1"/>
  <c r="P288" i="5"/>
  <c r="Q288" i="5" s="1"/>
  <c r="R288" i="5" s="1"/>
  <c r="P287" i="5"/>
  <c r="Q287" i="5" s="1"/>
  <c r="R287" i="5" s="1"/>
  <c r="P286" i="5"/>
  <c r="Q286" i="5" s="1"/>
  <c r="R286" i="5" s="1"/>
  <c r="P285" i="5"/>
  <c r="Q285" i="5" s="1"/>
  <c r="R285" i="5" s="1"/>
  <c r="P284" i="5"/>
  <c r="Q284" i="5" s="1"/>
  <c r="R284" i="5" s="1"/>
  <c r="P283" i="5"/>
  <c r="Q283" i="5" s="1"/>
  <c r="R283" i="5" s="1"/>
  <c r="P282" i="5"/>
  <c r="Q282" i="5" s="1"/>
  <c r="R282" i="5" s="1"/>
  <c r="P281" i="5"/>
  <c r="Q281" i="5" s="1"/>
  <c r="R281" i="5" s="1"/>
  <c r="P280" i="5"/>
  <c r="Q280" i="5" s="1"/>
  <c r="R280" i="5" s="1"/>
  <c r="P279" i="5"/>
  <c r="Q279" i="5" s="1"/>
  <c r="R279" i="5" s="1"/>
  <c r="P278" i="5"/>
  <c r="Q278" i="5" s="1"/>
  <c r="R278" i="5" s="1"/>
  <c r="P277" i="5"/>
  <c r="Q277" i="5" s="1"/>
  <c r="R277" i="5" s="1"/>
  <c r="P276" i="5"/>
  <c r="Q276" i="5" s="1"/>
  <c r="R276" i="5" s="1"/>
  <c r="P275" i="5"/>
  <c r="Q275" i="5" s="1"/>
  <c r="R275" i="5" s="1"/>
  <c r="P274" i="5"/>
  <c r="Q274" i="5" s="1"/>
  <c r="R274" i="5" s="1"/>
  <c r="P273" i="5"/>
  <c r="Q273" i="5" s="1"/>
  <c r="R273" i="5" s="1"/>
  <c r="P272" i="5"/>
  <c r="Q272" i="5" s="1"/>
  <c r="R272" i="5" s="1"/>
  <c r="P271" i="5"/>
  <c r="Q271" i="5" s="1"/>
  <c r="R271" i="5" s="1"/>
  <c r="P270" i="5"/>
  <c r="Q270" i="5" s="1"/>
  <c r="R270" i="5" s="1"/>
  <c r="P269" i="5"/>
  <c r="Q269" i="5" s="1"/>
  <c r="R269" i="5" s="1"/>
  <c r="P268" i="5"/>
  <c r="Q268" i="5" s="1"/>
  <c r="R268" i="5" s="1"/>
  <c r="P267" i="5"/>
  <c r="Q267" i="5" s="1"/>
  <c r="R267" i="5" s="1"/>
  <c r="P266" i="5"/>
  <c r="Q266" i="5" s="1"/>
  <c r="R266" i="5" s="1"/>
  <c r="P265" i="5"/>
  <c r="Q265" i="5" s="1"/>
  <c r="R265" i="5" s="1"/>
  <c r="P264" i="5"/>
  <c r="Q264" i="5" s="1"/>
  <c r="R264" i="5" s="1"/>
  <c r="P263" i="5"/>
  <c r="Q263" i="5" s="1"/>
  <c r="R263" i="5" s="1"/>
  <c r="P262" i="5"/>
  <c r="Q262" i="5" s="1"/>
  <c r="R262" i="5" s="1"/>
  <c r="P261" i="5"/>
  <c r="Q261" i="5" s="1"/>
  <c r="R261" i="5" s="1"/>
  <c r="P260" i="5"/>
  <c r="Q260" i="5" s="1"/>
  <c r="R260" i="5" s="1"/>
  <c r="P259" i="5"/>
  <c r="Q259" i="5" s="1"/>
  <c r="R259" i="5" s="1"/>
  <c r="P258" i="5"/>
  <c r="Q258" i="5" s="1"/>
  <c r="R258" i="5" s="1"/>
  <c r="P257" i="5"/>
  <c r="Q257" i="5" s="1"/>
  <c r="R257" i="5" s="1"/>
  <c r="P256" i="5"/>
  <c r="Q256" i="5" s="1"/>
  <c r="R256" i="5" s="1"/>
  <c r="P255" i="5"/>
  <c r="Q255" i="5" s="1"/>
  <c r="R255" i="5" s="1"/>
  <c r="P254" i="5"/>
  <c r="Q254" i="5" s="1"/>
  <c r="R254" i="5" s="1"/>
  <c r="P253" i="5"/>
  <c r="Q253" i="5" s="1"/>
  <c r="R253" i="5" s="1"/>
  <c r="P252" i="5"/>
  <c r="Q252" i="5" s="1"/>
  <c r="R252" i="5" s="1"/>
  <c r="P251" i="5"/>
  <c r="Q251" i="5" s="1"/>
  <c r="R251" i="5" s="1"/>
  <c r="Q250" i="5"/>
  <c r="R250" i="5" s="1"/>
  <c r="P250" i="5"/>
  <c r="P249" i="5"/>
  <c r="Q249" i="5" s="1"/>
  <c r="R249" i="5" s="1"/>
  <c r="P248" i="5"/>
  <c r="Q248" i="5" s="1"/>
  <c r="R248" i="5" s="1"/>
  <c r="P247" i="5"/>
  <c r="Q247" i="5" s="1"/>
  <c r="R247" i="5" s="1"/>
  <c r="P246" i="5"/>
  <c r="Q246" i="5" s="1"/>
  <c r="R246" i="5" s="1"/>
  <c r="P245" i="5"/>
  <c r="Q245" i="5" s="1"/>
  <c r="R245" i="5" s="1"/>
  <c r="P244" i="5"/>
  <c r="Q244" i="5" s="1"/>
  <c r="R244" i="5" s="1"/>
  <c r="P243" i="5"/>
  <c r="Q243" i="5" s="1"/>
  <c r="R243" i="5" s="1"/>
  <c r="P242" i="5"/>
  <c r="Q242" i="5" s="1"/>
  <c r="R242" i="5" s="1"/>
  <c r="P241" i="5"/>
  <c r="Q241" i="5" s="1"/>
  <c r="R241" i="5" s="1"/>
  <c r="P240" i="5"/>
  <c r="Q240" i="5" s="1"/>
  <c r="R240" i="5" s="1"/>
  <c r="P239" i="5"/>
  <c r="Q239" i="5" s="1"/>
  <c r="R239" i="5" s="1"/>
  <c r="P238" i="5"/>
  <c r="Q238" i="5" s="1"/>
  <c r="R238" i="5" s="1"/>
  <c r="P237" i="5"/>
  <c r="Q237" i="5" s="1"/>
  <c r="R237" i="5" s="1"/>
  <c r="P236" i="5"/>
  <c r="Q236" i="5" s="1"/>
  <c r="R236" i="5" s="1"/>
  <c r="P235" i="5"/>
  <c r="Q235" i="5" s="1"/>
  <c r="R235" i="5" s="1"/>
  <c r="P234" i="5"/>
  <c r="Q234" i="5" s="1"/>
  <c r="R234" i="5" s="1"/>
  <c r="P233" i="5"/>
  <c r="Q233" i="5" s="1"/>
  <c r="R233" i="5" s="1"/>
  <c r="P232" i="5"/>
  <c r="Q232" i="5" s="1"/>
  <c r="R232" i="5" s="1"/>
  <c r="P231" i="5"/>
  <c r="Q231" i="5" s="1"/>
  <c r="R231" i="5" s="1"/>
  <c r="P230" i="5"/>
  <c r="Q230" i="5" s="1"/>
  <c r="R230" i="5" s="1"/>
  <c r="P229" i="5"/>
  <c r="Q229" i="5" s="1"/>
  <c r="R229" i="5" s="1"/>
  <c r="P228" i="5"/>
  <c r="Q228" i="5" s="1"/>
  <c r="R228" i="5" s="1"/>
  <c r="P227" i="5"/>
  <c r="Q227" i="5" s="1"/>
  <c r="R227" i="5" s="1"/>
  <c r="P226" i="5"/>
  <c r="Q226" i="5" s="1"/>
  <c r="R226" i="5" s="1"/>
  <c r="P225" i="5"/>
  <c r="Q225" i="5" s="1"/>
  <c r="R225" i="5" s="1"/>
  <c r="P224" i="5"/>
  <c r="Q224" i="5" s="1"/>
  <c r="R224" i="5" s="1"/>
  <c r="P223" i="5"/>
  <c r="Q223" i="5" s="1"/>
  <c r="R223" i="5" s="1"/>
  <c r="P222" i="5"/>
  <c r="Q222" i="5" s="1"/>
  <c r="R222" i="5" s="1"/>
  <c r="P221" i="5"/>
  <c r="Q221" i="5" s="1"/>
  <c r="R221" i="5" s="1"/>
  <c r="P220" i="5"/>
  <c r="Q220" i="5" s="1"/>
  <c r="R220" i="5" s="1"/>
  <c r="P219" i="5"/>
  <c r="Q219" i="5" s="1"/>
  <c r="R219" i="5" s="1"/>
  <c r="P218" i="5"/>
  <c r="Q218" i="5" s="1"/>
  <c r="R218" i="5" s="1"/>
  <c r="P217" i="5"/>
  <c r="Q217" i="5" s="1"/>
  <c r="R217" i="5" s="1"/>
  <c r="P216" i="5"/>
  <c r="Q216" i="5" s="1"/>
  <c r="R216" i="5" s="1"/>
  <c r="P215" i="5"/>
  <c r="Q215" i="5" s="1"/>
  <c r="R215" i="5" s="1"/>
  <c r="P214" i="5"/>
  <c r="Q214" i="5" s="1"/>
  <c r="R214" i="5" s="1"/>
  <c r="P213" i="5"/>
  <c r="Q213" i="5" s="1"/>
  <c r="R213" i="5" s="1"/>
  <c r="P212" i="5"/>
  <c r="Q212" i="5" s="1"/>
  <c r="R212" i="5" s="1"/>
  <c r="P211" i="5"/>
  <c r="Q211" i="5" s="1"/>
  <c r="R211" i="5" s="1"/>
  <c r="P210" i="5"/>
  <c r="Q210" i="5" s="1"/>
  <c r="R210" i="5" s="1"/>
  <c r="P209" i="5"/>
  <c r="Q209" i="5" s="1"/>
  <c r="R209" i="5" s="1"/>
  <c r="P208" i="5"/>
  <c r="Q208" i="5" s="1"/>
  <c r="R208" i="5" s="1"/>
  <c r="P207" i="5"/>
  <c r="Q207" i="5" s="1"/>
  <c r="R207" i="5" s="1"/>
  <c r="P206" i="5"/>
  <c r="Q206" i="5" s="1"/>
  <c r="R206" i="5" s="1"/>
  <c r="P205" i="5"/>
  <c r="Q205" i="5" s="1"/>
  <c r="R205" i="5" s="1"/>
  <c r="P204" i="5"/>
  <c r="Q204" i="5" s="1"/>
  <c r="R204" i="5" s="1"/>
  <c r="P203" i="5"/>
  <c r="Q203" i="5" s="1"/>
  <c r="R203" i="5" s="1"/>
  <c r="P202" i="5"/>
  <c r="Q202" i="5" s="1"/>
  <c r="R202" i="5" s="1"/>
  <c r="P201" i="5"/>
  <c r="Q201" i="5" s="1"/>
  <c r="R201" i="5" s="1"/>
  <c r="P200" i="5"/>
  <c r="Q200" i="5" s="1"/>
  <c r="R200" i="5" s="1"/>
  <c r="P199" i="5"/>
  <c r="Q199" i="5" s="1"/>
  <c r="R199" i="5" s="1"/>
  <c r="P198" i="5"/>
  <c r="Q198" i="5" s="1"/>
  <c r="R198" i="5" s="1"/>
  <c r="P197" i="5"/>
  <c r="Q197" i="5" s="1"/>
  <c r="R197" i="5" s="1"/>
  <c r="P196" i="5"/>
  <c r="Q196" i="5" s="1"/>
  <c r="R196" i="5" s="1"/>
  <c r="P195" i="5"/>
  <c r="Q195" i="5" s="1"/>
  <c r="R195" i="5" s="1"/>
  <c r="P194" i="5"/>
  <c r="Q194" i="5" s="1"/>
  <c r="R194" i="5" s="1"/>
  <c r="P193" i="5"/>
  <c r="Q193" i="5" s="1"/>
  <c r="R193" i="5" s="1"/>
  <c r="P192" i="5"/>
  <c r="Q192" i="5" s="1"/>
  <c r="R192" i="5" s="1"/>
  <c r="P191" i="5"/>
  <c r="Q191" i="5" s="1"/>
  <c r="R191" i="5" s="1"/>
  <c r="P190" i="5"/>
  <c r="Q190" i="5" s="1"/>
  <c r="R190" i="5" s="1"/>
  <c r="P189" i="5"/>
  <c r="Q189" i="5" s="1"/>
  <c r="R189" i="5" s="1"/>
  <c r="P188" i="5"/>
  <c r="Q188" i="5" s="1"/>
  <c r="R188" i="5" s="1"/>
  <c r="P187" i="5"/>
  <c r="Q187" i="5" s="1"/>
  <c r="R187" i="5" s="1"/>
  <c r="P186" i="5"/>
  <c r="Q186" i="5" s="1"/>
  <c r="R186" i="5" s="1"/>
  <c r="P185" i="5"/>
  <c r="Q185" i="5" s="1"/>
  <c r="R185" i="5" s="1"/>
  <c r="P184" i="5"/>
  <c r="Q184" i="5" s="1"/>
  <c r="R184" i="5" s="1"/>
  <c r="P183" i="5"/>
  <c r="Q183" i="5" s="1"/>
  <c r="R183" i="5" s="1"/>
  <c r="P182" i="5"/>
  <c r="Q182" i="5" s="1"/>
  <c r="R182" i="5" s="1"/>
  <c r="P181" i="5"/>
  <c r="Q181" i="5" s="1"/>
  <c r="R181" i="5" s="1"/>
  <c r="P180" i="5"/>
  <c r="Q180" i="5" s="1"/>
  <c r="R180" i="5" s="1"/>
  <c r="P179" i="5"/>
  <c r="Q179" i="5" s="1"/>
  <c r="R179" i="5" s="1"/>
  <c r="P178" i="5"/>
  <c r="Q178" i="5" s="1"/>
  <c r="R178" i="5" s="1"/>
  <c r="P177" i="5"/>
  <c r="Q177" i="5" s="1"/>
  <c r="R177" i="5" s="1"/>
  <c r="P176" i="5"/>
  <c r="Q176" i="5" s="1"/>
  <c r="R176" i="5" s="1"/>
  <c r="P175" i="5"/>
  <c r="Q175" i="5" s="1"/>
  <c r="R175" i="5" s="1"/>
  <c r="P174" i="5"/>
  <c r="Q174" i="5" s="1"/>
  <c r="R174" i="5" s="1"/>
  <c r="P173" i="5"/>
  <c r="Q173" i="5" s="1"/>
  <c r="R173" i="5" s="1"/>
  <c r="P172" i="5"/>
  <c r="Q172" i="5" s="1"/>
  <c r="R172" i="5" s="1"/>
  <c r="P171" i="5"/>
  <c r="Q171" i="5" s="1"/>
  <c r="R171" i="5" s="1"/>
  <c r="P170" i="5"/>
  <c r="Q170" i="5" s="1"/>
  <c r="R170" i="5" s="1"/>
  <c r="P169" i="5"/>
  <c r="Q169" i="5" s="1"/>
  <c r="R169" i="5" s="1"/>
  <c r="P168" i="5"/>
  <c r="Q168" i="5" s="1"/>
  <c r="R168" i="5" s="1"/>
  <c r="P167" i="5"/>
  <c r="Q167" i="5" s="1"/>
  <c r="R167" i="5" s="1"/>
  <c r="P166" i="5"/>
  <c r="Q166" i="5" s="1"/>
  <c r="R166" i="5" s="1"/>
  <c r="P165" i="5"/>
  <c r="Q165" i="5" s="1"/>
  <c r="R165" i="5" s="1"/>
  <c r="P164" i="5"/>
  <c r="Q164" i="5" s="1"/>
  <c r="R164" i="5" s="1"/>
  <c r="P163" i="5"/>
  <c r="Q163" i="5" s="1"/>
  <c r="R163" i="5" s="1"/>
  <c r="P162" i="5"/>
  <c r="Q162" i="5" s="1"/>
  <c r="R162" i="5" s="1"/>
  <c r="P161" i="5"/>
  <c r="Q161" i="5" s="1"/>
  <c r="R161" i="5" s="1"/>
  <c r="P160" i="5"/>
  <c r="Q160" i="5" s="1"/>
  <c r="R160" i="5" s="1"/>
  <c r="P159" i="5"/>
  <c r="Q159" i="5" s="1"/>
  <c r="R159" i="5" s="1"/>
  <c r="P158" i="5"/>
  <c r="Q158" i="5" s="1"/>
  <c r="R158" i="5" s="1"/>
  <c r="P157" i="5"/>
  <c r="Q157" i="5" s="1"/>
  <c r="R157" i="5" s="1"/>
  <c r="P156" i="5"/>
  <c r="Q156" i="5" s="1"/>
  <c r="R156" i="5" s="1"/>
  <c r="P155" i="5"/>
  <c r="Q155" i="5" s="1"/>
  <c r="R155" i="5" s="1"/>
  <c r="P154" i="5"/>
  <c r="Q154" i="5" s="1"/>
  <c r="R154" i="5" s="1"/>
  <c r="P153" i="5"/>
  <c r="Q153" i="5" s="1"/>
  <c r="R153" i="5" s="1"/>
  <c r="P152" i="5"/>
  <c r="Q152" i="5" s="1"/>
  <c r="R152" i="5" s="1"/>
  <c r="P151" i="5"/>
  <c r="Q151" i="5" s="1"/>
  <c r="R151" i="5" s="1"/>
  <c r="P150" i="5"/>
  <c r="Q150" i="5" s="1"/>
  <c r="R150" i="5" s="1"/>
  <c r="P149" i="5"/>
  <c r="Q149" i="5" s="1"/>
  <c r="R149" i="5" s="1"/>
  <c r="P148" i="5"/>
  <c r="Q148" i="5" s="1"/>
  <c r="R148" i="5" s="1"/>
  <c r="P147" i="5"/>
  <c r="Q147" i="5" s="1"/>
  <c r="R147" i="5" s="1"/>
  <c r="P146" i="5"/>
  <c r="Q146" i="5" s="1"/>
  <c r="R146" i="5" s="1"/>
  <c r="P145" i="5"/>
  <c r="Q145" i="5" s="1"/>
  <c r="R145" i="5" s="1"/>
  <c r="P144" i="5"/>
  <c r="Q144" i="5" s="1"/>
  <c r="R144" i="5" s="1"/>
  <c r="P143" i="5"/>
  <c r="Q143" i="5" s="1"/>
  <c r="R143" i="5" s="1"/>
  <c r="P142" i="5"/>
  <c r="Q142" i="5" s="1"/>
  <c r="R142" i="5" s="1"/>
  <c r="P141" i="5"/>
  <c r="Q141" i="5" s="1"/>
  <c r="R141" i="5" s="1"/>
  <c r="P140" i="5"/>
  <c r="Q140" i="5" s="1"/>
  <c r="R140" i="5" s="1"/>
  <c r="P139" i="5"/>
  <c r="Q139" i="5" s="1"/>
  <c r="R139" i="5" s="1"/>
  <c r="P138" i="5"/>
  <c r="Q138" i="5" s="1"/>
  <c r="R138" i="5" s="1"/>
  <c r="P137" i="5"/>
  <c r="Q137" i="5" s="1"/>
  <c r="R137" i="5" s="1"/>
  <c r="P136" i="5"/>
  <c r="Q136" i="5" s="1"/>
  <c r="R136" i="5" s="1"/>
  <c r="P135" i="5"/>
  <c r="Q135" i="5" s="1"/>
  <c r="R135" i="5" s="1"/>
  <c r="P134" i="5"/>
  <c r="Q134" i="5" s="1"/>
  <c r="R134" i="5" s="1"/>
  <c r="P133" i="5"/>
  <c r="Q133" i="5" s="1"/>
  <c r="R133" i="5" s="1"/>
  <c r="P132" i="5"/>
  <c r="Q132" i="5" s="1"/>
  <c r="R132" i="5" s="1"/>
  <c r="P131" i="5"/>
  <c r="Q131" i="5" s="1"/>
  <c r="R131" i="5" s="1"/>
  <c r="P130" i="5"/>
  <c r="Q130" i="5" s="1"/>
  <c r="R130" i="5" s="1"/>
  <c r="P129" i="5"/>
  <c r="Q129" i="5" s="1"/>
  <c r="R129" i="5" s="1"/>
  <c r="P128" i="5"/>
  <c r="Q128" i="5" s="1"/>
  <c r="R128" i="5" s="1"/>
  <c r="P127" i="5"/>
  <c r="Q127" i="5" s="1"/>
  <c r="R127" i="5" s="1"/>
  <c r="P126" i="5"/>
  <c r="Q126" i="5" s="1"/>
  <c r="R126" i="5" s="1"/>
  <c r="P125" i="5"/>
  <c r="Q125" i="5" s="1"/>
  <c r="R125" i="5" s="1"/>
  <c r="P124" i="5"/>
  <c r="Q124" i="5" s="1"/>
  <c r="R124" i="5" s="1"/>
  <c r="P123" i="5"/>
  <c r="Q123" i="5" s="1"/>
  <c r="R123" i="5" s="1"/>
  <c r="P122" i="5"/>
  <c r="Q122" i="5" s="1"/>
  <c r="R122" i="5" s="1"/>
  <c r="P121" i="5"/>
  <c r="Q121" i="5" s="1"/>
  <c r="R121" i="5" s="1"/>
  <c r="P120" i="5"/>
  <c r="Q120" i="5" s="1"/>
  <c r="R120" i="5" s="1"/>
  <c r="P119" i="5"/>
  <c r="Q119" i="5" s="1"/>
  <c r="R119" i="5" s="1"/>
  <c r="P118" i="5"/>
  <c r="Q118" i="5" s="1"/>
  <c r="R118" i="5" s="1"/>
  <c r="P117" i="5"/>
  <c r="Q117" i="5" s="1"/>
  <c r="R117" i="5" s="1"/>
  <c r="P116" i="5"/>
  <c r="Q116" i="5" s="1"/>
  <c r="R116" i="5" s="1"/>
  <c r="P115" i="5"/>
  <c r="Q115" i="5" s="1"/>
  <c r="R115" i="5" s="1"/>
  <c r="P114" i="5"/>
  <c r="Q114" i="5" s="1"/>
  <c r="R114" i="5" s="1"/>
  <c r="P113" i="5"/>
  <c r="Q113" i="5" s="1"/>
  <c r="R113" i="5" s="1"/>
  <c r="P112" i="5"/>
  <c r="Q112" i="5" s="1"/>
  <c r="R112" i="5" s="1"/>
  <c r="P111" i="5"/>
  <c r="Q111" i="5" s="1"/>
  <c r="R111" i="5" s="1"/>
  <c r="P110" i="5"/>
  <c r="Q110" i="5" s="1"/>
  <c r="R110" i="5" s="1"/>
  <c r="P109" i="5"/>
  <c r="Q109" i="5" s="1"/>
  <c r="R109" i="5" s="1"/>
  <c r="P108" i="5"/>
  <c r="Q108" i="5" s="1"/>
  <c r="R108" i="5" s="1"/>
  <c r="P107" i="5"/>
  <c r="Q107" i="5" s="1"/>
  <c r="R107" i="5" s="1"/>
  <c r="P106" i="5"/>
  <c r="Q106" i="5" s="1"/>
  <c r="R106" i="5" s="1"/>
  <c r="P105" i="5"/>
  <c r="Q105" i="5" s="1"/>
  <c r="R105" i="5" s="1"/>
  <c r="P104" i="5"/>
  <c r="Q104" i="5" s="1"/>
  <c r="R104" i="5" s="1"/>
  <c r="P103" i="5"/>
  <c r="Q103" i="5" s="1"/>
  <c r="R103" i="5" s="1"/>
  <c r="P102" i="5"/>
  <c r="Q102" i="5" s="1"/>
  <c r="R102" i="5" s="1"/>
  <c r="P101" i="5"/>
  <c r="Q101" i="5" s="1"/>
  <c r="R101" i="5" s="1"/>
  <c r="P100" i="5"/>
  <c r="Q100" i="5" s="1"/>
  <c r="R100" i="5" s="1"/>
  <c r="P99" i="5"/>
  <c r="Q99" i="5" s="1"/>
  <c r="R99" i="5" s="1"/>
  <c r="P98" i="5"/>
  <c r="Q98" i="5" s="1"/>
  <c r="R98" i="5" s="1"/>
  <c r="P97" i="5"/>
  <c r="Q97" i="5" s="1"/>
  <c r="R97" i="5" s="1"/>
  <c r="P96" i="5"/>
  <c r="Q96" i="5" s="1"/>
  <c r="R96" i="5" s="1"/>
  <c r="P95" i="5"/>
  <c r="Q95" i="5" s="1"/>
  <c r="R95" i="5" s="1"/>
  <c r="P94" i="5"/>
  <c r="Q94" i="5" s="1"/>
  <c r="R94" i="5" s="1"/>
  <c r="P93" i="5"/>
  <c r="Q93" i="5" s="1"/>
  <c r="R93" i="5" s="1"/>
  <c r="P92" i="5"/>
  <c r="Q92" i="5" s="1"/>
  <c r="R92" i="5" s="1"/>
  <c r="P91" i="5"/>
  <c r="Q91" i="5" s="1"/>
  <c r="R91" i="5" s="1"/>
  <c r="P90" i="5"/>
  <c r="Q90" i="5" s="1"/>
  <c r="R90" i="5" s="1"/>
  <c r="P89" i="5"/>
  <c r="Q89" i="5" s="1"/>
  <c r="R89" i="5" s="1"/>
  <c r="P88" i="5"/>
  <c r="Q88" i="5" s="1"/>
  <c r="R88" i="5" s="1"/>
  <c r="P87" i="5"/>
  <c r="Q87" i="5" s="1"/>
  <c r="R87" i="5" s="1"/>
  <c r="P86" i="5"/>
  <c r="Q86" i="5" s="1"/>
  <c r="R86" i="5" s="1"/>
  <c r="P85" i="5"/>
  <c r="Q85" i="5" s="1"/>
  <c r="R85" i="5" s="1"/>
  <c r="P84" i="5"/>
  <c r="Q84" i="5" s="1"/>
  <c r="R84" i="5" s="1"/>
  <c r="P83" i="5"/>
  <c r="Q83" i="5" s="1"/>
  <c r="R83" i="5" s="1"/>
  <c r="P82" i="5"/>
  <c r="Q82" i="5" s="1"/>
  <c r="R82" i="5" s="1"/>
  <c r="P81" i="5"/>
  <c r="Q81" i="5" s="1"/>
  <c r="R81" i="5" s="1"/>
  <c r="P80" i="5"/>
  <c r="Q80" i="5" s="1"/>
  <c r="R80" i="5" s="1"/>
  <c r="P79" i="5"/>
  <c r="Q79" i="5" s="1"/>
  <c r="R79" i="5" s="1"/>
  <c r="P78" i="5"/>
  <c r="Q78" i="5" s="1"/>
  <c r="R78" i="5" s="1"/>
  <c r="P77" i="5"/>
  <c r="Q77" i="5" s="1"/>
  <c r="R77" i="5" s="1"/>
  <c r="P76" i="5"/>
  <c r="Q76" i="5" s="1"/>
  <c r="R76" i="5" s="1"/>
  <c r="P75" i="5"/>
  <c r="Q75" i="5" s="1"/>
  <c r="R75" i="5" s="1"/>
  <c r="P74" i="5"/>
  <c r="Q74" i="5" s="1"/>
  <c r="R74" i="5" s="1"/>
  <c r="P73" i="5"/>
  <c r="Q73" i="5" s="1"/>
  <c r="R73" i="5" s="1"/>
  <c r="P72" i="5"/>
  <c r="Q72" i="5" s="1"/>
  <c r="R72" i="5" s="1"/>
  <c r="P71" i="5"/>
  <c r="Q71" i="5" s="1"/>
  <c r="R71" i="5" s="1"/>
  <c r="P70" i="5"/>
  <c r="Q70" i="5" s="1"/>
  <c r="R70" i="5" s="1"/>
  <c r="P69" i="5"/>
  <c r="Q69" i="5" s="1"/>
  <c r="R69" i="5" s="1"/>
  <c r="P68" i="5"/>
  <c r="Q68" i="5" s="1"/>
  <c r="R68" i="5" s="1"/>
  <c r="P67" i="5"/>
  <c r="Q67" i="5" s="1"/>
  <c r="R67" i="5" s="1"/>
  <c r="P66" i="5"/>
  <c r="Q66" i="5" s="1"/>
  <c r="R66" i="5" s="1"/>
  <c r="P65" i="5"/>
  <c r="Q65" i="5" s="1"/>
  <c r="R65" i="5" s="1"/>
  <c r="P64" i="5"/>
  <c r="Q64" i="5" s="1"/>
  <c r="R64" i="5" s="1"/>
  <c r="P63" i="5"/>
  <c r="Q63" i="5" s="1"/>
  <c r="R63" i="5" s="1"/>
  <c r="P62" i="5"/>
  <c r="Q62" i="5" s="1"/>
  <c r="R62" i="5" s="1"/>
  <c r="P61" i="5"/>
  <c r="Q61" i="5" s="1"/>
  <c r="R61" i="5" s="1"/>
  <c r="P60" i="5"/>
  <c r="Q60" i="5" s="1"/>
  <c r="R60" i="5" s="1"/>
  <c r="P59" i="5"/>
  <c r="Q59" i="5" s="1"/>
  <c r="R59" i="5" s="1"/>
  <c r="P58" i="5"/>
  <c r="Q58" i="5" s="1"/>
  <c r="R58" i="5" s="1"/>
  <c r="P57" i="5"/>
  <c r="Q57" i="5" s="1"/>
  <c r="R57" i="5" s="1"/>
  <c r="P56" i="5"/>
  <c r="Q56" i="5" s="1"/>
  <c r="R56" i="5" s="1"/>
  <c r="P55" i="5"/>
  <c r="Q55" i="5" s="1"/>
  <c r="R55" i="5" s="1"/>
  <c r="P54" i="5"/>
  <c r="Q54" i="5" s="1"/>
  <c r="R54" i="5" s="1"/>
  <c r="P53" i="5"/>
  <c r="Q53" i="5" s="1"/>
  <c r="R53" i="5" s="1"/>
  <c r="P52" i="5"/>
  <c r="Q52" i="5" s="1"/>
  <c r="R52" i="5" s="1"/>
  <c r="P51" i="5"/>
  <c r="Q51" i="5" s="1"/>
  <c r="R51" i="5" s="1"/>
  <c r="P50" i="5"/>
  <c r="Q50" i="5" s="1"/>
  <c r="R50" i="5" s="1"/>
  <c r="P49" i="5"/>
  <c r="Q49" i="5" s="1"/>
  <c r="R49" i="5" s="1"/>
  <c r="P48" i="5"/>
  <c r="Q48" i="5" s="1"/>
  <c r="R48" i="5" s="1"/>
  <c r="P47" i="5"/>
  <c r="Q47" i="5" s="1"/>
  <c r="R47" i="5" s="1"/>
  <c r="P46" i="5"/>
  <c r="Q46" i="5" s="1"/>
  <c r="R46" i="5" s="1"/>
  <c r="P45" i="5"/>
  <c r="Q45" i="5" s="1"/>
  <c r="R45" i="5" s="1"/>
  <c r="P44" i="5"/>
  <c r="Q44" i="5" s="1"/>
  <c r="R44" i="5" s="1"/>
  <c r="P43" i="5"/>
  <c r="Q43" i="5" s="1"/>
  <c r="R43" i="5" s="1"/>
  <c r="P42" i="5"/>
  <c r="Q42" i="5" s="1"/>
  <c r="R42" i="5" s="1"/>
  <c r="P41" i="5"/>
  <c r="Q41" i="5" s="1"/>
  <c r="R41" i="5" s="1"/>
  <c r="P40" i="5"/>
  <c r="Q40" i="5" s="1"/>
  <c r="R40" i="5" s="1"/>
  <c r="P39" i="5"/>
  <c r="Q39" i="5" s="1"/>
  <c r="R39" i="5" s="1"/>
  <c r="P38" i="5"/>
  <c r="Q38" i="5" s="1"/>
  <c r="R38" i="5" s="1"/>
  <c r="P37" i="5"/>
  <c r="Q37" i="5" s="1"/>
  <c r="R37" i="5" s="1"/>
  <c r="P36" i="5"/>
  <c r="Q36" i="5" s="1"/>
  <c r="R36" i="5" s="1"/>
  <c r="P35" i="5"/>
  <c r="Q35" i="5" s="1"/>
  <c r="R35" i="5" s="1"/>
  <c r="P34" i="5"/>
  <c r="Q34" i="5" s="1"/>
  <c r="R34" i="5" s="1"/>
  <c r="P33" i="5"/>
  <c r="Q33" i="5" s="1"/>
  <c r="R33" i="5" s="1"/>
  <c r="P32" i="5"/>
  <c r="Q32" i="5" s="1"/>
  <c r="R32" i="5" s="1"/>
  <c r="P31" i="5"/>
  <c r="Q31" i="5" s="1"/>
  <c r="R31" i="5" s="1"/>
  <c r="P30" i="5"/>
  <c r="Q30" i="5" s="1"/>
  <c r="R30" i="5" s="1"/>
  <c r="P29" i="5"/>
  <c r="Q29" i="5" s="1"/>
  <c r="R29" i="5" s="1"/>
  <c r="P28" i="5"/>
  <c r="Q28" i="5" s="1"/>
  <c r="R28" i="5" s="1"/>
  <c r="P27" i="5"/>
  <c r="Q27" i="5" s="1"/>
  <c r="R27" i="5" s="1"/>
  <c r="P26" i="5"/>
  <c r="Q26" i="5" s="1"/>
  <c r="R26" i="5" s="1"/>
  <c r="P25" i="5"/>
  <c r="Q25" i="5" s="1"/>
  <c r="R25" i="5" s="1"/>
  <c r="P24" i="5"/>
  <c r="Q24" i="5" s="1"/>
  <c r="R24" i="5" s="1"/>
  <c r="P23" i="5"/>
  <c r="Q23" i="5" s="1"/>
  <c r="R23" i="5" s="1"/>
  <c r="P22" i="5"/>
  <c r="Q22" i="5" s="1"/>
  <c r="R22" i="5" s="1"/>
  <c r="P21" i="5"/>
  <c r="Q21" i="5" s="1"/>
  <c r="R21" i="5" s="1"/>
  <c r="P20" i="5"/>
  <c r="Q20" i="5" s="1"/>
  <c r="R20" i="5" s="1"/>
  <c r="P19" i="5"/>
  <c r="Q19" i="5" s="1"/>
  <c r="R19" i="5" s="1"/>
  <c r="P18" i="5"/>
  <c r="Q18" i="5" s="1"/>
  <c r="R18" i="5" s="1"/>
  <c r="P17" i="5"/>
  <c r="Q17" i="5" s="1"/>
  <c r="R17" i="5" s="1"/>
  <c r="P16" i="5"/>
  <c r="Q16" i="5" s="1"/>
  <c r="R16" i="5" s="1"/>
  <c r="P15" i="5"/>
  <c r="Q15" i="5" s="1"/>
  <c r="R15" i="5" s="1"/>
  <c r="P14" i="5"/>
  <c r="Q14" i="5" s="1"/>
  <c r="R14" i="5" s="1"/>
  <c r="P13" i="5"/>
  <c r="Q13" i="5" s="1"/>
  <c r="R13" i="5" s="1"/>
  <c r="P12" i="5"/>
  <c r="Q12" i="5" s="1"/>
  <c r="R12" i="5" s="1"/>
  <c r="P11" i="5"/>
  <c r="Q11" i="5" s="1"/>
  <c r="P10" i="5"/>
  <c r="Q10" i="5" s="1"/>
  <c r="R10" i="5" s="1"/>
  <c r="P9" i="5"/>
  <c r="Q9" i="5" s="1"/>
  <c r="R9" i="5" s="1"/>
  <c r="P8" i="5"/>
  <c r="Q8" i="5" s="1"/>
  <c r="R8" i="5" s="1"/>
  <c r="P7" i="5"/>
  <c r="Q7" i="5" s="1"/>
  <c r="R7" i="5" s="1"/>
  <c r="P6" i="5"/>
  <c r="Q6" i="5" s="1"/>
  <c r="R6" i="5" s="1"/>
  <c r="I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H6" i="4"/>
  <c r="G6" i="4"/>
  <c r="F6" i="4"/>
  <c r="E6" i="4"/>
  <c r="D6" i="4"/>
  <c r="C6" i="4"/>
  <c r="B6" i="4"/>
  <c r="G9" i="3"/>
  <c r="G10" i="3" s="1"/>
  <c r="F9" i="3"/>
  <c r="F10" i="3" s="1"/>
  <c r="E9" i="3"/>
  <c r="E10" i="3" s="1"/>
  <c r="D9" i="3"/>
  <c r="D10" i="3" s="1"/>
  <c r="C9" i="3"/>
  <c r="C10" i="3" s="1"/>
  <c r="B9" i="3"/>
  <c r="B10" i="3" s="1"/>
  <c r="D28" i="1"/>
  <c r="H27" i="1"/>
  <c r="G27" i="1"/>
  <c r="F27" i="1"/>
  <c r="E27" i="1"/>
  <c r="I27" i="1" s="1"/>
  <c r="C27" i="1"/>
  <c r="B27" i="1"/>
  <c r="H26" i="1"/>
  <c r="G26" i="1"/>
  <c r="F26" i="1"/>
  <c r="E26" i="1"/>
  <c r="C26" i="1"/>
  <c r="B26" i="1"/>
  <c r="H25" i="1"/>
  <c r="G25" i="1"/>
  <c r="F25" i="1"/>
  <c r="E25" i="1"/>
  <c r="C25" i="1"/>
  <c r="B25" i="1"/>
  <c r="H24" i="1"/>
  <c r="G24" i="1"/>
  <c r="F24" i="1"/>
  <c r="E24" i="1"/>
  <c r="C24" i="1"/>
  <c r="B24" i="1"/>
  <c r="H23" i="1"/>
  <c r="G23" i="1"/>
  <c r="F23" i="1"/>
  <c r="E23" i="1"/>
  <c r="C23" i="1"/>
  <c r="B23" i="1"/>
  <c r="H22" i="1"/>
  <c r="G22" i="1"/>
  <c r="F22" i="1"/>
  <c r="E22" i="1"/>
  <c r="C22" i="1"/>
  <c r="B22" i="1"/>
  <c r="H21" i="1"/>
  <c r="G21" i="1"/>
  <c r="F21" i="1"/>
  <c r="E21" i="1"/>
  <c r="C21" i="1"/>
  <c r="B21" i="1"/>
  <c r="H20" i="1"/>
  <c r="G20" i="1"/>
  <c r="F20" i="1"/>
  <c r="E20" i="1"/>
  <c r="C20" i="1"/>
  <c r="B20" i="1"/>
  <c r="H19" i="1"/>
  <c r="G19" i="1"/>
  <c r="F19" i="1"/>
  <c r="E19" i="1"/>
  <c r="C19" i="1"/>
  <c r="B19" i="1"/>
  <c r="H18" i="1"/>
  <c r="G18" i="1"/>
  <c r="F18" i="1"/>
  <c r="E18" i="1"/>
  <c r="C18" i="1"/>
  <c r="B18" i="1"/>
  <c r="H17" i="1"/>
  <c r="G17" i="1"/>
  <c r="F17" i="1"/>
  <c r="E17" i="1"/>
  <c r="C17" i="1"/>
  <c r="B17" i="1"/>
  <c r="H16" i="1"/>
  <c r="G16" i="1"/>
  <c r="F16" i="1"/>
  <c r="E16" i="1"/>
  <c r="C16" i="1"/>
  <c r="B16" i="1"/>
  <c r="H15" i="1"/>
  <c r="G15" i="1"/>
  <c r="F15" i="1"/>
  <c r="E15" i="1"/>
  <c r="C15" i="1"/>
  <c r="B15" i="1"/>
  <c r="H14" i="1"/>
  <c r="G14" i="1"/>
  <c r="F14" i="1"/>
  <c r="E14" i="1"/>
  <c r="C14" i="1"/>
  <c r="B14" i="1"/>
  <c r="D6" i="1"/>
  <c r="I26" i="1" l="1"/>
  <c r="I23" i="1"/>
  <c r="I16" i="1"/>
  <c r="I20" i="1"/>
  <c r="I24" i="1"/>
  <c r="I15" i="1"/>
  <c r="C28" i="1"/>
  <c r="I17" i="1"/>
  <c r="G6" i="1"/>
  <c r="I21" i="1"/>
  <c r="B28" i="1"/>
  <c r="H36" i="4"/>
  <c r="I19" i="1"/>
  <c r="I22" i="1"/>
  <c r="C36" i="4"/>
  <c r="D36" i="4"/>
  <c r="J6" i="1"/>
  <c r="I18" i="1"/>
  <c r="E36" i="4"/>
  <c r="H28" i="1"/>
  <c r="I14" i="1"/>
  <c r="M6" i="1"/>
  <c r="BA4" i="5" s="1"/>
  <c r="I25" i="1"/>
  <c r="F36" i="4"/>
  <c r="R11" i="5"/>
  <c r="H140" i="1"/>
  <c r="H133" i="1"/>
  <c r="H130" i="1"/>
  <c r="H127" i="1"/>
  <c r="F124" i="1"/>
  <c r="F121" i="1"/>
  <c r="F118" i="1"/>
  <c r="D115" i="1"/>
  <c r="H149" i="1"/>
  <c r="I147" i="1"/>
  <c r="A146" i="1"/>
  <c r="D144" i="1"/>
  <c r="F142" i="1"/>
  <c r="A139" i="1"/>
  <c r="B137" i="1"/>
  <c r="D135" i="1"/>
  <c r="B132" i="1"/>
  <c r="B129" i="1"/>
  <c r="A126" i="1"/>
  <c r="A123" i="1"/>
  <c r="A120" i="1"/>
  <c r="A117" i="1"/>
  <c r="I113" i="1"/>
  <c r="A115" i="1"/>
  <c r="S6" i="1"/>
  <c r="B149" i="1"/>
  <c r="D147" i="1"/>
  <c r="H145" i="1"/>
  <c r="I143" i="1"/>
  <c r="A142" i="1"/>
  <c r="D140" i="1"/>
  <c r="F138" i="1"/>
  <c r="H136" i="1"/>
  <c r="A135" i="1"/>
  <c r="D133" i="1"/>
  <c r="I131" i="1"/>
  <c r="D130" i="1"/>
  <c r="H128" i="1"/>
  <c r="B127" i="1"/>
  <c r="H125" i="1"/>
  <c r="B124" i="1"/>
  <c r="H122" i="1"/>
  <c r="B121" i="1"/>
  <c r="H119" i="1"/>
  <c r="A118" i="1"/>
  <c r="F116" i="1"/>
  <c r="F113" i="1"/>
  <c r="F150" i="1"/>
  <c r="H148" i="1"/>
  <c r="A147" i="1"/>
  <c r="B145" i="1"/>
  <c r="D143" i="1"/>
  <c r="H141" i="1"/>
  <c r="I139" i="1"/>
  <c r="A138" i="1"/>
  <c r="D136" i="1"/>
  <c r="F134" i="1"/>
  <c r="A133" i="1"/>
  <c r="D131" i="1"/>
  <c r="I129" i="1"/>
  <c r="D128" i="1"/>
  <c r="I126" i="1"/>
  <c r="D125" i="1"/>
  <c r="I123" i="1"/>
  <c r="D122" i="1"/>
  <c r="H120" i="1"/>
  <c r="B119" i="1"/>
  <c r="H117" i="1"/>
  <c r="B116" i="1"/>
  <c r="H114" i="1"/>
  <c r="B113" i="1"/>
  <c r="BA3" i="5"/>
  <c r="B72" i="1"/>
  <c r="BA2" i="5"/>
  <c r="B73" i="1"/>
  <c r="E28" i="1"/>
  <c r="I28" i="1" s="1"/>
  <c r="A113" i="1"/>
  <c r="F114" i="1"/>
  <c r="A116" i="1"/>
  <c r="F117" i="1"/>
  <c r="A119" i="1"/>
  <c r="F120" i="1"/>
  <c r="A122" i="1"/>
  <c r="H123" i="1"/>
  <c r="B125" i="1"/>
  <c r="H126" i="1"/>
  <c r="B128" i="1"/>
  <c r="H129" i="1"/>
  <c r="B131" i="1"/>
  <c r="H132" i="1"/>
  <c r="D134" i="1"/>
  <c r="B136" i="1"/>
  <c r="I137" i="1"/>
  <c r="H139" i="1"/>
  <c r="F141" i="1"/>
  <c r="B143" i="1"/>
  <c r="A145" i="1"/>
  <c r="I146" i="1"/>
  <c r="F148" i="1"/>
  <c r="D150" i="1"/>
  <c r="B150" i="1"/>
  <c r="I148" i="1"/>
  <c r="F147" i="1"/>
  <c r="B146" i="1"/>
  <c r="I144" i="1"/>
  <c r="F143" i="1"/>
  <c r="B142" i="1"/>
  <c r="I140" i="1"/>
  <c r="F139" i="1"/>
  <c r="B138" i="1"/>
  <c r="I136" i="1"/>
  <c r="F135" i="1"/>
  <c r="B134" i="1"/>
  <c r="I132" i="1"/>
  <c r="F131" i="1"/>
  <c r="B130" i="1"/>
  <c r="I128" i="1"/>
  <c r="F127" i="1"/>
  <c r="B126" i="1"/>
  <c r="I124" i="1"/>
  <c r="F123" i="1"/>
  <c r="B122" i="1"/>
  <c r="I120" i="1"/>
  <c r="F119" i="1"/>
  <c r="B118" i="1"/>
  <c r="I116" i="1"/>
  <c r="F115" i="1"/>
  <c r="B114" i="1"/>
  <c r="H150" i="1"/>
  <c r="D149" i="1"/>
  <c r="A148" i="1"/>
  <c r="H146" i="1"/>
  <c r="D145" i="1"/>
  <c r="A144" i="1"/>
  <c r="H142" i="1"/>
  <c r="D141" i="1"/>
  <c r="A140" i="1"/>
  <c r="H138" i="1"/>
  <c r="D137" i="1"/>
  <c r="A136" i="1"/>
  <c r="H134" i="1"/>
  <c r="G28" i="1"/>
  <c r="A111" i="1"/>
  <c r="P6" i="1"/>
  <c r="S9" i="1"/>
  <c r="D113" i="1"/>
  <c r="I114" i="1"/>
  <c r="D116" i="1"/>
  <c r="I117" i="1"/>
  <c r="D119" i="1"/>
  <c r="A121" i="1"/>
  <c r="F122" i="1"/>
  <c r="A124" i="1"/>
  <c r="F125" i="1"/>
  <c r="A127" i="1"/>
  <c r="F128" i="1"/>
  <c r="A130" i="1"/>
  <c r="H131" i="1"/>
  <c r="B133" i="1"/>
  <c r="I134" i="1"/>
  <c r="F136" i="1"/>
  <c r="D138" i="1"/>
  <c r="B140" i="1"/>
  <c r="I141" i="1"/>
  <c r="H143" i="1"/>
  <c r="F145" i="1"/>
  <c r="B147" i="1"/>
  <c r="A149" i="1"/>
  <c r="I150" i="1"/>
  <c r="G36" i="4"/>
  <c r="H113" i="1"/>
  <c r="B115" i="1"/>
  <c r="H116" i="1"/>
  <c r="D118" i="1"/>
  <c r="I119" i="1"/>
  <c r="D121" i="1"/>
  <c r="I122" i="1"/>
  <c r="D124" i="1"/>
  <c r="I125" i="1"/>
  <c r="D127" i="1"/>
  <c r="A129" i="1"/>
  <c r="F130" i="1"/>
  <c r="A132" i="1"/>
  <c r="F133" i="1"/>
  <c r="B135" i="1"/>
  <c r="A137" i="1"/>
  <c r="I138" i="1"/>
  <c r="F140" i="1"/>
  <c r="D142" i="1"/>
  <c r="B144" i="1"/>
  <c r="I145" i="1"/>
  <c r="H147" i="1"/>
  <c r="F149" i="1"/>
  <c r="B36" i="4"/>
  <c r="A114" i="1"/>
  <c r="H115" i="1"/>
  <c r="B117" i="1"/>
  <c r="H118" i="1"/>
  <c r="B120" i="1"/>
  <c r="H121" i="1"/>
  <c r="B123" i="1"/>
  <c r="H124" i="1"/>
  <c r="D126" i="1"/>
  <c r="I127" i="1"/>
  <c r="D129" i="1"/>
  <c r="I130" i="1"/>
  <c r="D132" i="1"/>
  <c r="I133" i="1"/>
  <c r="H135" i="1"/>
  <c r="F137" i="1"/>
  <c r="B139" i="1"/>
  <c r="A141" i="1"/>
  <c r="I142" i="1"/>
  <c r="F144" i="1"/>
  <c r="D146" i="1"/>
  <c r="B148" i="1"/>
  <c r="I149" i="1"/>
  <c r="A6" i="1"/>
  <c r="G9" i="1" s="1"/>
  <c r="F28" i="1"/>
  <c r="D114" i="1"/>
  <c r="I115" i="1"/>
  <c r="D117" i="1"/>
  <c r="I118" i="1"/>
  <c r="D120" i="1"/>
  <c r="I121" i="1"/>
  <c r="D123" i="1"/>
  <c r="A125" i="1"/>
  <c r="F126" i="1"/>
  <c r="A128" i="1"/>
  <c r="F129" i="1"/>
  <c r="A131" i="1"/>
  <c r="F132" i="1"/>
  <c r="A134" i="1"/>
  <c r="I135" i="1"/>
  <c r="H137" i="1"/>
  <c r="D139" i="1"/>
  <c r="B141" i="1"/>
  <c r="A143" i="1"/>
  <c r="H144" i="1"/>
  <c r="F146" i="1"/>
  <c r="D148" i="1"/>
  <c r="A150" i="1"/>
  <c r="B74" i="1" l="1"/>
  <c r="BA5" i="5"/>
  <c r="B75" i="1"/>
  <c r="P9" i="1"/>
  <c r="J9" i="1"/>
  <c r="A9" i="1"/>
  <c r="M9" i="1"/>
  <c r="D9" i="1"/>
</calcChain>
</file>

<file path=xl/sharedStrings.xml><?xml version="1.0" encoding="utf-8"?>
<sst xmlns="http://schemas.openxmlformats.org/spreadsheetml/2006/main" count="6021" uniqueCount="961">
  <si>
    <t>DOSSIERS</t>
  </si>
  <si>
    <t>BAGAGES ATTENDUS</t>
  </si>
  <si>
    <t>SAUVÉS</t>
  </si>
  <si>
    <t>CHARGÉS</t>
  </si>
  <si>
    <t>NON CHARGÉS</t>
  </si>
  <si>
    <t>ANNULÉS</t>
  </si>
  <si>
    <t>TAUX DE TRAITEMENT</t>
  </si>
  <si>
    <t>DOSSIERS TRAITÉS</t>
  </si>
  <si>
    <t>% SAUVÉS</t>
  </si>
  <si>
    <t>% CHARGÉS</t>
  </si>
  <si>
    <t>% NON CHARGÉS</t>
  </si>
  <si>
    <t>% ANNULÉS</t>
  </si>
  <si>
    <t>RÉPARTITION PAR COMPAGNIE</t>
  </si>
  <si>
    <t>COMPAGNIE</t>
  </si>
  <si>
    <t>CIE</t>
  </si>
  <si>
    <t>BAG. TRAITÉS</t>
  </si>
  <si>
    <t>ATTENDUS</t>
  </si>
  <si>
    <t>TAUX SAUVÉS</t>
  </si>
  <si>
    <t>EI</t>
  </si>
  <si>
    <t>TOTAL</t>
  </si>
  <si>
    <t>STATUT</t>
  </si>
  <si>
    <t>Chargés</t>
  </si>
  <si>
    <t>Sauvés</t>
  </si>
  <si>
    <t>Non chargés</t>
  </si>
  <si>
    <t>Annulés</t>
  </si>
  <si>
    <t>FILTRES EXCEL ▼  •  Sélectionnez DATE, CIE, N° VOL, N° TAG ou STATUT dans les en-têtes. Toutes les journées sont regroupées ici.</t>
  </si>
  <si>
    <t>DATE</t>
  </si>
  <si>
    <t>N° VOL</t>
  </si>
  <si>
    <t>HEURE DÉPART</t>
  </si>
  <si>
    <t>N° TAG</t>
  </si>
  <si>
    <t>NOMBRE BAGAGES</t>
  </si>
  <si>
    <t>VOL APPORT</t>
  </si>
  <si>
    <t>HEURE ARRIVÉE</t>
  </si>
  <si>
    <t>LOCALISATION</t>
  </si>
  <si>
    <t>REMARQUES</t>
  </si>
  <si>
    <t>ANOMALIE</t>
  </si>
  <si>
    <t>COMMENTAIRE/ACTION</t>
  </si>
  <si>
    <t>FAULT STATION</t>
  </si>
  <si>
    <t>SAUVÉ</t>
  </si>
  <si>
    <t>LOCAL</t>
  </si>
  <si>
    <t>PAS DE MVT</t>
  </si>
  <si>
    <t>DATE AFFICHÉE ▶</t>
  </si>
  <si>
    <t>RÉCAPITULATIF JOURNALIER  •  Changer la date en C5</t>
  </si>
  <si>
    <t>DOSSIERS DU JOUR  •  Filtrer la date dans DOSSIERS pour consulter les détails</t>
  </si>
  <si>
    <t>BAG. ATTENDUS</t>
  </si>
  <si>
    <t>Le récapitulatif se met à jour avec la date C5. Pour afficher et imprimer les dossiers détaillés du jour, utilisez le filtre DATE de la feuille DOSSIERS.</t>
  </si>
  <si>
    <t>TOTAL JOUR</t>
  </si>
  <si>
    <t>SUIVI JOURNALIER  •  Calculé à partir de la BASE</t>
  </si>
  <si>
    <t>BAGAGES ATTENDUS PAR COMPAGNIE  •  Données source conservées</t>
  </si>
  <si>
    <t>BAGAGES TRAITÉS</t>
  </si>
  <si>
    <t>SOURCE DES DONNÉES  •  Valeurs du fichier transmis, heures normalisées et préfixes de vol affichés</t>
  </si>
  <si>
    <t>TAGS EN DOUBLE</t>
  </si>
  <si>
    <t>LIGNES CONCERNÉES</t>
  </si>
  <si>
    <t>TAGS EN DOUBLE — À VÉRIFIER  (VRAI DOUBLON · STATUT DIFFÉRENT · LÉGITIME)</t>
  </si>
  <si>
    <t>OCC.</t>
  </si>
  <si>
    <t>TYPE</t>
  </si>
  <si>
    <t>OCCURRENCES TAG</t>
  </si>
  <si>
    <t>RANG DOUBLON</t>
  </si>
  <si>
    <t>TYPE DOUBLON</t>
  </si>
  <si>
    <t>FLUX BAGAGES — RÉCAPITULATIF — EI — AER LINGUS</t>
  </si>
  <si>
    <t>COMPTE RENDU DE SUPERVISION  •  SEPTEMBRE 2026  •  EI — AER LINGUS</t>
  </si>
  <si>
    <t>FLUX BAGAGES — DOSSIERS — EI — AER LINGUS</t>
  </si>
  <si>
    <t>EI527</t>
  </si>
  <si>
    <t>17H00</t>
  </si>
  <si>
    <t>EI129754</t>
  </si>
  <si>
    <t>RUSH</t>
  </si>
  <si>
    <t>AUCUNE TRACE</t>
  </si>
  <si>
    <t>BSM ONLY</t>
  </si>
  <si>
    <t>APPEL DIRBY T1 A 16H41 MAIS INJOIGNABLE</t>
  </si>
  <si>
    <t>NON CHARGÉ</t>
  </si>
  <si>
    <t>21 - Bag left at station origin / correctly labelled</t>
  </si>
  <si>
    <t>EI129755</t>
  </si>
  <si>
    <t>EI129756</t>
  </si>
  <si>
    <t>EI129757</t>
  </si>
  <si>
    <t>EI521</t>
  </si>
  <si>
    <t>10H20</t>
  </si>
  <si>
    <t>SQ658922</t>
  </si>
  <si>
    <t>NON NOTIFIE</t>
  </si>
  <si>
    <t>PAS DE TRACE</t>
  </si>
  <si>
    <t>09H41 : NEG DS TOUS SYSTEMES/J+1  MISCNX A  SIN /RECU SUR LE SQ338/02SEP LOCALISE AN SLB 21H41 /DUBEI28745 FO EI523/03SEP</t>
  </si>
  <si>
    <t>56 - Online - own carrier - MCT not available</t>
  </si>
  <si>
    <t>EI523</t>
  </si>
  <si>
    <t>11H15</t>
  </si>
  <si>
    <t>EI129848</t>
  </si>
  <si>
    <t>LOCAL/RUSH</t>
  </si>
  <si>
    <t>T1 HORS FORMAT</t>
  </si>
  <si>
    <t>10H37 : APPEL HORS FORMAT PUIS GALERIE T1 -  BAG SERA DEPOSE SS BORD DES QU IL SERA TROUVE - PEUT ETRE CHARGE SS SCAN/J+1 DOSSIER TOUJOUR OUVERT</t>
  </si>
  <si>
    <t>EI525</t>
  </si>
  <si>
    <t>13H15</t>
  </si>
  <si>
    <t>EI215344</t>
  </si>
  <si>
    <t>PAS DE LOC</t>
  </si>
  <si>
    <t>7KG PROBABLEMENT PRIS EN PORTE</t>
  </si>
  <si>
    <t>CHARGÉ</t>
  </si>
  <si>
    <t>EI215655</t>
  </si>
  <si>
    <t>CYNO OK 13H22</t>
  </si>
  <si>
    <t>RETARD TRAITEMENT/J+1 DUBEI28761 EN ATTENTE DE FWD</t>
  </si>
  <si>
    <t>64 - Unserviceable  equipment / belt / sortation system</t>
  </si>
  <si>
    <t>EI529</t>
  </si>
  <si>
    <t>21H55</t>
  </si>
  <si>
    <t>EI129974</t>
  </si>
  <si>
    <t>BAG SOUTE S/SCAN</t>
  </si>
  <si>
    <t>APPEL DIRBY T1 A 20H32 ET DEMANDE DE FAIRE LE NECESSAIRE/RUSH PAS EN GALERIE  DOIT VERIF AVEC SES COLLEGUES EN SLB</t>
  </si>
  <si>
    <t>EI909</t>
  </si>
  <si>
    <t>11H10</t>
  </si>
  <si>
    <t>EI217604</t>
  </si>
  <si>
    <t>JETEE T1 09H06</t>
  </si>
  <si>
    <t>CLASSE NON CORRECTE</t>
  </si>
  <si>
    <t>BAG CHARGE EN CONTENANT AKH67388EI/ J+1 SNNEI76763 EN ATTENTE DE FWD</t>
  </si>
  <si>
    <t>18 - Bag not authorized to load</t>
  </si>
  <si>
    <t>EI217607</t>
  </si>
  <si>
    <t>T1 ARRIVEE 2 10H45</t>
  </si>
  <si>
    <t>BAG DECHARGE DE CONTENANT AKH67388EI ET DEPOSE T1 ARRIVEE/ J+1 SNNEI76763  EN ATTENTE DE FWD</t>
  </si>
  <si>
    <t>MH871123</t>
  </si>
  <si>
    <t>MH021</t>
  </si>
  <si>
    <t>06H21</t>
  </si>
  <si>
    <t>ARRIVEE TARDIVE</t>
  </si>
  <si>
    <t>DECHARGE DE NAVETTE 08H22 SAT 1 /  BAG ENVOYE SOUS BORD MAIS REFUSE /ENOIYE JETEE T1 10H44/RETOUR LL ET DEPOSE T1 ARRIVEE 10H44/ J+1  SNNEI76762  EN ATTENTE DE FWD</t>
  </si>
  <si>
    <t>EI218542</t>
  </si>
  <si>
    <t>T1 EJECTION 10H34</t>
  </si>
  <si>
    <t>EJECTION TARDIVE/ J+1  DUBEI28845  EN ATTENTE DE FWD</t>
  </si>
  <si>
    <t>EI218708</t>
  </si>
  <si>
    <t>JETEE T1 11H41</t>
  </si>
  <si>
    <t>EJECTION TARDIVE</t>
  </si>
  <si>
    <t>EJECTION TARDIVE BAG SCANNE SUR LE MAUVAIS VOL  /J+1 DUBEI28845  EN ATTENTE DE FWD</t>
  </si>
  <si>
    <t>UA238710</t>
  </si>
  <si>
    <t>UA915</t>
  </si>
  <si>
    <t>07H49</t>
  </si>
  <si>
    <t>SAT 1 /08H09</t>
  </si>
  <si>
    <t>EJETION JETEE T1 A 10H44/DEPOSE T1 ARRIVEE LL/ J+1 DUBEI28848</t>
  </si>
  <si>
    <t>UA189600</t>
  </si>
  <si>
    <t>JETEE T1 10H43</t>
  </si>
  <si>
    <t>UA032310</t>
  </si>
  <si>
    <t>MH870031</t>
  </si>
  <si>
    <t>JETEE T1 10GH44</t>
  </si>
  <si>
    <t>EJETION JETEE T1 A 10H44/DEPOSE T1 ARRIVEE LL/ J+1 DUBEI28855</t>
  </si>
  <si>
    <t>MH869996</t>
  </si>
  <si>
    <t>JETEE T1 10H44</t>
  </si>
  <si>
    <t>MH869978</t>
  </si>
  <si>
    <t>MH869966</t>
  </si>
  <si>
    <t>MH872323</t>
  </si>
  <si>
    <t>EI218711</t>
  </si>
  <si>
    <t>JETEE T1 11H42</t>
  </si>
  <si>
    <t>BAG SCANNE SUR UN AUTRE VOL EI525/ J+1 DUBEI28841</t>
  </si>
  <si>
    <t>66-  responsibility airport services</t>
  </si>
  <si>
    <t>AF155186</t>
  </si>
  <si>
    <t>AF453</t>
  </si>
  <si>
    <t>07H05</t>
  </si>
  <si>
    <t>JETEE T1 11H55</t>
  </si>
  <si>
    <t>BAG SCANNE SUR UN AUTRE VOL EI525/ J+1  DUBEI28857</t>
  </si>
  <si>
    <t>AC574766</t>
  </si>
  <si>
    <t>VU EN REQUETEUR/PAS DE TRACE A CDG/  MICNX  IAD J+1 DUBEI28847 FO UA915/02SEP/EI521/03SEP NON RECU</t>
  </si>
  <si>
    <t>MH872673</t>
  </si>
  <si>
    <t>VU EN REQUETEUR/PAS DE TRACE A CDG/ J+1  DUBEI28842</t>
  </si>
  <si>
    <t>UA015580</t>
  </si>
  <si>
    <t>HBAG</t>
  </si>
  <si>
    <t>VU EN REQUETEUR/PAS DE TRACE A CDG/ J+1 PAS DE DOSSIER OUVERT AVEC CE TAG</t>
  </si>
  <si>
    <t>UA879071</t>
  </si>
  <si>
    <t>VU EN REQUETEUR/PAS DE TRACE A CDG MISCNX AT IAD / J+1 DUBEI28843 FO UA310/05SEP</t>
  </si>
  <si>
    <t>EI218815</t>
  </si>
  <si>
    <t>STRL</t>
  </si>
  <si>
    <t>STROLLER</t>
  </si>
  <si>
    <t>16H30</t>
  </si>
  <si>
    <t>EI219420</t>
  </si>
  <si>
    <t>WCH</t>
  </si>
  <si>
    <t>WCHR/APPEL LEAD EI A 16H30/APPELE LE COORDO A SON TOUR/ASSURE QUE LA CHAISE A ÉTÉ CHARGEE MAIS PAS SCANNE/SCANNE MANUELLEMENT  APRES LE DEP</t>
  </si>
  <si>
    <t>EI130152</t>
  </si>
  <si>
    <t>BSM ONLY 16H27</t>
  </si>
  <si>
    <t>APPEL DIRBY T1 A 21H07/DIT QUE LE RUSH A BIEN ÉTÉ ENVOYE MALGRE LE MANQUE DE TRACE/APPEL SUP GALERIE T1 /RUSH EN GAL MAIS PAS SCANNE</t>
  </si>
  <si>
    <t>EI130151</t>
  </si>
  <si>
    <t>T1 CYNO MJ90 21H09</t>
  </si>
  <si>
    <t>APPEL GALERIE T1 A 21H12 ET SIGNALE POUR LE RECUPERER</t>
  </si>
  <si>
    <t>AF256896</t>
  </si>
  <si>
    <t>AF4199</t>
  </si>
  <si>
    <t>08H25</t>
  </si>
  <si>
    <t>WJ43 09H53</t>
  </si>
  <si>
    <t>SHORT CONNEX</t>
  </si>
  <si>
    <t>APPEL GALERIE T1 POUR ENVOIE SOUS BORD</t>
  </si>
  <si>
    <t>BR703261</t>
  </si>
  <si>
    <t>REBUT T1</t>
  </si>
  <si>
    <t>APPEL GALERIE T1 POUR ENVOIE SOUS BORD A 09H40 PUIS LOCALISE AU REBUT T1 A 09H53 - AHLDUBEI28991 PAS DE RUSH PREVU A J+1</t>
  </si>
  <si>
    <t>AF245898</t>
  </si>
  <si>
    <t>DECHARGE AU SAT1 A 10H29</t>
  </si>
  <si>
    <t>ARRIVE AU SAT T1  A 10H29 TROP TARD POUR CHARGEMENT - AHLDUBEI28990 PAS DE RUSH PREVU A J+1</t>
  </si>
  <si>
    <t>52 - Interline MCT not available  ( MCT initialement non respecté)</t>
  </si>
  <si>
    <t>AF256220</t>
  </si>
  <si>
    <t>ARRIVE AU SAT T1  A 10H29 TROP TARD POUR CHARGEMENT - AHLDUBEI28993 PAS DE RUSH PREVU A J+1</t>
  </si>
  <si>
    <t>AF245882</t>
  </si>
  <si>
    <t>2E TRI A 09H58</t>
  </si>
  <si>
    <t>BAG INJEC CONNEX 2E A 09H57/ LOCALISE EN JETEE 113 CYNO A 10H07 PUIS AU QSE A 10H43 POUR ETRE ENTREE AU KUBE A 12H19 ET EN SORTIR A 16H36 - AHLDUBEI28990 PAS DE RUSH PREVU A J+1</t>
  </si>
  <si>
    <t>HM513129</t>
  </si>
  <si>
    <t>DEPART VERS PISTE 10H24</t>
  </si>
  <si>
    <t>PAS DE TRACE DE CHARGEMENT</t>
  </si>
  <si>
    <t>CHECK BAGRADAR DEPART VERS PISTE 10H24 - PROBABLEMENT CHARGE SANS SCAN - PAS DE DOSSIER OUVERT A J+1</t>
  </si>
  <si>
    <t>EI130458</t>
  </si>
  <si>
    <t>REBUT T1 16H13</t>
  </si>
  <si>
    <t>APPEL GALERIE T1 A 16H28/DIT QUE C'EST TROP TARD POUR CHARGEMENT -  AHLCDGEI12284 PAS DE RUSH PREVU A J+1</t>
  </si>
  <si>
    <t>AF273447</t>
  </si>
  <si>
    <t>AF0473</t>
  </si>
  <si>
    <t>19H27</t>
  </si>
  <si>
    <t>T1 EJECTION WJ34 20H49</t>
  </si>
  <si>
    <t>AF573447 RENTRE ISO AF273447</t>
  </si>
  <si>
    <t>APPEL LEADER EI A 20H57 ET DEMANDE DE CORRIGER LE TN CAR LE BON TN EN ATTENTE ET LE TN ERRONE PAS DE TRACE</t>
  </si>
  <si>
    <t>AF244480</t>
  </si>
  <si>
    <t>08H23</t>
  </si>
  <si>
    <t>WJ41 10H43/M91  A 21H35</t>
  </si>
  <si>
    <t>RRTE</t>
  </si>
  <si>
    <t>BSM CREE 21H35</t>
  </si>
  <si>
    <t>RRTE DU EI521/APPEL NAV T1/T2 21H45/NEG EN M91/APPEL GAL T1 21H50/NEG EN WJ41 ET REBUT T1/APPEL DIRBY T1  21H59/DIT QUE PLUS PERSONNE EN GAL ET TROP DE TRAVAIL - AHLDUBEI29070 PAS DE RUSH PREVU A J+1</t>
  </si>
  <si>
    <t>EY539260</t>
  </si>
  <si>
    <t>INCONNU</t>
  </si>
  <si>
    <t>BSM CREE 21H32</t>
  </si>
  <si>
    <t>NEGATIF EN BAGRADAR ET REQUETEUR/PAS DE TRACE EN BOB/NON VU DANS LES TRIEURS SUR CDG/PAD DE FWD - PAS DE DOSSIER NI RUSH PREVU</t>
  </si>
  <si>
    <t>GF044984</t>
  </si>
  <si>
    <t>GF019/04SEP</t>
  </si>
  <si>
    <t>07H55</t>
  </si>
  <si>
    <t>M91 10H30</t>
  </si>
  <si>
    <t>ENVOI BAGRUNNER POUR RECUP / BAG DÉJÀ PRIS EN CHARGE PAR LA NAVETTE / INJECTION T1 10H57 TROP TARD POUR CHARGEMENT - AHLDUBEI29123 O/B EI529/05SEP</t>
  </si>
  <si>
    <t>53 - Interline MCT not available ( MCT initialement OK)</t>
  </si>
  <si>
    <t>EI130553</t>
  </si>
  <si>
    <t>BSM CREATION 04/09 20H13</t>
  </si>
  <si>
    <t>APPEL DIRBY T1 POUR INJECTION 08H30 - AHLMRSEI10436</t>
  </si>
  <si>
    <t>EI130150</t>
  </si>
  <si>
    <t>PISTE 10H00</t>
  </si>
  <si>
    <t>REFUS CAR EN BAGERA LE BAGAGE EST  ENREGISTRE SUR UN AUTRE VOL - AHLBNAEI10329 O/B EI521/EI77/06SEP</t>
  </si>
  <si>
    <t>EI130600</t>
  </si>
  <si>
    <t>T1 CYNO MJ90 09H46</t>
  </si>
  <si>
    <t>APPEL GALERIE T1 POUR INJECTION 10H30</t>
  </si>
  <si>
    <t>EI224323</t>
  </si>
  <si>
    <t>T1 CYNO MJ90 10H27</t>
  </si>
  <si>
    <t>EI224752</t>
  </si>
  <si>
    <t>T1 CYNO MJ90 10H25</t>
  </si>
  <si>
    <t>EI130608</t>
  </si>
  <si>
    <t>T1 GE16 HORS FORMAT 08H28</t>
  </si>
  <si>
    <t>APPEL DIRBY T1 POUR INJECTION 10H00</t>
  </si>
  <si>
    <t>MH554463</t>
  </si>
  <si>
    <t>MH020</t>
  </si>
  <si>
    <t>06H55</t>
  </si>
  <si>
    <t>JETEE T1 10H52</t>
  </si>
  <si>
    <t>BSM CREATION TARDIVE</t>
  </si>
  <si>
    <t>DEPART VERS PISTE A 10H52 / BAG REFUSE BSM CREATION 11H40 - AHLDUBEI29128 PAS DE RUSH PREVU A J+1</t>
  </si>
  <si>
    <t>MH554464</t>
  </si>
  <si>
    <t>MH555006</t>
  </si>
  <si>
    <t>DEPART VERS PISTE A 10H52 / BAG REFUSE BSM CREATION 11H40 - AHLDUBEI29127 PAS DE RUSH PREVU A J+1</t>
  </si>
  <si>
    <t>MH555009</t>
  </si>
  <si>
    <t>JETEE T1 10H53</t>
  </si>
  <si>
    <t>DEPART VERS PISTE A 10H52 / BAG REFUSE BSM CREATION 11H40 - AHLDUBEI21927 PAS DE RUSH PREVU A J+1</t>
  </si>
  <si>
    <t>AF343916</t>
  </si>
  <si>
    <t>AF832</t>
  </si>
  <si>
    <t>JETEE T1 10H54</t>
  </si>
  <si>
    <t>DEPART VERS PISTE A 10H52 / BAG REFUSE BSM CREATION 11H39 - AHLDUBEI29120 O/B EI529/05SEP</t>
  </si>
  <si>
    <t>EI130641</t>
  </si>
  <si>
    <t>APPEL DIRBY  12H30 POUR ENVOYER BAG S/BORD - AHLDUBEI28855 PAS DE RUSH PREVU A J+1</t>
  </si>
  <si>
    <t>EI130645</t>
  </si>
  <si>
    <t>QR211030</t>
  </si>
  <si>
    <t>QR039</t>
  </si>
  <si>
    <t>16H08 : ENREGISTREMENT TARDIF - NEG DANS TOUS SYSTEMES - AHLDUBEI29160 O/B EI521/06SEP</t>
  </si>
  <si>
    <t>QR211031</t>
  </si>
  <si>
    <t>15H08</t>
  </si>
  <si>
    <t>16H08 : ENREGISTREMENT TARDIF - NEG DANS TOUS SYSTEMES - AHLDUBEI29160 PAS DE RUSH PREVU A J+1</t>
  </si>
  <si>
    <t>QR214321</t>
  </si>
  <si>
    <t>16H08 : ENREGISTREMENT TARDIF - NEG DANS TOUS SYSTEMES - AHLDUBEI29157 PAS DE RUSH PREVU J+1</t>
  </si>
  <si>
    <t>QR214344</t>
  </si>
  <si>
    <t>16H08 : ENREGISTREMENT TARDIF - NEG DANS TOUS SYSTEMES - AHLDUBEI29159 PAS DE RUSH PREVU J+1</t>
  </si>
  <si>
    <t>QR214644</t>
  </si>
  <si>
    <t>QR223785</t>
  </si>
  <si>
    <t>QR223941</t>
  </si>
  <si>
    <t>EI226960</t>
  </si>
  <si>
    <t>GALERIE T1 CONTACTE A 17H10 POST DEPART PAS DE LOCAUX RESTANTS - DERNIERE LOC EN WJ34 A 15H52 - PAS DE DOSSIER A J+1 PROBABLEMENT CHARGE  SANS SCAN</t>
  </si>
  <si>
    <t>QR214407</t>
  </si>
  <si>
    <t>16H08 ENREGISTREMENT TARDIF - NEG DANS TOUS SYSTEMES - AHLDUBEI29157 PAS DE RUSH PREVU J+1</t>
  </si>
  <si>
    <t>EI130449</t>
  </si>
  <si>
    <t>GE16</t>
  </si>
  <si>
    <t>APPEL DIRBY POUR INJECT 10H00 - AHLSNNEI76762  PAS DE NOUVEAU RUSH PREVU A J+1</t>
  </si>
  <si>
    <t>EI229278</t>
  </si>
  <si>
    <t>BAG 5KG BAG CABINE - PAS DE DOSSIE ROUVERT A J+1</t>
  </si>
  <si>
    <t>AA493672</t>
  </si>
  <si>
    <t>BSM CREA 10H40</t>
  </si>
  <si>
    <t>CREATION TARDIVE 10H40</t>
  </si>
  <si>
    <t>AUCUNE TRACE DANS NOS DIFFERENTS SYSTEMES A J+1 BAG LOCALISE EN OHDCDGAA63001 - AHLCMHAA32559</t>
  </si>
  <si>
    <t>27 - Local passenger rerouted / Bag not rerouted</t>
  </si>
  <si>
    <t>AA493673</t>
  </si>
  <si>
    <t>AUCUNE TRACE DANS NOS DIFFERENTS SYSTEMES A J+1 BAG LOCALISE EN OHDCDGAA63003 - AHLCMHAA32559</t>
  </si>
  <si>
    <t>AA493674</t>
  </si>
  <si>
    <t>BSM CREA 10H33</t>
  </si>
  <si>
    <t>CREATION TARDIVE 10H33</t>
  </si>
  <si>
    <t>AUCUNE TRACE DANS NOS DIFFERENTS SYSTEMES A J+1 BAG LOCALISE EN OHDCDGAA63004 - AHLCMHAA32559</t>
  </si>
  <si>
    <t>AA493675</t>
  </si>
  <si>
    <t>AUCUNE TRACE DANS NOS DIFFERENTS SYSTEMES A J+1 BAG LOCALISE EN OHDCDGAA63000 - AHLCMHAA32559</t>
  </si>
  <si>
    <t>EI229536</t>
  </si>
  <si>
    <t>BSM CREA 09H43</t>
  </si>
  <si>
    <t>BAGS DE 6KGS PRBL POUSSETTE / APPEL LEADER VOL INJOIGNABLE - PAS DE DOSSIER OUVERT A J+1</t>
  </si>
  <si>
    <t>EI130768</t>
  </si>
  <si>
    <t>T1 GE 16 HF 13H05</t>
  </si>
  <si>
    <t>APPEL DIRBY 12H10+12H15+12H20/PAS DE REPONSE/ BAG ENVOYE TROP TARD - OHDCDGEI12286 ENVOI LZ PAS DE RUSH PREVU A J+1</t>
  </si>
  <si>
    <t>EI130835</t>
  </si>
  <si>
    <t>20H42 : APPEL DIRBY T1 - SANS REPONSE - AHLDUBEI29128 PAS DE NOUVEAU RUSH A J+1</t>
  </si>
  <si>
    <t>EI130836</t>
  </si>
  <si>
    <t>EI130837</t>
  </si>
  <si>
    <t>20H42 : APPEL DIRBY T1 - SANS REPONSE - AHLDUBEI28855 PAS DE NOUVEAU RUSH A J+1</t>
  </si>
  <si>
    <t>EI130838</t>
  </si>
  <si>
    <t>20H42 : APPEL DIRBY T1 - SANS REPONSE - AHLDUBEI29156 PAS DE NOUVEAU RUSH A J+1</t>
  </si>
  <si>
    <t>AF494436</t>
  </si>
  <si>
    <t>AF283</t>
  </si>
  <si>
    <t>06H35</t>
  </si>
  <si>
    <t>PISTE</t>
  </si>
  <si>
    <t>REFUS CHARGEMENT</t>
  </si>
  <si>
    <t>08H08 A 08H57 : TENTATIVE CHARGEMENT MAIS BAG NON AUTORISE → 10H01 : BAG EN PISTE MAIS REFUS CHARGEMENT → TENTATIVE DE JOINDRE LEAD EI MAIS NEG /J+1 DUBEI29274 -Aucune trace de rush</t>
  </si>
  <si>
    <t>AF616856</t>
  </si>
  <si>
    <t>CHECK S/ BOB :DERNIERE TRACE JETEE T1 DPT SUR PISTE A 09H40 →  APRES RECHERCHE ERREUR CKIN :  TAG INITIAL 6E616856 →09H50 :CTC LEAD EI POUR CHANGEMENT:  INJOIGNABLE → BAG NON AUTORISE  /DUBEI29273</t>
  </si>
  <si>
    <t>11 - Incorrect or no entries on tag</t>
  </si>
  <si>
    <t>AF616869</t>
  </si>
  <si>
    <t>CHECK S/ BOB :DERNIERE TRACE JETEE T1 DPT SUR PISTE A 09H40 →  APRES RECHERCHE ERREUR CKIN :  TAG INITIAL 6E616869 →09H50 :CTC LEAD EI POUR CHANGEMENT:  INJOIGNABLE → BAG NON AUTORISE  /DUBEI29273</t>
  </si>
  <si>
    <t>EI233163</t>
  </si>
  <si>
    <t>T1 EJECTION WJ43 08H37</t>
  </si>
  <si>
    <t>09h20 : APPEL GALERIE T1 POUR VERIF + ENVOI S/ BORD →  CONFIRMATION RECU   BAG BIEN PARTI SUR LA JETEE DEPART / J+1 PAS DE DOSSIER OUVERT</t>
  </si>
  <si>
    <t>AC031401</t>
  </si>
  <si>
    <t>AC870</t>
  </si>
  <si>
    <t>PISTE A 12H50</t>
  </si>
  <si>
    <t>LOAD OK CIE</t>
  </si>
  <si>
    <t>BAG A TRAITER MAIS  LOAD OK CIE /PAX A OUVERT UN DOSSIER A DUB MAIS BAG BIEN CHARGE AU DPT DE CDG</t>
  </si>
  <si>
    <t>EI235253</t>
  </si>
  <si>
    <t>16H45 : APPEL LEADER EI MAIS INJOIGNABLE→ POSSIBLE BAGAGE CABINE OU POUSSETTE DE 5KG PRIS A BORD PAR PAX J+1 PAS D EDOSSIER OUVERT</t>
  </si>
  <si>
    <t>EI131056</t>
  </si>
  <si>
    <t>BSM 16H04</t>
  </si>
  <si>
    <t>APPEL DIRBY T1 A PLUSIEURS REPRISES AVANT LE DEPART DU VOL MAIS INJOIGNABLE</t>
  </si>
  <si>
    <t>AC076896</t>
  </si>
  <si>
    <t>AC874</t>
  </si>
  <si>
    <t>07H41</t>
  </si>
  <si>
    <t>VU AVEC AC / VELO / BAG BIEN CHARGER SUR LE VOL D APPORT/ APPEL SBA POUR VERIFIER EN SLB 08H50 NEG/ENVOI BAG RUNNER 09H BAG INTROUVABLE//J+1 PAS DE DOSSIER CHARGE</t>
  </si>
  <si>
    <t>AF609295</t>
  </si>
  <si>
    <t>AF149</t>
  </si>
  <si>
    <t>07H16</t>
  </si>
  <si>
    <t>CHECK BOB / DERNIERE TRACE RAPATRIEMENT A 07H40/ APPEL NAVETTE 09H17 NEG / APPEL GALERIE T1 POUR ENVOI SOUS BORD 10H00</t>
  </si>
  <si>
    <t>AC090941</t>
  </si>
  <si>
    <t>T1 CYNO 09H33</t>
  </si>
  <si>
    <t>APPEL GALERIE T1 POUR ENVOI SOUS BORD 10H00</t>
  </si>
  <si>
    <t>EI131096</t>
  </si>
  <si>
    <t>BSM CREA 18H56</t>
  </si>
  <si>
    <t>APPEL DIRBY POUR INJECTION 09H00 INJOIGNABLE</t>
  </si>
  <si>
    <t>EI236851</t>
  </si>
  <si>
    <t>T1 INJECTION WD4 08H40</t>
  </si>
  <si>
    <t>APPEL GALERIE T1 POUR VERIF 09H30 / BAG INTROUVABLE//J+1  AHL IADEI19405</t>
  </si>
  <si>
    <t>EI236389</t>
  </si>
  <si>
    <t>BSM CREA 07H35</t>
  </si>
  <si>
    <t>BAGS 6KGS PRBL BAG CABINE / APPEL COORDO 10H26 INJOIGNABLE / J+1 STRL PRIS RN CABINE</t>
  </si>
  <si>
    <t>EI236705</t>
  </si>
  <si>
    <t>BSM CREA 08H20</t>
  </si>
  <si>
    <t>BAGS 11KGS PRBL POUSSETTE / APPEL COORDO 10H26 INJOIGNABLE / J+1 HBAG PAS DE DOSSIER</t>
  </si>
  <si>
    <t>KL822622</t>
  </si>
  <si>
    <t>KL1401</t>
  </si>
  <si>
    <t>08H16</t>
  </si>
  <si>
    <t>QSEDLK A 09H42</t>
  </si>
  <si>
    <t>HOT CNX</t>
  </si>
  <si>
    <t>BSM CREATION A 09H42 →BAG LOCALISE AU QSE → TROP TARD POUR LE VOL AU T1  DPT  10H20//J+1 AHL DUBEI29434 FWD AF1016/09SEP</t>
  </si>
  <si>
    <t>KL823133</t>
  </si>
  <si>
    <t>BSM CREATION  A 09H42 →BAG LOCALISE AU QSE → TROP TARD POUR LE VOL AU T1 DPT  10H20//J+1 AHL DUBEI29437</t>
  </si>
  <si>
    <t>AZ284800</t>
  </si>
  <si>
    <t>PAS DE LOC  A CDG A 10H15</t>
  </si>
  <si>
    <t>NEG /BAGRADAR/REQUETEUR//J+1 AHL DUBEI29429 FWD AZ110/09SEP/KL1145/09SEP MISCO FORM FCO</t>
  </si>
  <si>
    <t>EI131206</t>
  </si>
  <si>
    <t>PAS DE LOC DEPUIS CREATION</t>
  </si>
  <si>
    <t>09H50 : CTC DIRBY T1 POUR ACTION</t>
  </si>
  <si>
    <t>EI239729</t>
  </si>
  <si>
    <t>PROBABLEMENT HAND BAG DE 09KG A //J+1 HBAG PAS DE DOSSIER PRIS EN CABINE</t>
  </si>
  <si>
    <t>EI240559</t>
  </si>
  <si>
    <t>PROBABLEMENT HAND BAG DE 05KG //J+1 STRL PAS DE DOSSIER PRIS EN CABINE</t>
  </si>
  <si>
    <t>2EI131249</t>
  </si>
  <si>
    <t>PAS DE TRACE A 10H48</t>
  </si>
  <si>
    <t>10H48 : CTC DIRBY T1 POUR ENVOI RUSH</t>
  </si>
  <si>
    <t>2EI131250</t>
  </si>
  <si>
    <t>2EI121251</t>
  </si>
  <si>
    <t>2EI121252</t>
  </si>
  <si>
    <t>2EI131254</t>
  </si>
  <si>
    <t>AF642806</t>
  </si>
  <si>
    <t>BSM A 10H27</t>
  </si>
  <si>
    <t>NEG /BAG RADAR/REQUETEUR//PAS DE DOSSIER</t>
  </si>
  <si>
    <t>KL823475</t>
  </si>
  <si>
    <t>KL1403</t>
  </si>
  <si>
    <t>QSETRI A 09H44</t>
  </si>
  <si>
    <t>CREATION  BSM A 10H44</t>
  </si>
  <si>
    <t>10H45 : CTC QSE :  BAGS AU KUBE → CTC KUBE : BAGS NON VU //J+1 AHL BRSKL33236 FWD KL1402/KL1079/10SEP</t>
  </si>
  <si>
    <t>KL823509</t>
  </si>
  <si>
    <t>QSETRI A 09H45</t>
  </si>
  <si>
    <t>CREATION BSM A 10H43</t>
  </si>
  <si>
    <t>EI239801</t>
  </si>
  <si>
    <t>JETEE T1 A 07H59</t>
  </si>
  <si>
    <t>REFUS O/B EI521</t>
  </si>
  <si>
    <t>BAG NON VUE SUR EI523 PROBABLEMEN O/B EI521 A//J+1 PAS DE DOSSIER</t>
  </si>
  <si>
    <t>EI131263</t>
  </si>
  <si>
    <t>HF GE16 12H44</t>
  </si>
  <si>
    <t>12H00: CTC DIRBY T1 POUR ACTION  → 12H44 : VU AU HF GE16 12H44 PUIS PERTE DE TRACE → VU AC AGENT HF SUREMENT CHARGE S/ SCAN /</t>
  </si>
  <si>
    <t>WS897465</t>
  </si>
  <si>
    <t>WS010</t>
  </si>
  <si>
    <t>12H45</t>
  </si>
  <si>
    <t>SAT CONNEX 13H46</t>
  </si>
  <si>
    <t>PANNE ALTEA</t>
  </si>
  <si>
    <t>PANNE ALTEA / PROBABLEMENT CHARGE ///J+1 BAG NON CHARGE AU DEPART YYC FWD WS10/08SEP/EI527/09SEP/BA835/09SEPT</t>
  </si>
  <si>
    <t>DL176773</t>
  </si>
  <si>
    <t>AF011</t>
  </si>
  <si>
    <t>13H48</t>
  </si>
  <si>
    <t>CHECK REQUETEUR / BAGRADAR / NEG/BAG MANQUANT SUR LE VOL D'APPORT EN BOB /FWD DL258/09SEP MSP / DUB</t>
  </si>
  <si>
    <t>EI243767</t>
  </si>
  <si>
    <t>WJ34 21H11</t>
  </si>
  <si>
    <t>PAS DE SCAN</t>
  </si>
  <si>
    <t>21H50 APPEL GALERIE T1 POUR CHECK</t>
  </si>
  <si>
    <t>EI243770</t>
  </si>
  <si>
    <t>WJ34 21H12</t>
  </si>
  <si>
    <t>AF758531</t>
  </si>
  <si>
    <t>AF0459</t>
  </si>
  <si>
    <t>12H04</t>
  </si>
  <si>
    <t>ARV TARDIVE</t>
  </si>
  <si>
    <t>12H37 : RECHERCHE BOB - PAS DE TRACE / ENTREE TRIEUR A 12H45 - PRISE EN CHARGE TARDIVE //J+1 DUBEI29591</t>
  </si>
  <si>
    <t>AF758496</t>
  </si>
  <si>
    <t>AF758354</t>
  </si>
  <si>
    <t>LY202989</t>
  </si>
  <si>
    <t>LY319</t>
  </si>
  <si>
    <t>09H51</t>
  </si>
  <si>
    <t>12H09 : RECHERCHE REQUETEUR - LOCALISE LIGNE REBUT A 10H33 - ENVOI BAGRUNNER AU REBUT DU 2B PUIS TBM MC80 - BAG NON TROUVE -//J+1  DUBEI29588</t>
  </si>
  <si>
    <t>55 - Online  - own carrier - MCT available</t>
  </si>
  <si>
    <t>EI246186</t>
  </si>
  <si>
    <t>12H32 : NEG DANS TOUS SYSTÈMES - APPEL LEAD - BAG BIEN ENREGISTRE - J+1  AHL IADEI19410</t>
  </si>
  <si>
    <t>XH762197</t>
  </si>
  <si>
    <t>AF459</t>
  </si>
  <si>
    <t>12H02</t>
  </si>
  <si>
    <t>13H35 : BAG SUREMENT MAL ENREGISTRE - TAG REEL AF762197 - APPEL GALERIE T1  POUR RECUP BAG - BAG SCANNE REBUT 14H11 //J+1 PAS DE DOSSIER</t>
  </si>
  <si>
    <t>LY206703</t>
  </si>
  <si>
    <t>NON NOTIFIE TS SYST</t>
  </si>
  <si>
    <t>PAS DETRACE</t>
  </si>
  <si>
    <t>15H05 : REQUETEUR / LOCALISE QSE - ENVOI BAGRUNNER AU QSE POUR RECUP BAG ET DEPOSE NAVETTE T1 - PRIS EN CHARGE A 15H06 - DEPOSE 15H09 / GALERIE T1 AVERTIE</t>
  </si>
  <si>
    <t>LY206714</t>
  </si>
  <si>
    <t>LY205597</t>
  </si>
  <si>
    <t>15H53 : ATT / ENREGISTREMENT TARDIF - REQUETEUR / BAG LOCALISE QSE - ENVOI BAGRUNNER - PRIS EN CHARGE A 15H57 - LIVRE SS BORD A 16H08</t>
  </si>
  <si>
    <t>LY206814</t>
  </si>
  <si>
    <t>TBM CYNO 15H14</t>
  </si>
  <si>
    <t>16H15 : ATT / ENREGISTREMENT TARDIF A 16H09 - REQUETEUR / BAG LOCALISE AU QSE 15H29 - PRIS EN CHARGE A 16H29 - LIVRE SS BORD 16H37</t>
  </si>
  <si>
    <t>EI246515</t>
  </si>
  <si>
    <t>BSM CREA 14H19</t>
  </si>
  <si>
    <t>POTENTIEL BAG A MAIN / A VERIF//J+1 PAS DE DOSSIER POUSSETTE PRIS EN PORTE</t>
  </si>
  <si>
    <t>EI246623</t>
  </si>
  <si>
    <t>BSM CREA14H41</t>
  </si>
  <si>
    <t>POTENTIEL BAG A MAIN / A VERIF//J+1 PAS DE DOSSIER HBAG  PRIS EN PORTE</t>
  </si>
  <si>
    <t>SK544076</t>
  </si>
  <si>
    <t>INJECT T1 21H57//11SEP T1 ARR</t>
  </si>
  <si>
    <t>CYNO TBM 20H52 / ARRIVE SAT 1 A 21H46 TROP TARD POUR CHARGEMENT//J+1 PAS DE DOSSIER BAG AUX ARR T1</t>
  </si>
  <si>
    <t>MH787808</t>
  </si>
  <si>
    <t>WJ41 T1</t>
  </si>
  <si>
    <t>LATE DEPOSE</t>
  </si>
  <si>
    <t>ENVOI BAG RUNNER POUR RECUP RAPIDE EN MJ91 MAIS BAG DÉJÀ PRIS EN CHARGE PAR NAVETTE 10H02/ FINALEMENT TOMBE EN WJ41 A 10H35/ PUIS LOCALISE AU REBUT A 12H58 - AHLDUBEI29664 PAS DE RUSH PREVU A J+1</t>
  </si>
  <si>
    <t>AF839270</t>
  </si>
  <si>
    <t>AF0511</t>
  </si>
  <si>
    <t>11H30</t>
  </si>
  <si>
    <t>SAT1</t>
  </si>
  <si>
    <t>12H42: APPEL SAMSIC T1 - BAG SERA DEPOSE SS BORD DES RECUPERATION- ARRIVE SAT1 A 12H39 RETROUVE AU REBUT A 19H47 - AHLDUBEI29694 PAS DE RUH PREVU A J+1</t>
  </si>
  <si>
    <t>EI131711</t>
  </si>
  <si>
    <t>20H45 APPEL DIRBY T1 POUR INJECTION - AHLDUBEI29654 PAS DE RUSH PREVU A J+1</t>
  </si>
  <si>
    <t>EI250764</t>
  </si>
  <si>
    <t>BAG 5 KG POTENTIEL BAG CABINE / PAS DE DOSSIER OUVERT A J+1</t>
  </si>
  <si>
    <t>SQ503462</t>
  </si>
  <si>
    <t>SQ336</t>
  </si>
  <si>
    <t>09H17 : NEG TOUS SYSTEMES - 09H23 : APPEL DIRBY SANS REPONSE POUR SAVOIR SI BAG SE TROUVE EN SLB OU GALERIE - PAS DE REPONSE - BAG JAMAIS ARRIVE A CDG - AHLDUBEI29770 O/B SQ338/12SEP/EI521/13SEP</t>
  </si>
  <si>
    <t>SQ503566</t>
  </si>
  <si>
    <t>09H17 : NEG TOUS SYSTEMES - 09H23 : APPEL DIRBY SANS REPONSE POUR SAVOIR SI BAG SE TROUVE EN SLB OU GALERIE - PAS DE REPONSE - BAG JAMAI ARRIVE A CDG - AHLDUBEI29770 O/B SQ338/12SEP/EI521/13SEP</t>
  </si>
  <si>
    <t>SQ503570</t>
  </si>
  <si>
    <t>SQ503863</t>
  </si>
  <si>
    <t>EI252040</t>
  </si>
  <si>
    <t>T1 CYNO</t>
  </si>
  <si>
    <t>09H57 : APPEL GALERIE T1 - BAG SERA RECUP A LA CYNO POUR DEPOSE SS BORD - AHLDUBEI29766 O/B EI523/13SEP</t>
  </si>
  <si>
    <t>EI252381</t>
  </si>
  <si>
    <t>APPEL GALERIE T1 10H20 NEG / APPEL COORDO POUR VERIF SI BAG EN PORTE 10H52 NEG / APPEL LEADER 11H POSSIBLE DOUBLONS DE TAG - PAS DE DOSSIER OUVERT A J+1</t>
  </si>
  <si>
    <t>WS454164</t>
  </si>
  <si>
    <t>WS10</t>
  </si>
  <si>
    <t>JETEE T1 16H32</t>
  </si>
  <si>
    <t>REFUS/TN RENTRE EN XH ISO WS</t>
  </si>
  <si>
    <t>APPEL LEADER EI A 16H42  ET DEMANDE D'ANNULER LE MAUVAIS TN XH ET DE LE RENTRER EN WS CAR BON TN S/BORD MAIS REFUSE/COORDO AVERTI A 16H52</t>
  </si>
  <si>
    <t>AF795197</t>
  </si>
  <si>
    <t>AF217</t>
  </si>
  <si>
    <t>07H26</t>
  </si>
  <si>
    <t>09H45 :  ENREGISTREMENT TARDIF - NEG TOUS SYSTEMES  →14H00 :LOCALISATION STOCKER DU KUBE  →BAG NON ENREGISTRE JUSQU A DESTINATION FINALE / A/DUBEI29948 EN ATTENTE DE FWD</t>
  </si>
  <si>
    <t>12 - Not checked to final destination</t>
  </si>
  <si>
    <t>EI256297</t>
  </si>
  <si>
    <t>9 KGS - POSSIBLE BAGAGE CABINE PRIS DANS L AVION - J+1 PAS DE DOSSIER OUVERT</t>
  </si>
  <si>
    <t>AF122479</t>
  </si>
  <si>
    <t>AF511</t>
  </si>
  <si>
    <t>11H20</t>
  </si>
  <si>
    <t>WJ43 12H51</t>
  </si>
  <si>
    <t>12H50 : APPEL GALERIE POUR VERIF WJ43 + ENVOI SOUS BORD /SCANNE SUR LE VOL EI527 13H57/A DUBEI29969 EN ATTENTE DE FWD</t>
  </si>
  <si>
    <t>AF122577</t>
  </si>
  <si>
    <t>AA795087</t>
  </si>
  <si>
    <t>AA754</t>
  </si>
  <si>
    <t>11H31</t>
  </si>
  <si>
    <t>BSM CREA 12H42</t>
  </si>
  <si>
    <t>BSM CREATION TARDIVE / RECHERCHE REQUETEUR BAG RADAR NEG /PROBABLEMENT RESTE A PHL/A DUBEI29962 - FO AA722/13SEP PHL/DUB</t>
  </si>
  <si>
    <t>AA795085</t>
  </si>
  <si>
    <t>BSM CREATION TARDIVE / RECHERCHE REQUETEUR BAG RADAR NEG /PROBABLEMENT RESTE A PHL/A DUBEI29962- FO AA722/13SEP PHL/DUB</t>
  </si>
  <si>
    <t>AA795086</t>
  </si>
  <si>
    <t>BSM CREA 12H41</t>
  </si>
  <si>
    <t>EI132016</t>
  </si>
  <si>
    <t>T1  GE16 HORS FORMAT 14H55</t>
  </si>
  <si>
    <t>15H45 + 16H27 : APPEL AGENT HORS FORMAT POUR VERIF ET INJECTION</t>
  </si>
  <si>
    <t>EI132173</t>
  </si>
  <si>
    <t>T1 GE16 HF 20H58</t>
  </si>
  <si>
    <t>INJECTION TARDIVE</t>
  </si>
  <si>
    <t>20H32 : APPEL DIRBY T1  SANS REPONSE→ 20H45: RAPPEL A 20H45 ET DEMANDE INJECTION RUSH→ 21H35+ 21H52 : CTC GALERI E T1 PR SIGNALER LE RUSH EN ZONE HF</t>
  </si>
  <si>
    <t>EI260799</t>
  </si>
  <si>
    <t>T1 EJECTION WJ34 21H01</t>
  </si>
  <si>
    <t>LAST MINUTE C/IN</t>
  </si>
  <si>
    <t>21H35+ 21H52  :APPEL SUP  GALERIE T1 PR SIGNALER INJECTION TARDIVE BAGS ET DEMANDE PRISE EN CHARGE</t>
  </si>
  <si>
    <t>EI260803</t>
  </si>
  <si>
    <t>T1 EJECTION WJ34 21H05</t>
  </si>
  <si>
    <t>EI260806</t>
  </si>
  <si>
    <t>T1 EJECTION WJ34 21H06</t>
  </si>
  <si>
    <t>AF210838</t>
  </si>
  <si>
    <t>AF345</t>
  </si>
  <si>
    <t>08H11</t>
  </si>
  <si>
    <t>TBM T1 T2 09H30</t>
  </si>
  <si>
    <t>RETARD TRAJET</t>
  </si>
  <si>
    <t>10H09 : EJECTION WJ42 → PERTE DE TRACE → CTC GALERIE T1 POUR ACTION→ 10H19 : BAG SCANNE SUR EI523 ISO EI 521  /DUBEI30036-EN ATTENTE DE FWD</t>
  </si>
  <si>
    <t>31 - Sorting or loading error - wrong aircraft</t>
  </si>
  <si>
    <t>AF210771</t>
  </si>
  <si>
    <t>SAT1  1 0H37</t>
  </si>
  <si>
    <t>10H00 : TBM T1/T2 → 10H49 : EJECTION WJ41 :TROP TARD POR LE VOL /DUBEI30036 - FO EI529/14SEP</t>
  </si>
  <si>
    <t>DL052154</t>
  </si>
  <si>
    <t>AF337</t>
  </si>
  <si>
    <t>SAT 4 09H59</t>
  </si>
  <si>
    <t>10H00 :EJECTION WJ43 → BAG TENTE POUR CHARGEMENT  MAIS SOUTES FERMEES→ 11H06 : RETOUR LL  /DUBEI30037 /C FO EI529/14SEP</t>
  </si>
  <si>
    <t>DL055072</t>
  </si>
  <si>
    <t>SAT 4  09H58</t>
  </si>
  <si>
    <t>DL052153</t>
  </si>
  <si>
    <t>SAT 4 09H58</t>
  </si>
  <si>
    <t>AF231784</t>
  </si>
  <si>
    <t>AF1267</t>
  </si>
  <si>
    <t>08H38</t>
  </si>
  <si>
    <t>TBM T1 T2 NAVETTE 10H28</t>
  </si>
  <si>
    <t>10H30: ENVOI BAG RUNNER EN EM92POUR PRISE EN CHARGE  ET LIVRAISON  S/BORD</t>
  </si>
  <si>
    <t>EI261834</t>
  </si>
  <si>
    <t>BSM CREA 09H02</t>
  </si>
  <si>
    <t>BAG 5KG POTENTIEL BAG CABINE / J+1 PAS DE DOSSIER OUVERT</t>
  </si>
  <si>
    <t>EI261845</t>
  </si>
  <si>
    <t>BSM CREA 09H03</t>
  </si>
  <si>
    <t>BAG 7KG POTENTIEL BAG CABINE / J+1 PAS DE DOSSIER OUVERT</t>
  </si>
  <si>
    <t>AC598152</t>
  </si>
  <si>
    <t>AC874/13SEP</t>
  </si>
  <si>
    <t>AUCUNE LOC</t>
  </si>
  <si>
    <t>NEG TOUS SYSTEMES → APPEL SBA POUR CHECK SLB : NEG/ J+1 AHL DUBEI30051 -OHD CDGAC35893/PAX RRTED FROM YUL WITHOUT BAG/FO AC870/13SEP</t>
  </si>
  <si>
    <t>51 - Transit passenger rerouted / Bag not rerouted</t>
  </si>
  <si>
    <t>EI262940</t>
  </si>
  <si>
    <t>WJ43 11H19</t>
  </si>
  <si>
    <t>PAS DE MOUVEMENT</t>
  </si>
  <si>
    <t>12H00: CTC GALERIE T1  POUR ACTION /BAG NON SCANNE MAIS BIEN CHARGE</t>
  </si>
  <si>
    <t>EI263030</t>
  </si>
  <si>
    <t>INJECT T1 10H55</t>
  </si>
  <si>
    <t>PERTE DE  TRACE</t>
  </si>
  <si>
    <t>CTC GALERIE T1 / NEG/DUBEI30050/ 04H45 : VU CYNO 15SEP PUIS RETOUR LL - EN ATTENTE FWD</t>
  </si>
  <si>
    <t>LY252594</t>
  </si>
  <si>
    <t>JETEE T1 12H03</t>
  </si>
  <si>
    <t>PERTE DE TRACE</t>
  </si>
  <si>
    <t>RRTE DU FI543→ BAG LOCALISE SUR JETEE T1 PUIS PERTE DE TRACE → APPEL GALERIE T1 : NEG/→ APPEL DIRBY T1   MAIS INJOIGNABLE/15SEP : VU AU TBM PIM PUIS VERS T1 /DUBEI30077 -EN ATTENTE FWD</t>
  </si>
  <si>
    <t>EI263531</t>
  </si>
  <si>
    <t>BSM CREATION 13H46</t>
  </si>
  <si>
    <t>16H35 :CTC LEAD  PR CONFIRMER SI BAG CABINE (08KG) MAIS N'A PAS L'INFO  /J+1 PAS DE DOSSIER OUVERT</t>
  </si>
  <si>
    <t>MH550033</t>
  </si>
  <si>
    <t>BSM CREATION 09H28/APPEL GALERIE T1/VU EN REQUETEUR /PAS DE TRACE - SCAN HF 2A A 12H05 - ARRIVEE SAT1 12H33 - AHLDUBEI30120 PAS DE RUSH PREVU A J+1</t>
  </si>
  <si>
    <t>EI265649</t>
  </si>
  <si>
    <t>T1 GE 16 HF 10H08</t>
  </si>
  <si>
    <t>CYNO</t>
  </si>
  <si>
    <t>BAG SORTIE  CYNO 10H08/TROP TARD POUR CHARGEMENT - AHLDUBEI30121 O/B EI529/15SEP</t>
  </si>
  <si>
    <t>63 - Airport security</t>
  </si>
  <si>
    <t>EI265657</t>
  </si>
  <si>
    <t>AF284022</t>
  </si>
  <si>
    <t>AF191</t>
  </si>
  <si>
    <t>08H28</t>
  </si>
  <si>
    <t>T1 EJECTION 10H14</t>
  </si>
  <si>
    <t>ARRIVEE TARDIVE AU SAT1 09H57/ AHLDUBEI30123 PAS DE RUSH PREVU A J+1</t>
  </si>
  <si>
    <t>AF284061</t>
  </si>
  <si>
    <t>ARRIVEE TARDIVE AU SAT 1 09H57/ AHLDUBEI30123 PAS DE RUSH PREVU A J+1</t>
  </si>
  <si>
    <t>AF284140</t>
  </si>
  <si>
    <t>EI265125</t>
  </si>
  <si>
    <t>ONLY BSM</t>
  </si>
  <si>
    <t>NEG REQUETEUR + APPEL GALERIE T1 10H48 POUR VERIFIER WJ43 PLUS DE LOCAUX RESTANT - AHLDUBEI30128 O/B EI529/15SEP</t>
  </si>
  <si>
    <t>EI265728</t>
  </si>
  <si>
    <t>T1 INJ WJ43</t>
  </si>
  <si>
    <t>LOC T1 INJECTION 09H42 / APPEL GALERIE T1 10H48 / DEMANDE DE VERIF EN JETEE AVANT CLOTURE DU VOL 11H15 -   PERTE DE TRACE JUSQU’A 13H30 SCAN AU HF - AHLDUBEI30126 O/B EI529/15SEP</t>
  </si>
  <si>
    <t>EI265569</t>
  </si>
  <si>
    <t>BAG 10KG - AUCUNE TRACE DANS NOS DIFFERENTS SYSTEMES JUSQU’À 14H09 AU REBUT - AHLDUBEI30135 O/B EI529/15SEP</t>
  </si>
  <si>
    <t>EI265577</t>
  </si>
  <si>
    <t>EI132515</t>
  </si>
  <si>
    <t>12H29 : BAG EN DEPART VERS PISTE -  BAG REVENU CYNO 13H37 APRES DEPART VOL - AHLDUBEI29356 PAS DE RUSH PREVU A J+1</t>
  </si>
  <si>
    <t>AF304590</t>
  </si>
  <si>
    <t>AF0179</t>
  </si>
  <si>
    <t>14H04</t>
  </si>
  <si>
    <t>16H02 : VERIF BOB - BAG CHARGE AU DEPART DE MEX - VRAC AF15879 - AUCUNE TRACE SUR CDG  - NEG TOUS SYSTEMES - AHLDUBEI30154 PAS DE RUSH PREVU A J+1</t>
  </si>
  <si>
    <t>AF305038</t>
  </si>
  <si>
    <t>AF435</t>
  </si>
  <si>
    <t>15H36</t>
  </si>
  <si>
    <t>M91 16H51</t>
  </si>
  <si>
    <t>ARRIVE EN M91 A 16H51 TROP TARD POUR CHARGEMENT - AHLDUBEI30152 PAS DE RUSH PREVU A J+1</t>
  </si>
  <si>
    <t>AF305086</t>
  </si>
  <si>
    <t>M91 16H39</t>
  </si>
  <si>
    <t>ARRIVE EN M91 A 16H39 TROP TARD POUR CHARGEMENT - AHLDUBEI30152 PAS DE RUSH PREVU A J+1</t>
  </si>
  <si>
    <t>EI267152</t>
  </si>
  <si>
    <t>JETEE T1</t>
  </si>
  <si>
    <t>CHARGE EN AKH67381EI MAIS CLASSE NO CORRECTE - PAS DE DOSSIER OUVERT A J+1</t>
  </si>
  <si>
    <t>AF362821</t>
  </si>
  <si>
    <t>AF0933</t>
  </si>
  <si>
    <t>08H36</t>
  </si>
  <si>
    <t>T1  INJECTION</t>
  </si>
  <si>
    <t>11H16 : APPEL GALERIE T1  POUR PREVENIR  RETARD ACHEMINEMENT DES BAGAGES - VOL RETARDE A 12H05</t>
  </si>
  <si>
    <t>AF363135</t>
  </si>
  <si>
    <t>TBM T1-T2</t>
  </si>
  <si>
    <t>11H16 : APPEL GALERIE T1  POUR PREVENIR  RETARD ACHEMINEMENT DES BAGAGES - VOL RETARDE A 12H05 - SCANNER TBM 10H44 - BAG NON TROUVE - PUIS SAT1 11H27/ EJECTION 11H40 - O/B EI527/16SEP</t>
  </si>
  <si>
    <t>AF364338</t>
  </si>
  <si>
    <t>11H16 : APPEL GALERIE T1  POUR PREVENIR  RETARD ACHEMINEMENT DES BAGAGES - VOL RETARDE A 12H05 - SCAN TBM EJECTION 10H53 - BAG NON TROUVE - SAT1 11H27 - AHLDUBEI30189 O/B EI527/16SEP</t>
  </si>
  <si>
    <t>EI132813</t>
  </si>
  <si>
    <t>12H31 : APPEL DIRBY T1 - SANS REPONSE/RUSH REFAIT SUR LE EI527/17SEP</t>
  </si>
  <si>
    <t>EI132814</t>
  </si>
  <si>
    <t>12H31 : APPEL DIRBY T1 - SANS REPONSE / PAS DE RUSH REFAIT</t>
  </si>
  <si>
    <t>EI132815</t>
  </si>
  <si>
    <t>EI273805</t>
  </si>
  <si>
    <t>T1 EJECTION CARR SAT4</t>
  </si>
  <si>
    <t>12H29 : APPEL GALERIE T1 POUR DONNER LOC BAG - BAG DEPOSE A L AVION</t>
  </si>
  <si>
    <t>EI274339</t>
  </si>
  <si>
    <t>T1 EJECTION SAT 4 - WJ43</t>
  </si>
  <si>
    <t>15H45 : APPEL GALERIE T1 - BAG ENCORE ATTENDU</t>
  </si>
  <si>
    <t>EI274447</t>
  </si>
  <si>
    <t>EI274606</t>
  </si>
  <si>
    <t>EI132823</t>
  </si>
  <si>
    <t>BSM CREATION 12H47</t>
  </si>
  <si>
    <t>APPEL SUP DIRBY T1 A 16H50/DEMANDE DE FAIRE LE NECESSAIRE/DIT QU'IL N'Y A PLUS PERSONNE EN GALERIE POUR ENVOYER LE RUSH SUR LE VOL</t>
  </si>
  <si>
    <t>EI274186</t>
  </si>
  <si>
    <t>BSM CREATION 13H40</t>
  </si>
  <si>
    <t>APPEL LEADER EI A 17H10 MAIS PAS DE REPONSE/RAPPEL A 17H20/PAS DE REPONSE/STRL EN ALTEA/SUREMENT PRISE A BORD PAR PAX/</t>
  </si>
  <si>
    <t>EI275512</t>
  </si>
  <si>
    <t>T1 EJECTION WJ40 20H21</t>
  </si>
  <si>
    <t>PAS DE MVT 21H07</t>
  </si>
  <si>
    <t>APPEL GALERIE T1 A 21H08 ET SIGNALE</t>
  </si>
  <si>
    <t>EI275407</t>
  </si>
  <si>
    <t>T1 HORS FORMAT 20H03</t>
  </si>
  <si>
    <t>AF522417</t>
  </si>
  <si>
    <t>AF579</t>
  </si>
  <si>
    <t>08H12</t>
  </si>
  <si>
    <t>T1 ARRIVEE 2</t>
  </si>
  <si>
    <t>09H47: X 2 BAGS DEPOSE TARDIVE EN JETEE DEPART→ 10H03 : DPT VERS PISTE →SOUTES FERMEES→RETOUR LL/DUBEI30283-FO EI521/19SEP</t>
  </si>
  <si>
    <t>AF522460</t>
  </si>
  <si>
    <t>EI277409</t>
  </si>
  <si>
    <t>6KGS - POSSIBLE BAGAGE A MAIN PRIS DANS L AVION/ J+1 PAS DE DOSSIER OUVERT</t>
  </si>
  <si>
    <t>EI277425</t>
  </si>
  <si>
    <t>EI132923</t>
  </si>
  <si>
    <t>REBUT T1 14H39</t>
  </si>
  <si>
    <t>15H45 : APPEL GALERIE T1  POUR PRISE EN CHARGE</t>
  </si>
  <si>
    <t>EI277804</t>
  </si>
  <si>
    <t>EI277939</t>
  </si>
  <si>
    <t>T1 EJECTION CARROUSSEL WJ43 14H32</t>
  </si>
  <si>
    <t>EI277945</t>
  </si>
  <si>
    <t>EI279283</t>
  </si>
  <si>
    <t>WJ43 08H20</t>
  </si>
  <si>
    <t>9H40 : CHECK AVEC GALERIE  T1 :NEG /BAG INTROUVABLE → 20H11 : VU AU REBUS T1  /DUBEI30356 FO EI521/20SEP</t>
  </si>
  <si>
    <t>EI279244</t>
  </si>
  <si>
    <t>BSM CREA 08H05</t>
  </si>
  <si>
    <t>BAG 5KG / POTENTIEL BAG CABINE /J+ 1PAS DE DOSSIER OUVERT</t>
  </si>
  <si>
    <t>EI279722</t>
  </si>
  <si>
    <t>REBUT T1 09H01</t>
  </si>
  <si>
    <t>10H30:  CTC GALERIE T1 POUR ENVOIE SOUS BORD</t>
  </si>
  <si>
    <t>EI280375</t>
  </si>
  <si>
    <t>WJ43 09H49</t>
  </si>
  <si>
    <t>10H45 : CTC  GALERIE T1  PR VERIF JETEE  → TOUT EST PARTI SUR PISTE /J+1 PAS DE DOSSIER OUVERT</t>
  </si>
  <si>
    <t>IB041101</t>
  </si>
  <si>
    <t>T3 TRI 10H56</t>
  </si>
  <si>
    <t>12H00: CTC  GALERIE T3/ NAVETTE SAMSIC:  REFUSE DE PRENDRE LE BAG → PROBLEME DE CONTRAT/12H15 : CTC  DIRBY  T3 PR PRISE EN CHARGE RUSH → 0 ACTION</t>
  </si>
  <si>
    <t>EI133051</t>
  </si>
  <si>
    <t>AF651259</t>
  </si>
  <si>
    <t>AF1763</t>
  </si>
  <si>
    <t>13H37</t>
  </si>
  <si>
    <t>AUCUNE  TRACE TOUS SYTEMES PUIS VU EN  AUTORUSH SUR  BOB A 16H50 AU T2G  → 18H03 : EJECTION WJ41 /DUBEI30382 FO EI521/20SEP</t>
  </si>
  <si>
    <t>AF612579</t>
  </si>
  <si>
    <t>14H48</t>
  </si>
  <si>
    <t>T1 EJECTION WJ43 16H08</t>
  </si>
  <si>
    <t>16H20 : CTC GALERIE T1  POUR VERIF ET ENVOI SOUS BORD</t>
  </si>
  <si>
    <t>EI282485</t>
  </si>
  <si>
    <t>T1 EJECTION WJ43 16H00</t>
  </si>
  <si>
    <t>DL925500</t>
  </si>
  <si>
    <t>DL290</t>
  </si>
  <si>
    <t>13H39</t>
  </si>
  <si>
    <t>TME TRIEUR 16H50</t>
  </si>
  <si>
    <t>TN RENTRE EN 0006 ISO 5006</t>
  </si>
  <si>
    <t>RRTE DU AF1816→ BSM CREE H-15→ LOC EN BOB AU TME→ 16H50 : DMD EXTRACTION BAG AU PIILOTE AF  → SEULE POSSIBILITE EXTRACTION AU  QSE  MAIS TROP TARD POUR CHARGEMENT/DUBEI30386</t>
  </si>
  <si>
    <t>DL932173</t>
  </si>
  <si>
    <t>EI282153</t>
  </si>
  <si>
    <t>NEGATIF TOUS SYTEMES → INDENTIFIE EN STRL EN ALTEA→ SUREMENT PRISE A BORD PAR PAX/J+1 PAS DE DOSSIER OUVERT</t>
  </si>
  <si>
    <t>EI283768</t>
  </si>
  <si>
    <t>BAGAGE CABINE 10KG</t>
  </si>
  <si>
    <t>EI283769</t>
  </si>
  <si>
    <t>EI284440</t>
  </si>
  <si>
    <t>DECHARGE DE CONTENANT</t>
  </si>
  <si>
    <t>CHARGE → DECHARGE→  RECHARGE MAIS PASSE EN REFUS/ J+1 PAS DE DOSSIER OUVERT</t>
  </si>
  <si>
    <t>EI133130</t>
  </si>
  <si>
    <t>GE16 09H54</t>
  </si>
  <si>
    <t>DEPOSE TARDIVE RUSH</t>
  </si>
  <si>
    <t>09H55:  CTC  GALERI ET1 POUR ENVOI SOUS BORD → TENTE MAIS REFUSE :SOUTES FERMEES→ RETOUR LL</t>
  </si>
  <si>
    <t>EI283921</t>
  </si>
  <si>
    <t>DEPART VERS PISTE 09H43</t>
  </si>
  <si>
    <t>PAS DE SCAN DE CHARGEMENT</t>
  </si>
  <si>
    <t>VU AC GALERIE → BAG CHARGE S/S SCAN SUR PISTE</t>
  </si>
  <si>
    <t>EI284397</t>
  </si>
  <si>
    <t>PISTE/DECHARGE DE CONTENANT</t>
  </si>
  <si>
    <t>DECHARGE DE CONTENANT PUIS PLUS DE TRACE → SUREMENT CHARGE EN VRAC /J+ 1 PAS DE DOSSIER OUVERT</t>
  </si>
  <si>
    <t>EI284401</t>
  </si>
  <si>
    <t>11H00</t>
  </si>
  <si>
    <t>EI285160</t>
  </si>
  <si>
    <t>HF T1 09H36</t>
  </si>
  <si>
    <t>10 H35 : CTC  GALERIE T1 POUR ENVOI SOUS BORD → SUREMENT CHARGE SANS SCAN / J+1 PAS DE DOSSIER OUVERT</t>
  </si>
  <si>
    <t>EI285161</t>
  </si>
  <si>
    <t>EI286184</t>
  </si>
  <si>
    <t>13H05: VU AC LEAD EI : WCHC(180KG) QUI SERA PRISE EN PORTE</t>
  </si>
  <si>
    <t>AF697472</t>
  </si>
  <si>
    <t>AF0501</t>
  </si>
  <si>
    <t>13H30</t>
  </si>
  <si>
    <t>CHARGE NAVETTE T2→T1 15H02</t>
  </si>
  <si>
    <t>BAGAGE NON AUTORISE</t>
  </si>
  <si>
    <t>DEPART VERS PISTE 15H41  /APPEL LEADER /PAX NON PRESENTE EN PORTE  16H08→ OK BORDED 16H29</t>
  </si>
  <si>
    <t>AF699041</t>
  </si>
  <si>
    <t>CHARGE NAVETTE T2→T1 14H46</t>
  </si>
  <si>
    <t>DEPART VERS PISTE 15H41  /APPEL LEADER /PAX NON PRESENTE EN PORTE  16H08→ OK 16H29</t>
  </si>
  <si>
    <t>AF699212</t>
  </si>
  <si>
    <t>CHARGE NAVETTE T2→T1 15H03</t>
  </si>
  <si>
    <t>DEPART VERS PISTE 15H41  /APPEL LEADER /PAX NON PRESENTE EN PORTE  16H08→ 16H32 REFUS CHARGEMENT / TAG NON RENTRE DANS  ALTEA/A DUBEI30468  FO EI527/21SEP</t>
  </si>
  <si>
    <t>EI286708</t>
  </si>
  <si>
    <t>GALERIE T1 CTC POUR VERIFICATION  15H50 POUSSETTE</t>
  </si>
  <si>
    <t>16H31</t>
  </si>
  <si>
    <t>EI286707</t>
  </si>
  <si>
    <t>GALERIE T1  CTC  POUR VERIFICATION  15H50 WCMP</t>
  </si>
  <si>
    <t>16H32</t>
  </si>
  <si>
    <t>EI286692</t>
  </si>
  <si>
    <t>GALERIE T1 CTC POUR  VERIFICATION  15H50 POUSSETTE</t>
  </si>
  <si>
    <t>16H33</t>
  </si>
  <si>
    <t>EI286668</t>
  </si>
  <si>
    <t>16H34</t>
  </si>
  <si>
    <t>EI286607</t>
  </si>
  <si>
    <t>EI289245</t>
  </si>
  <si>
    <t>CYNO T1 09H48</t>
  </si>
  <si>
    <t>T1 INJECTION 08H59 / CYNO 09H48 / 10H00 APPEL GALERIE T1 POUR ENVOIE SOUS BORD / SCANNE 10H17 JETEE T1 PUIS BAG REFUSE ENREGISTRE SUR AUTRE VOL - AHLDUBEI30499</t>
  </si>
  <si>
    <t>HC573946</t>
  </si>
  <si>
    <t>HC403</t>
  </si>
  <si>
    <t>CHECK REQUETEUR / BAGRADAR / AUCUNE TRACE BAG - LOCALISE A 17H28 AU 2C HF - PAS DE RUSH PREVU AHLDUBEI30508</t>
  </si>
  <si>
    <t>HC573949</t>
  </si>
  <si>
    <t>CHECK REQUETEUR / BAGRADAR / AUCUNE TRACE BAG - AHLDUBEI30508</t>
  </si>
  <si>
    <t>AA212148</t>
  </si>
  <si>
    <t>AA150/20SEP</t>
  </si>
  <si>
    <t>15H48 : ATT/ ENREGISTREMENT TARDIF 15H40 - APPEL AA - SANS REPONSE / A 20H03 EN BAGERA LOCALISE EN JETEE T1 TAG EXISTE POUR D'AUTRES VOLS REFUS- AHLDUBEI30536</t>
  </si>
  <si>
    <t>AA212149</t>
  </si>
  <si>
    <t>15H48 : ATT/ ENREGISTREMENT TARDIF 15H38 - APPEL AA - SANS REPONSE / RECHERCHE REQUETEUR ET BAGRADAR : AUCUNE LOC -BAG JAMAIS ARRIVE A CDG O/B AA830/AA722/21SEP AHLDUBEI30536</t>
  </si>
  <si>
    <t>AF790547</t>
  </si>
  <si>
    <t>AF0431</t>
  </si>
  <si>
    <t>13H53</t>
  </si>
  <si>
    <t>15H52 ARRIVEE SAT 1 / EN JETEE 16H14  MAIS RETROUVE AU REBUT 16H29 -AHLDUBEI30535</t>
  </si>
  <si>
    <t>EI291786</t>
  </si>
  <si>
    <t>EJECTION WJ40 21H08</t>
  </si>
  <si>
    <t>INJECTION TARDIVE DS INFRA</t>
  </si>
  <si>
    <t>APPEL GALERIE T1 21H10 POUR ETRE SUR QUE LE BAG SERAIT PRIS EN CHARGE</t>
  </si>
  <si>
    <t>AF835353</t>
  </si>
  <si>
    <t>AF293</t>
  </si>
  <si>
    <t>07H33</t>
  </si>
  <si>
    <t>NO LOC</t>
  </si>
  <si>
    <t>VU REQUETEUR ENTREE TRIEUR ET PLUS DE TRACE / VU AVEC AF MEME INFO A/ DUBEI30585 /J+1 TOUJOURS PAS DE TRACE</t>
  </si>
  <si>
    <t>AF847303</t>
  </si>
  <si>
    <t>AF0453</t>
  </si>
  <si>
    <t>06H41</t>
  </si>
  <si>
    <t>CHARGE EN AKH66973EI</t>
  </si>
  <si>
    <t>TAG NON RENTRE DANS ALTEA/  A/DUBEI30584 FO EI529/22SEP</t>
  </si>
  <si>
    <t>AF847145</t>
  </si>
  <si>
    <t>TAG NON RENTRE DANS ALTEA/ A  /DUBEI30584 FO EI529/22SEP</t>
  </si>
  <si>
    <t>AF847268</t>
  </si>
  <si>
    <t>TAG NON RENTRE DANS ALTEA/  A /DUBEI30583 FO EI529/22SEP</t>
  </si>
  <si>
    <t>AF847228</t>
  </si>
  <si>
    <t>MH823228</t>
  </si>
  <si>
    <t>MH0021</t>
  </si>
  <si>
    <t>07H01</t>
  </si>
  <si>
    <t>TAG NON RENTRE DANS ALTEA/  A /DUBEI30591 FO EI529/22SEP</t>
  </si>
  <si>
    <t>EI293338</t>
  </si>
  <si>
    <t>POSSIBLE CABIN BAG / POIDS 05KG</t>
  </si>
  <si>
    <t>EI292850</t>
  </si>
  <si>
    <t>12H42 : VU AVEC GALERIE T1 - BAG TJS ATTENDU - NEG / REBUS T1 A 14H43 BAG INITIALEMENT PREVU SUR LE EI523  DU 20 SEPT  A/IADEI19444 EN ATTENTE DE FWD</t>
  </si>
  <si>
    <t>EI293685</t>
  </si>
  <si>
    <t>5 KGS - POUSSETTE  PRIS EN CABINE  -</t>
  </si>
  <si>
    <t>EI293691</t>
  </si>
  <si>
    <t>10 KGS - POUSSETTE  PRIS EN CABINE  -</t>
  </si>
  <si>
    <t>EI294469</t>
  </si>
  <si>
    <t>HBAG DE 3KG EN ALTEA/ PRIS EN CABINE</t>
  </si>
  <si>
    <t>EI295111</t>
  </si>
  <si>
    <t>T1 INJECTION WD4 19H35</t>
  </si>
  <si>
    <t>PAS D'EJECTION 20H20</t>
  </si>
  <si>
    <t>APPEL REP T1 A 20H20 ET SIGNALE/LE BAG BLOQUE SUR LE TAPIS CAR TROP LEGER (5KG) /FORCE VERS LA CYNO</t>
  </si>
  <si>
    <t>EI295360</t>
  </si>
  <si>
    <t>T1 EJECTION WJ40 20H35</t>
  </si>
  <si>
    <t>APPEL GALERIE T1 A 20H55 ET SIGNALE</t>
  </si>
  <si>
    <t>AF047365</t>
  </si>
  <si>
    <t>AF874</t>
  </si>
  <si>
    <t>08H59</t>
  </si>
  <si>
    <t>T1 WJ43/10H54</t>
  </si>
  <si>
    <t>DEPOSE TARDIVE NAVETTE T1 10H46 / APPEL SUP T1 POUR DEMANDE DE RECUP ET DEPOSE SS BORD / J+1  A DUBEI30655 FO EI529/23SEP</t>
  </si>
  <si>
    <t>EI133576</t>
  </si>
  <si>
    <t>T1 HF 7H16</t>
  </si>
  <si>
    <t>09H15 : APPEL HORS FORMAT T1 POUR VERIF ET RE INJECTION - OK</t>
  </si>
  <si>
    <t>EI133611</t>
  </si>
  <si>
    <t>EI133612</t>
  </si>
  <si>
    <t>EI297782</t>
  </si>
  <si>
    <t>BSM CREATION 14H21</t>
  </si>
  <si>
    <t>POUSSETTE EN ALTEA/SUREMENT PRISE A BORD PAR PAX</t>
  </si>
  <si>
    <t>EI133700</t>
  </si>
  <si>
    <t>BSM ONLY 14H32</t>
  </si>
  <si>
    <t>APPEL DIRBY T1 A 21H10 ET DEMANDE DE FAIRE LE NECESSAIRE</t>
  </si>
  <si>
    <t>AF098462</t>
  </si>
  <si>
    <t>AF407</t>
  </si>
  <si>
    <t>06H57</t>
  </si>
  <si>
    <t>BSM CREA 09H36</t>
  </si>
  <si>
    <t>BSM CREA TARDIVE</t>
  </si>
  <si>
    <t>ENTREE 2E PIM 09H54 / CHARGE NAVETTE 10H15/J+1 A DUBEI30692 FO EI529/24SEP</t>
  </si>
  <si>
    <t>AF098496</t>
  </si>
  <si>
    <t>AF093281</t>
  </si>
  <si>
    <t>N ÉTAIT PAS DANS A TRAITER/ TAG NON RENTRE DANS ALTEA/J+1 A DUBEI30694 FO EI529/24SEP</t>
  </si>
  <si>
    <t>EI300061</t>
  </si>
  <si>
    <t>T1 EJECTION WJ36 09H25</t>
  </si>
  <si>
    <t>APPEL GALERIE T1 POUR VERIF ET ENVOI SOUS BORD 10H35 / CONFIRMATION PAR LE SUP GALERIE BAG CHARGE 10H45 /J+1 A SNNEI76904 FO EI909/27SEP</t>
  </si>
  <si>
    <t>EI301560</t>
  </si>
  <si>
    <t>TI EJECTION WJ43 A 13H39</t>
  </si>
  <si>
    <t>RESPON GALERIE  CONFIRME BAG CHARGE /PROBLEME DE SCAN</t>
  </si>
  <si>
    <t>EI301585</t>
  </si>
  <si>
    <t>TI EJECTION WJ43 A 13H44</t>
  </si>
  <si>
    <t>EI301807</t>
  </si>
  <si>
    <t>TI EJECTION WJ43 A 14H20</t>
  </si>
  <si>
    <t>EI302769</t>
  </si>
  <si>
    <t>ARRIVEE T1</t>
  </si>
  <si>
    <t>TOMBE DU CONTAINER</t>
  </si>
  <si>
    <t>BAG TOMBE DU CONTAINER / PRIS EN CHARGE PAR UN BAGAGISTE MAIS TROP TARDIVEMENT / SOUTE FERMEE / BAG REMONTE AUX ARRIVEES T1</t>
  </si>
  <si>
    <t>AF186763</t>
  </si>
  <si>
    <t>08H19</t>
  </si>
  <si>
    <t>T1 EJECTION WJ43 10H03</t>
  </si>
  <si>
    <t>ARRIVEE TARDIVE T1</t>
  </si>
  <si>
    <t>APPEL GALERIE T1 POUR ENVOI SOUS BORD 10H00 / DPT VERS PISTE 10H13 / APPEL COORDO BAG NON CHARGE 10H16 - AHLDUBEI30732 O/B EI529/25SEP</t>
  </si>
  <si>
    <t>AF186764</t>
  </si>
  <si>
    <t>T1 EJECTION WJ43 09H59</t>
  </si>
  <si>
    <t>AF187895</t>
  </si>
  <si>
    <t>T1 EJECTION WJ41  10H11</t>
  </si>
  <si>
    <t>APPEL GALERIE T1 POUR ENVOI SOUS BORD 12H12  / APPEL COORDO BAG NON CHARGE SOUTE FERMEE 10H16 - AHLDUBEI30732 O/B EI529/25SEP</t>
  </si>
  <si>
    <t>AF187830</t>
  </si>
  <si>
    <t>2E TRI 08H57</t>
  </si>
  <si>
    <t>REQUETEUR  SYSTÈME AF TRACE PERDUE A 08H57 / POSSIBILITE ERREUR ACHEMINEMENT 09H30 / NOUVEL LOC TME204 A 10H11 - AHLDUBEI30732 PAS DE RUSH PREVU A J+1</t>
  </si>
  <si>
    <t>EI304026</t>
  </si>
  <si>
    <t>BSM CREA 09H44</t>
  </si>
  <si>
    <t>POUSSETTE</t>
  </si>
  <si>
    <t>APPEL  COORDO 11H05 POUSSETTE QUI RESTE EN CABINE DONC PAS SCANNER MAIS BIEN A BORD</t>
  </si>
  <si>
    <t>EI303911</t>
  </si>
  <si>
    <t>BSM CREA 09H33</t>
  </si>
  <si>
    <t>EI304862</t>
  </si>
  <si>
    <t>BSM CREATION A 11H28</t>
  </si>
  <si>
    <t>CTC COORDO  SANS REPONSE PROBABLEMENT HAND BAG 5KG O/B SANS SCAN - PAS DE DOSSIER OUVERT A J+1</t>
  </si>
  <si>
    <t>EI133891</t>
  </si>
  <si>
    <t>20H30 APPEL DIRBY POUR INJECTION - AHLDUBEI30738 DOSSIER FERME LE 26SEP</t>
  </si>
  <si>
    <t>EI306144</t>
  </si>
  <si>
    <t>BSM CREA 19H31</t>
  </si>
  <si>
    <t>BAG CABINE /</t>
  </si>
  <si>
    <t>EI306640</t>
  </si>
  <si>
    <t>HORS FORMAT</t>
  </si>
  <si>
    <t>10H07 : APPEL HORS FORMAT - VOL PAS ENCORE ARV - BAG ENCORE A LEUR NIVEAU</t>
  </si>
  <si>
    <t>EI309146</t>
  </si>
  <si>
    <t>T1 INJECTION 14H17</t>
  </si>
  <si>
    <t>LOCALISE T1 INJECTION 14H17 / APPEL GALERIE T1 16H00 POUR VERIF - PUIS VU AU REBUT A 18H03 - AHLDUBEI30831 O/B EI521/27SEP</t>
  </si>
  <si>
    <t>EI311657</t>
  </si>
  <si>
    <t>10H01 : APPEL CYNO T1 - BAG VA ETRE RAMENE SOUS BORD SI OK COORDO - AHLDUBEI30861 O/B EI527/27SEP</t>
  </si>
  <si>
    <t>EI311977</t>
  </si>
  <si>
    <t>10H01 : APPEL CYNO T1 - BAG VA ETRE RAMENE SOUS BORD SI OK COORDO - AHLDUBEI30863 O/B EI527/27SEP</t>
  </si>
  <si>
    <t>EI313124</t>
  </si>
  <si>
    <t>INJECTION WJ43  11H31</t>
  </si>
  <si>
    <t>APPEL GALERIE T1 12H46 PR VERIF INFRA - BAG REFUSE CHARGE SUR UN AUTRE VOL - AHLDUBEI30900</t>
  </si>
  <si>
    <t>EI312890</t>
  </si>
  <si>
    <t>EJECTION WJ43 10H52</t>
  </si>
  <si>
    <t>APPEL GALERIE T1 12H46 PR VERIF INFRA - LOC T1 INJECTION 10H48 / EJECTION SAT4 10H52 - RETOUR LL 28SEP 05H36 - AHLDUBEI30899 PAS DE RUSH PREVU A J+1</t>
  </si>
  <si>
    <t>EI313020</t>
  </si>
  <si>
    <t>APPEL GALERIE T1 12H00 POUR VERIF /PAS DE TRACE - PAS DE DOSSIER OUVERT A J+1</t>
  </si>
  <si>
    <t>EI313409</t>
  </si>
  <si>
    <t>BAG LOCALISE EN PISTE SUR LE EI525 PUIS ANNULE / PERTE DE TRACE / PEUT ETRE CHARGE O/B EI525 - PAS DE DOSSIER OUVERT A J+1</t>
  </si>
  <si>
    <t>SQ716460</t>
  </si>
  <si>
    <t>07H45</t>
  </si>
  <si>
    <t>SAT1 A 07H59</t>
  </si>
  <si>
    <t>PAS DE MVT A 09H45</t>
  </si>
  <si>
    <t>CTC SAT1 AU 99638 A 09H45 POUR FAIRE LE NECESSAIRE/PRESENTE AU CYNO A 10H08 /OK CYNO A 10H19 TROP TARD POUR LE VOL - AHLDUBEI30965 O/B EI529/28SEP</t>
  </si>
  <si>
    <t>EI316299</t>
  </si>
  <si>
    <t>TI CYNO 10H24</t>
  </si>
  <si>
    <t>BAG  RECONTROLE</t>
  </si>
  <si>
    <t>OK CYNO A 10H40 - SUR LA JETEE A 11H07 POUR UN DEPART 10H20 - NOTE EN REFUS ENREGISTRE SUR UN AUTRE VOL DANS BAGERA - AHLDUBEI30963 PAS DE RUSH PREVU</t>
  </si>
  <si>
    <t>EI316314</t>
  </si>
  <si>
    <t>BSM CREATION A 09H17</t>
  </si>
  <si>
    <t>PAS DE TRACE DEPUIS CREATION DE BSM BAG DE 12KG PROBABLEMENT CHARGE - PAS DE DOSSIER OUVERT A J+1</t>
  </si>
  <si>
    <t>EI316790</t>
  </si>
  <si>
    <t>OK CYNO 11H01</t>
  </si>
  <si>
    <t>TRAITEMENT TARDIF</t>
  </si>
  <si>
    <t>APPEL GALERIE T1 11H05 PR RECUP ET ENVOI SS BORD - BAG LOC ARRIVEE 12H48 / HF A 13H24 /EJECTION 13H53 REBUT 14H07 - AHLMCOEI14619 PAS DE RUSH PREVU</t>
  </si>
  <si>
    <t>EI317759</t>
  </si>
  <si>
    <t>CYNO 12H16</t>
  </si>
  <si>
    <t>APPEL GALERIE T1 12H30 POUR VERIF INFRA</t>
  </si>
  <si>
    <t>EI317801</t>
  </si>
  <si>
    <t>EI317350</t>
  </si>
  <si>
    <t>EJECTION WJ43 11H06</t>
  </si>
  <si>
    <t>BAG 8KG - INJECTION 11H03 - EJECTION SAT 4 11H06 - APPEL GALERIE T1 12H30 POUR VERIF INFRA - NEG - PAS DE DOSSIER A J+1</t>
  </si>
  <si>
    <t>EI318108</t>
  </si>
  <si>
    <t>PISTE 16H00</t>
  </si>
  <si>
    <t>T1 EJECTION EJ18 16H48</t>
  </si>
  <si>
    <t>BAG CHARGE EN SOUTE 16H00/DECHARGE DE SOUTE 16H37/APPEL COORDO 16H57/DIT QUE LE BAG A BIEN ÉTÉ CHARGE CAR VOL PARTI A 16H29 - AHLDUBEI30991</t>
  </si>
  <si>
    <t>AF526823</t>
  </si>
  <si>
    <t>08H26</t>
  </si>
  <si>
    <t>EMJ 091 A 10H20</t>
  </si>
  <si>
    <t>ARRIVE TARDIVE AU TBM</t>
  </si>
  <si>
    <t>DMD BAG RUNNER  DE  LA PRISE EN CHARGE COMME VOL RETADER A 10H59 /PRISE EN CHARGE A 10H35 ET DEPOSE S/BORD A 10H45 TROP TARD  RETOUR LL//J+1 AHL DUBEI31023</t>
  </si>
  <si>
    <t>EI320123</t>
  </si>
  <si>
    <t>EJ18 A 10H11</t>
  </si>
  <si>
    <t>RETOUR LL A 10H22</t>
  </si>
  <si>
    <t>CTC GALERIE T1  RETOUR LL A LA DEMANDE DU DIRBY T1//J+1 FWD EI521/EI117/30SEP /ENREGITREMENT TARDIF CHECK-ING</t>
  </si>
  <si>
    <t>16 - Bag received too late from checkin</t>
  </si>
  <si>
    <t>AF527640</t>
  </si>
  <si>
    <t>08H47</t>
  </si>
  <si>
    <t>EMJ 091 A 10H56</t>
  </si>
  <si>
    <t>PRISE EN CHARGE  PAR BAG RUNNER 11H06  / TROP TARD SOUTE FERMEE / RETOUR LL//J+1 AHL DUBEI31025 FWD EI525/30SEP</t>
  </si>
  <si>
    <t>EI320336</t>
  </si>
  <si>
    <t>NJ24 A 09H24</t>
  </si>
  <si>
    <t>PAQS DE MVT A 11H00</t>
  </si>
  <si>
    <t>CTC GALERIE T1 A 11H 00 ILS VONT PRENDRE EN CHARGE LE BAG //J+1 AHL BOIAS16582 //BAG BLOQUE DANS INFRA</t>
  </si>
  <si>
    <t>EI321351</t>
  </si>
  <si>
    <t>BSM 11H07</t>
  </si>
  <si>
    <t>PAS D'INJECT</t>
  </si>
  <si>
    <t>AUCUNE TRACE DU BAG //J+1 PAS DE DOSSIER AHL BAG DE 17KG</t>
  </si>
  <si>
    <t>EI321457</t>
  </si>
  <si>
    <t>BSM 11H23</t>
  </si>
  <si>
    <t>BAG 8 KG / STROL</t>
  </si>
  <si>
    <t>EI134297</t>
  </si>
  <si>
    <t>BSM 14H34</t>
  </si>
  <si>
    <t>16H00 APPEL DIRBY T1 POUR INJECTION/RUSH INJECTE AU T1 HORS FORMAT A 17H00/TROP TARD POUR CHARGEMENT</t>
  </si>
  <si>
    <t>EI322773</t>
  </si>
  <si>
    <t>HBAG EN ALTEA/SUREMENT PRIS A BORD PAR PAX</t>
  </si>
  <si>
    <t>MK717064</t>
  </si>
  <si>
    <t>MK014</t>
  </si>
  <si>
    <t>07H44</t>
  </si>
  <si>
    <t>T1 WJ034</t>
  </si>
  <si>
    <t>SHORT CNX</t>
  </si>
  <si>
    <t>10H00 : CTC GALERIE T1 POUR PRISE EN CHARGE</t>
  </si>
  <si>
    <t>MK717068</t>
  </si>
  <si>
    <t>EI324716</t>
  </si>
  <si>
    <t>BSM CREA 10H24</t>
  </si>
  <si>
    <t>INJECT T1 10H49</t>
  </si>
  <si>
    <t>11H08 : OK CYNO OK→ TROP TARD POUR CHARGEMENT/DUBEI31061</t>
  </si>
  <si>
    <t>EI324296</t>
  </si>
  <si>
    <t>BSM CREA 09H41</t>
  </si>
  <si>
    <t>BAG 8KG BAG A MAIN</t>
  </si>
  <si>
    <t>EI325476</t>
  </si>
  <si>
    <t>STRL EN ALTEA /SUREMENT PRISE A BORD PAR PAX</t>
  </si>
  <si>
    <t>EI325541</t>
  </si>
  <si>
    <t>EI326474</t>
  </si>
  <si>
    <t>21H40 :CTC  LEADER EI 21H40→ PAS DE REPONSE→ SUREMENT STRL OU HBAG PRIS A BORD</t>
  </si>
  <si>
    <t>EI326588</t>
  </si>
  <si>
    <t>21H40 : CTC  LEADER EI 21H40→ PAS DE REPONSE→ SUREMENT STRL OU HBAG PRIS A BORD</t>
  </si>
  <si>
    <t>FLUX BAGAGES — JOUR PAR JOUR — EI — AER LINGUS</t>
  </si>
  <si>
    <t>FLUX BAGAGES — SYNTHÈSE PAR DATE — EI — AER LINGUS</t>
  </si>
  <si>
    <t>FLUX BAGAGES — BASE — EI — AER LINGUS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</si>
</sst>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4">
    <font>
      <sz val="11"/>
      <name val="Carlito"/>
    </font>
    <font>
      <b/>
      <sz val="17"/>
      <color rgb="FFFFFFFF"/>
      <name val="Carlito"/>
    </font>
    <font>
      <b/>
      <sz val="10"/>
      <color rgb="FF16608D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20"/>
      <color rgb="FF9370DB"/>
      <name val="Carlito"/>
    </font>
    <font>
      <b/>
      <sz val="20"/>
      <color rgb="FFFFFFFF"/>
      <name val="Carlito"/>
    </font>
    <font>
      <b/>
      <sz val="11"/>
      <name val="Carlito"/>
    </font>
    <font>
      <sz val="11"/>
      <color rgb="FF059669"/>
      <name val="Carlito"/>
    </font>
    <font>
      <sz val="11"/>
      <color rgb="FF2563EB"/>
      <name val="Carlito"/>
    </font>
    <font>
      <sz val="11"/>
      <color rgb="FFDC2626"/>
      <name val="Carlito"/>
    </font>
    <font>
      <sz val="11"/>
      <color rgb="FF7C3AED"/>
      <name val="Carlito"/>
    </font>
    <font>
      <b/>
      <sz val="12"/>
      <name val="Carlito"/>
    </font>
    <font>
      <sz val="11"/>
      <color rgb="FFB45309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102B47"/>
      </patternFill>
    </fill>
    <fill>
      <patternFill patternType="solid">
        <fgColor rgb="FFEAF3F9"/>
      </patternFill>
    </fill>
    <fill>
      <patternFill patternType="solid">
        <fgColor rgb="FF16608D"/>
      </patternFill>
    </fill>
    <fill>
      <patternFill patternType="solid">
        <fgColor rgb="FF183153"/>
      </patternFill>
    </fill>
    <fill>
      <patternFill patternType="solid">
        <fgColor rgb="FFEAF0F7"/>
      </patternFill>
    </fill>
    <fill>
      <patternFill patternType="solid">
        <fgColor rgb="FFF1F5F9"/>
      </patternFill>
    </fill>
    <fill>
      <patternFill patternType="solid">
        <fgColor rgb="FF126B82"/>
      </patternFill>
    </fill>
    <fill>
      <patternFill patternType="solid">
        <fgColor rgb="FF10B981"/>
      </patternFill>
    </fill>
    <fill>
      <patternFill patternType="solid">
        <fgColor rgb="FF3B82F6"/>
      </patternFill>
    </fill>
    <fill>
      <patternFill patternType="solid">
        <fgColor rgb="FFEF4444"/>
      </patternFill>
    </fill>
    <fill>
      <patternFill patternType="solid">
        <fgColor rgb="FF9370DB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6D28D9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/>
    <xf numFmtId="0" fontId="0" fillId="0" borderId="0" xfId="0"/>
    <xf numFmtId="0" fontId="0" fillId="0" borderId="0" xfId="0" applyAlignment="1">
      <alignment horizontal="center"/>
    </xf>
    <xf numFmtId="0" fontId="0" fillId="13" borderId="0" xfId="0" applyNumberFormat="1" applyFont="1" applyFill="1" applyBorder="1" applyAlignment="1">
      <alignment horizontal="center"/>
    </xf>
    <xf numFmtId="0" fontId="0" fillId="14" borderId="0" xfId="0" applyNumberFormat="1" applyFont="1" applyFill="1" applyBorder="1" applyAlignment="1">
      <alignment horizontal="center"/>
    </xf>
    <xf numFmtId="0" fontId="0" fillId="15" borderId="0" xfId="0" applyNumberFormat="1" applyFont="1" applyFill="1" applyBorder="1" applyAlignment="1">
      <alignment horizontal="center"/>
    </xf>
    <xf numFmtId="0" fontId="0" fillId="16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vertical="center" wrapText="1"/>
    </xf>
    <xf numFmtId="0" fontId="4" fillId="17" borderId="0" xfId="0" applyNumberFormat="1" applyFont="1" applyFill="1" applyBorder="1" applyAlignment="1">
      <alignment vertical="center" wrapText="1"/>
    </xf>
    <xf numFmtId="0" fontId="4" fillId="18" borderId="0" xfId="0" applyNumberFormat="1" applyFont="1" applyFill="1" applyBorder="1" applyAlignment="1">
      <alignment vertical="center" wrapText="1"/>
    </xf>
    <xf numFmtId="0" fontId="4" fillId="19" borderId="0" xfId="0" applyNumberFormat="1" applyFont="1" applyFill="1" applyBorder="1" applyAlignment="1">
      <alignment vertical="center" wrapText="1"/>
    </xf>
    <xf numFmtId="0" fontId="4" fillId="2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/>
    </xf>
    <xf numFmtId="0" fontId="0" fillId="6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4" fillId="21" borderId="0" xfId="0" applyNumberFormat="1" applyFont="1" applyFill="1" applyBorder="1" applyAlignment="1">
      <alignment horizontal="center" vertical="center"/>
    </xf>
    <xf numFmtId="0" fontId="6" fillId="21" borderId="0" xfId="0" applyNumberFormat="1" applyFont="1" applyFill="1" applyBorder="1" applyAlignment="1">
      <alignment horizontal="center" vertical="center"/>
    </xf>
    <xf numFmtId="0" fontId="13" fillId="6" borderId="0" xfId="0" applyNumberFormat="1" applyFont="1" applyFill="1" applyBorder="1" applyAlignment="1">
      <alignment horizontal="center"/>
    </xf>
    <xf numFmtId="0" fontId="12" fillId="7" borderId="0" xfId="0" applyNumberFormat="1" applyFont="1" applyFill="1" applyBorder="1" applyAlignment="1">
      <alignment horizontal="center"/>
    </xf>
    <xf numFmtId="9" fontId="5" fillId="7" borderId="0" xfId="0" applyNumberFormat="1" applyFont="1" applyFill="1" applyBorder="1" applyAlignment="1">
      <alignment horizontal="center"/>
    </xf>
    <xf numFmtId="9" fontId="7" fillId="7" borderId="0" xfId="0" applyNumberFormat="1" applyFont="1" applyFill="1" applyBorder="1" applyAlignment="1">
      <alignment horizontal="center"/>
    </xf>
    <xf numFmtId="0" fontId="3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horizontal="center" vertical="center"/>
    </xf>
    <xf numFmtId="164" fontId="12" fillId="7" borderId="0" xfId="0" applyNumberFormat="1" applyFont="1" applyFill="1" applyBorder="1" applyAlignment="1">
      <alignment horizontal="center"/>
    </xf>
    <xf numFmtId="0" fontId="3" fillId="10" borderId="0" xfId="0" applyNumberFormat="1" applyFont="1" applyFill="1" applyBorder="1" applyAlignment="1">
      <alignment horizontal="center" vertical="center"/>
    </xf>
    <xf numFmtId="0" fontId="4" fillId="10" borderId="0" xfId="0" applyNumberFormat="1" applyFont="1" applyFill="1" applyBorder="1" applyAlignment="1">
      <alignment horizontal="center" vertical="center"/>
    </xf>
    <xf numFmtId="0" fontId="6" fillId="10" borderId="0" xfId="0" applyNumberFormat="1" applyFont="1" applyFill="1" applyBorder="1" applyAlignment="1">
      <alignment horizontal="center" vertical="center"/>
    </xf>
    <xf numFmtId="0" fontId="9" fillId="6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>
      <alignment horizontal="center" vertical="center"/>
    </xf>
    <xf numFmtId="0" fontId="4" fillId="9" borderId="0" xfId="0" applyNumberFormat="1" applyFont="1" applyFill="1" applyBorder="1" applyAlignment="1">
      <alignment horizontal="center" vertical="center"/>
    </xf>
    <xf numFmtId="0" fontId="6" fillId="9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/>
    </xf>
    <xf numFmtId="0" fontId="3" fillId="11" borderId="0" xfId="0" applyNumberFormat="1" applyFont="1" applyFill="1" applyBorder="1" applyAlignment="1">
      <alignment horizontal="center" vertical="center"/>
    </xf>
    <xf numFmtId="0" fontId="4" fillId="11" borderId="0" xfId="0" applyNumberFormat="1" applyFont="1" applyFill="1" applyBorder="1" applyAlignment="1">
      <alignment horizontal="center" vertical="center"/>
    </xf>
    <xf numFmtId="0" fontId="6" fillId="11" borderId="0" xfId="0" applyNumberFormat="1" applyFont="1" applyFill="1" applyBorder="1" applyAlignment="1">
      <alignment horizontal="center" vertical="center"/>
    </xf>
    <xf numFmtId="0" fontId="10" fillId="6" borderId="0" xfId="0" applyNumberFormat="1" applyFont="1" applyFill="1" applyBorder="1" applyAlignment="1">
      <alignment horizontal="center"/>
    </xf>
    <xf numFmtId="0" fontId="4" fillId="12" borderId="0" xfId="0" applyNumberFormat="1" applyFont="1" applyFill="1" applyBorder="1" applyAlignment="1">
      <alignment horizontal="center" vertical="center"/>
    </xf>
    <xf numFmtId="0" fontId="6" fillId="12" borderId="0" xfId="0" applyNumberFormat="1" applyFont="1" applyFill="1" applyBorder="1" applyAlignment="1">
      <alignment horizontal="center" vertical="center"/>
    </xf>
    <xf numFmtId="0" fontId="11" fillId="6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/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color rgb="FF9370DB"/>
      </font>
    </dxf>
    <dxf>
      <font>
        <b/>
        <color rgb="FFEF4444"/>
      </font>
    </dxf>
    <dxf>
      <font>
        <b/>
        <color rgb="FF3B82F6"/>
      </font>
    </dxf>
    <dxf>
      <font>
        <b/>
        <color rgb="FF10B981"/>
      </font>
    </dxf>
    <dxf>
      <fill>
        <patternFill>
          <bgColor rgb="FFFEF3C7"/>
        </patternFill>
      </fill>
    </dxf>
    <dxf>
      <fill>
        <patternFill>
          <bgColor rgb="FFEDE9FE"/>
        </patternFill>
      </fill>
    </dxf>
    <dxf>
      <fill>
        <patternFill>
          <bgColor rgb="FFFEE2E2"/>
        </patternFill>
      </fill>
    </dxf>
    <dxf>
      <fill>
        <patternFill>
          <bgColor rgb="FFDBEAFE"/>
        </patternFill>
      </fill>
    </dxf>
    <dxf>
      <fill>
        <patternFill>
          <bgColor rgb="FFD1FAE5"/>
        </patternFill>
      </fill>
    </dxf>
    <dxf>
      <font>
        <b/>
        <color rgb="FF9370DB"/>
      </font>
    </dxf>
    <dxf>
      <font>
        <b/>
        <color rgb="FFEF4444"/>
      </font>
    </dxf>
    <dxf>
      <font>
        <b/>
        <color rgb="FF3B82F6"/>
      </font>
    </dxf>
    <dxf>
      <font>
        <b/>
        <color rgb="FF10B98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Répartition des statuts par compagnie</a:t>
            </a:r>
          </a:p>
        </c:rich>
      </c:tx>
      <c:layout/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SAUVÉS</c:v>
          </c:tx>
          <c:spPr>
            <a:solidFill>
              <a:srgbClr val="10B981"/>
            </a:solidFill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"/>
                <c:pt idx="0">
                  <c:v>EI</c:v>
                </c:pt>
              </c:strCache>
            </c:strRef>
          </c:cat>
          <c:val>
            <c:numRef>
              <c:f>RÉCAPITULATIF!$AB$13:$AB$26</c:f>
              <c:numCache>
                <c:formatCode>General</c:formatCode>
                <c:ptCount val="2"/>
                <c:pt idx="0">
                  <c:v>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v>CHARGÉS</c:v>
          </c:tx>
          <c:spPr>
            <a:solidFill>
              <a:srgbClr val="3B82F6"/>
            </a:solidFill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"/>
                <c:pt idx="0">
                  <c:v>EI</c:v>
                </c:pt>
              </c:strCache>
            </c:strRef>
          </c:cat>
          <c:val>
            <c:numRef>
              <c:f>RÉCAPITULATIF!$AC$13:$AC$26</c:f>
              <c:numCache>
                <c:formatCode>General</c:formatCode>
                <c:ptCount val="2"/>
                <c:pt idx="0">
                  <c:v>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v>NON CHARGÉS</c:v>
          </c:tx>
          <c:spPr>
            <a:solidFill>
              <a:srgbClr val="EF4444"/>
            </a:solidFill>
            <a:ln>
              <a:noFill/>
            </a:ln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"/>
                <c:pt idx="0">
                  <c:v>EI</c:v>
                </c:pt>
              </c:strCache>
            </c:strRef>
          </c:cat>
          <c:val>
            <c:numRef>
              <c:f>RÉCAPITULATIF!$AD$13:$AD$26</c:f>
              <c:numCache>
                <c:formatCode>General</c:formatCode>
                <c:ptCount val="2"/>
                <c:pt idx="0">
                  <c:v>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>
          <c:idx val="3"/>
          <c:order val="3"/>
          <c:tx>
            <c:v>ANNULÉS</c:v>
          </c:tx>
          <c:spPr>
            <a:solidFill>
              <a:srgbClr val="9370DB"/>
            </a:solidFill>
          </c:spPr>
          <c:invertIfNegative val="1"/>
          <c:cat>
            <c:strRef>
              <c:f>RÉCAPITULATIF!$AA$13:$AA$26</c:f>
              <c:strCache>
                <c:ptCount val="1"/>
                <c:pt idx="0">
                  <c:v>EI</c:v>
                </c:pt>
              </c:strCache>
            </c:strRef>
          </c:cat>
          <c:val>
            <c:numRef>
              <c:f>RÉCAPITULATIF!$AE$13:$AE$26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5555048"/>
        <c:axId val="235555440"/>
      </c:barChart>
      <c:catAx>
        <c:axId val="23555504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35555440"/>
        <c:crosses val="autoZero"/>
        <c:auto val="1"/>
        <c:lblAlgn val="ctr"/>
        <c:lblOffset val="100"/>
        <c:noMultiLvlLbl val="1"/>
      </c:catAx>
      <c:valAx>
        <c:axId val="23555544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23555504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Répartition des statuts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v>DOSSIERS</c:v>
          </c:tx>
          <c:dLbls>
            <c:dLbl>
              <c:idx val="0"/>
              <c:layout>
                <c:manualLayout>
                  <c:x val="8.0158234436810333E-2"/>
                  <c:y val="-8.814102564102564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8896523006454226E-2"/>
                  <c:y val="4.8076923076923003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0306058713304189"/>
                  <c:y val="1.20192307692307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0306058713304192"/>
                  <c:y val="-7.2115384615384609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>
                      <a:noFill/>
                    </a:ln>
                  </a:defRPr>
                </a:pPr>
                <a:endParaRPr lang="fr-FR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BASE!$AZ$2:$AZ$5</c:f>
              <c:strCache>
                <c:ptCount val="4"/>
                <c:pt idx="0">
                  <c:v>SAUVÉS</c:v>
                </c:pt>
                <c:pt idx="1">
                  <c:v>CHARGÉS</c:v>
                </c:pt>
                <c:pt idx="2">
                  <c:v>NON CHARGÉS</c:v>
                </c:pt>
                <c:pt idx="3">
                  <c:v>ANNULÉS</c:v>
                </c:pt>
              </c:strCache>
            </c:strRef>
          </c:cat>
          <c:val>
            <c:numRef>
              <c:f>BASE!$BA$2:$BA$5</c:f>
              <c:numCache>
                <c:formatCode>General</c:formatCode>
                <c:ptCount val="4"/>
                <c:pt idx="0">
                  <c:v>44</c:v>
                </c:pt>
                <c:pt idx="1">
                  <c:v>82</c:v>
                </c:pt>
                <c:pt idx="2">
                  <c:v>176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ÉVOLUTION JOURNALIÈRE — SEPTEMBRE 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'SYNTHÈSE PAR DATE'!$B$5</c:f>
              <c:strCache>
                <c:ptCount val="1"/>
                <c:pt idx="0">
                  <c:v>DOSSIERS</c:v>
                </c:pt>
              </c:strCache>
            </c:strRef>
          </c:tx>
          <c:spPr>
            <a:solidFill>
              <a:srgbClr val="102B49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'SYNTHÈSE PAR DATE'!$A$6:$A$35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'SYNTHÈSE PAR DATE'!$B$6:$B$35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23</c:v>
                </c:pt>
                <c:pt idx="3">
                  <c:v>10</c:v>
                </c:pt>
                <c:pt idx="4">
                  <c:v>23</c:v>
                </c:pt>
                <c:pt idx="5">
                  <c:v>12</c:v>
                </c:pt>
                <c:pt idx="6">
                  <c:v>7</c:v>
                </c:pt>
                <c:pt idx="7">
                  <c:v>7</c:v>
                </c:pt>
                <c:pt idx="8">
                  <c:v>20</c:v>
                </c:pt>
                <c:pt idx="9">
                  <c:v>13</c:v>
                </c:pt>
                <c:pt idx="10">
                  <c:v>4</c:v>
                </c:pt>
                <c:pt idx="11">
                  <c:v>7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3</c:v>
                </c:pt>
                <c:pt idx="16">
                  <c:v>11</c:v>
                </c:pt>
                <c:pt idx="17">
                  <c:v>8</c:v>
                </c:pt>
                <c:pt idx="18">
                  <c:v>12</c:v>
                </c:pt>
                <c:pt idx="19">
                  <c:v>18</c:v>
                </c:pt>
                <c:pt idx="20">
                  <c:v>7</c:v>
                </c:pt>
                <c:pt idx="21">
                  <c:v>13</c:v>
                </c:pt>
                <c:pt idx="22">
                  <c:v>6</c:v>
                </c:pt>
                <c:pt idx="23">
                  <c:v>8</c:v>
                </c:pt>
                <c:pt idx="24">
                  <c:v>9</c:v>
                </c:pt>
                <c:pt idx="25">
                  <c:v>2</c:v>
                </c:pt>
                <c:pt idx="26">
                  <c:v>6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2026808"/>
        <c:axId val="302064624"/>
      </c:barChart>
      <c:lineChart>
        <c:grouping val="standard"/>
        <c:varyColors val="0"/>
        <c:ser>
          <c:idx val="1"/>
          <c:order val="1"/>
          <c:tx>
            <c:strRef>
              <c:f>'SYNTHÈSE PAR DATE'!$E$5</c:f>
              <c:strCache>
                <c:ptCount val="1"/>
                <c:pt idx="0">
                  <c:v>SAUVÉS</c:v>
                </c:pt>
              </c:strCache>
            </c:strRef>
          </c:tx>
          <c:spPr>
            <a:ln w="28575">
              <a:solidFill>
                <a:srgbClr val="10B981"/>
              </a:solidFill>
            </a:ln>
          </c:spPr>
          <c:marker>
            <c:symbol val="square"/>
            <c:size val="7"/>
            <c:spPr>
              <a:solidFill>
                <a:srgbClr val="10B981"/>
              </a:solidFill>
              <a:ln w="9525">
                <a:solidFill>
                  <a:srgbClr val="10B981"/>
                </a:solidFill>
              </a:ln>
            </c:spPr>
          </c:marker>
          <c:cat>
            <c:numRef>
              <c:f>'SYNTHÈSE PAR DATE'!$A$6:$A$35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'SYNTHÈSE PAR DATE'!$E$6:$E$35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'SYNTHÈSE PAR DATE'!$F$5</c:f>
              <c:strCache>
                <c:ptCount val="1"/>
                <c:pt idx="0">
                  <c:v>CHARGÉS</c:v>
                </c:pt>
              </c:strCache>
            </c:strRef>
          </c:tx>
          <c:spPr>
            <a:ln w="28575">
              <a:solidFill>
                <a:srgbClr val="3B82F6"/>
              </a:solidFill>
            </a:ln>
          </c:spPr>
          <c:marker>
            <c:symbol val="triangle"/>
            <c:size val="7"/>
            <c:spPr>
              <a:solidFill>
                <a:srgbClr val="3B82F6"/>
              </a:solidFill>
              <a:ln w="9525">
                <a:solidFill>
                  <a:srgbClr val="3B82F6"/>
                </a:solidFill>
              </a:ln>
            </c:spPr>
          </c:marker>
          <c:cat>
            <c:numRef>
              <c:f>'SYNTHÈSE PAR DATE'!$A$6:$A$35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'SYNTHÈSE PAR DATE'!$F$6:$F$35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14</c:v>
                </c:pt>
                <c:pt idx="20">
                  <c:v>0</c:v>
                </c:pt>
                <c:pt idx="21">
                  <c:v>4</c:v>
                </c:pt>
                <c:pt idx="22">
                  <c:v>1</c:v>
                </c:pt>
                <c:pt idx="23">
                  <c:v>3</c:v>
                </c:pt>
                <c:pt idx="24">
                  <c:v>5</c:v>
                </c:pt>
                <c:pt idx="25">
                  <c:v>0</c:v>
                </c:pt>
                <c:pt idx="26">
                  <c:v>2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'SYNTHÈSE PAR DATE'!$G$5</c:f>
              <c:strCache>
                <c:ptCount val="1"/>
                <c:pt idx="0">
                  <c:v>NON CHARGÉS</c:v>
                </c:pt>
              </c:strCache>
            </c:strRef>
          </c:tx>
          <c:spPr>
            <a:ln w="28575">
              <a:solidFill>
                <a:srgbClr val="EF4444"/>
              </a:solidFill>
            </a:ln>
          </c:spPr>
          <c:marker>
            <c:symbol val="x"/>
            <c:size val="7"/>
            <c:spPr>
              <a:solidFill>
                <a:srgbClr val="EF4444"/>
              </a:solidFill>
              <a:ln w="9525">
                <a:solidFill>
                  <a:srgbClr val="EF4444"/>
                </a:solidFill>
              </a:ln>
            </c:spPr>
          </c:marker>
          <c:cat>
            <c:numRef>
              <c:f>'SYNTHÈSE PAR DATE'!$A$6:$A$35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'SYNTHÈSE PAR DATE'!$G$6:$G$35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18</c:v>
                </c:pt>
                <c:pt idx="3">
                  <c:v>6</c:v>
                </c:pt>
                <c:pt idx="4">
                  <c:v>18</c:v>
                </c:pt>
                <c:pt idx="5">
                  <c:v>10</c:v>
                </c:pt>
                <c:pt idx="6">
                  <c:v>4</c:v>
                </c:pt>
                <c:pt idx="7">
                  <c:v>2</c:v>
                </c:pt>
                <c:pt idx="8">
                  <c:v>14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6</c:v>
                </c:pt>
                <c:pt idx="13">
                  <c:v>8</c:v>
                </c:pt>
                <c:pt idx="14">
                  <c:v>14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1</c:v>
                </c:pt>
                <c:pt idx="23">
                  <c:v>5</c:v>
                </c:pt>
                <c:pt idx="24">
                  <c:v>4</c:v>
                </c:pt>
                <c:pt idx="25">
                  <c:v>1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'SYNTHÈSE PAR DATE'!$H$5</c:f>
              <c:strCache>
                <c:ptCount val="1"/>
                <c:pt idx="0">
                  <c:v>ANNULÉS</c:v>
                </c:pt>
              </c:strCache>
            </c:strRef>
          </c:tx>
          <c:spPr>
            <a:ln w="28575">
              <a:solidFill>
                <a:srgbClr val="8B5CF6"/>
              </a:solidFill>
            </a:ln>
          </c:spPr>
          <c:marker>
            <c:symbol val="x"/>
            <c:size val="7"/>
            <c:spPr>
              <a:solidFill>
                <a:srgbClr val="8B5CF6"/>
              </a:solidFill>
              <a:ln w="9525">
                <a:solidFill>
                  <a:srgbClr val="8B5CF6"/>
                </a:solidFill>
              </a:ln>
            </c:spPr>
          </c:marker>
          <c:cat>
            <c:numRef>
              <c:f>'SYNTHÈSE PAR DATE'!$A$6:$A$35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'SYNTHÈSE PAR DATE'!$H$6:$H$35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26808"/>
        <c:axId val="302064624"/>
      </c:lineChart>
      <c:dateAx>
        <c:axId val="1320268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2700000" vert="horz" anchorCtr="1"/>
          <a:lstStyle/>
          <a:p>
            <a:pPr>
              <a:defRPr/>
            </a:pPr>
            <a:endParaRPr lang="fr-FR"/>
          </a:p>
        </c:txPr>
        <c:crossAx val="302064624"/>
        <c:crosses val="autoZero"/>
        <c:auto val="1"/>
        <c:lblOffset val="100"/>
        <c:baseTimeUnit val="days"/>
        <c:majorUnit val="1"/>
      </c:dateAx>
      <c:valAx>
        <c:axId val="302064624"/>
        <c:scaling>
          <c:orientation val="minMax"/>
        </c:scaling>
        <c:delete val="0"/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13202680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18</xdr:col>
      <xdr:colOff>0</xdr:colOff>
      <xdr:row>77</xdr:row>
      <xdr:rowOff>30480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15240</xdr:rowOff>
    </xdr:from>
    <xdr:to>
      <xdr:col>18</xdr:col>
      <xdr:colOff>7620</xdr:colOff>
      <xdr:row>47</xdr:row>
      <xdr:rowOff>30480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78</xdr:row>
      <xdr:rowOff>7620</xdr:rowOff>
    </xdr:from>
    <xdr:to>
      <xdr:col>17</xdr:col>
      <xdr:colOff>525780</xdr:colOff>
      <xdr:row>107</xdr:row>
      <xdr:rowOff>30480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ALYZIA_Dossiers" displayName="ALYZIA_Dossiers" ref="A5:N1740" totalsRowShown="0">
  <autoFilter ref="A5:N1740"/>
  <tableColumns count="14">
    <tableColumn id="1" name="DATE"/>
    <tableColumn id="2" name="CIE"/>
    <tableColumn id="3" name="N° VOL"/>
    <tableColumn id="4" name="HEURE DÉPART"/>
    <tableColumn id="5" name="N° TAG"/>
    <tableColumn id="6" name="NOMBRE BAGAGES"/>
    <tableColumn id="7" name="VOL APPORT"/>
    <tableColumn id="8" name="HEURE ARRIVÉE"/>
    <tableColumn id="9" name="LOCALISATION"/>
    <tableColumn id="10" name="REMARQUES"/>
    <tableColumn id="11" name="ANOMALIE"/>
    <tableColumn id="12" name="COMMENTAIRE/ACTION"/>
    <tableColumn id="13" name="STATUT"/>
    <tableColumn id="14" name="FAULT S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LYZIA_BaseDossiers" displayName="ALYZIA_BaseDossiers" ref="A5:N1740" totalsRowShown="0">
  <tableColumns count="14">
    <tableColumn id="1" name="DATE"/>
    <tableColumn id="2" name="CIE"/>
    <tableColumn id="3" name="N° VOL"/>
    <tableColumn id="4" name="HEURE DÉPART"/>
    <tableColumn id="5" name="N° TAG"/>
    <tableColumn id="6" name="NOMBRE BAGAGES"/>
    <tableColumn id="7" name="VOL APPORT"/>
    <tableColumn id="8" name="HEURE ARRIVÉE"/>
    <tableColumn id="9" name="LOCALISATION"/>
    <tableColumn id="10" name="REMARQUES"/>
    <tableColumn id="11" name="ANOMALIE"/>
    <tableColumn id="12" name="COMMENTAIRE/ACTION"/>
    <tableColumn id="13" name="STATUT"/>
    <tableColumn id="14" name="FAULT S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0"/>
  <sheetViews>
    <sheetView showGridLines="0" tabSelected="1" workbookViewId="0">
      <pane ySplit="3" topLeftCell="A4" activePane="bottomLeft" state="frozen"/>
      <selection pane="bottomLeft" activeCell="T120" sqref="T120"/>
    </sheetView>
  </sheetViews>
  <sheetFormatPr baseColWidth="10" defaultColWidth="8.796875" defaultRowHeight="13.8"/>
  <cols>
    <col min="1" max="2" width="10" customWidth="1"/>
    <col min="3" max="3" width="13" customWidth="1"/>
    <col min="4" max="4" width="11" customWidth="1"/>
    <col min="5" max="6" width="10" customWidth="1"/>
    <col min="7" max="7" width="12" customWidth="1"/>
    <col min="8" max="8" width="9.59765625" customWidth="1"/>
    <col min="9" max="9" width="12" customWidth="1"/>
    <col min="10" max="18" width="7" customWidth="1"/>
    <col min="19" max="21" width="8" customWidth="1"/>
  </cols>
  <sheetData>
    <row r="1" spans="1:31" ht="27" customHeight="1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1" ht="27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31" ht="24" customHeight="1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5" spans="1:31" ht="27" customHeight="1">
      <c r="A5" s="43" t="s">
        <v>0</v>
      </c>
      <c r="B5" s="44"/>
      <c r="C5" s="44"/>
      <c r="D5" s="35" t="s">
        <v>1</v>
      </c>
      <c r="E5" s="36"/>
      <c r="F5" s="36"/>
      <c r="G5" s="46" t="s">
        <v>2</v>
      </c>
      <c r="H5" s="47"/>
      <c r="I5" s="47"/>
      <c r="J5" s="39" t="s">
        <v>3</v>
      </c>
      <c r="K5" s="40"/>
      <c r="L5" s="40"/>
      <c r="M5" s="50" t="s">
        <v>4</v>
      </c>
      <c r="N5" s="51"/>
      <c r="O5" s="51"/>
      <c r="P5" s="54" t="s">
        <v>5</v>
      </c>
      <c r="Q5" s="54"/>
      <c r="R5" s="54"/>
      <c r="S5" s="29" t="s">
        <v>51</v>
      </c>
      <c r="T5" s="29"/>
      <c r="U5" s="29"/>
    </row>
    <row r="6" spans="1:31" ht="42" customHeight="1">
      <c r="A6" s="45">
        <f>SUM(B14:B27)</f>
        <v>302</v>
      </c>
      <c r="B6" s="44"/>
      <c r="C6" s="44"/>
      <c r="D6" s="37">
        <f>SUM(D14:D27)</f>
        <v>17510</v>
      </c>
      <c r="E6" s="36"/>
      <c r="F6" s="36"/>
      <c r="G6" s="48">
        <f>SUM(E14:E27)</f>
        <v>44</v>
      </c>
      <c r="H6" s="47"/>
      <c r="I6" s="47"/>
      <c r="J6" s="41">
        <f>SUM(F14:F27)</f>
        <v>82</v>
      </c>
      <c r="K6" s="40"/>
      <c r="L6" s="40"/>
      <c r="M6" s="52">
        <f>SUM(G14:G27)</f>
        <v>176</v>
      </c>
      <c r="N6" s="51"/>
      <c r="O6" s="51"/>
      <c r="P6" s="55">
        <f>SUM(H14:H27)</f>
        <v>0</v>
      </c>
      <c r="Q6" s="55"/>
      <c r="R6" s="55"/>
      <c r="S6" s="30">
        <f>MAX(BASE!$Q$6:$Q$1740)</f>
        <v>0</v>
      </c>
      <c r="T6" s="30"/>
      <c r="U6" s="30"/>
    </row>
    <row r="8" spans="1:31" ht="25.05" customHeight="1">
      <c r="A8" s="25" t="s">
        <v>6</v>
      </c>
      <c r="B8" s="25"/>
      <c r="C8" s="25"/>
      <c r="D8" s="25" t="s">
        <v>7</v>
      </c>
      <c r="E8" s="25"/>
      <c r="F8" s="25"/>
      <c r="G8" s="49" t="s">
        <v>8</v>
      </c>
      <c r="H8" s="49"/>
      <c r="I8" s="49"/>
      <c r="J8" s="42" t="s">
        <v>9</v>
      </c>
      <c r="K8" s="42"/>
      <c r="L8" s="42"/>
      <c r="M8" s="53" t="s">
        <v>10</v>
      </c>
      <c r="N8" s="53"/>
      <c r="O8" s="53"/>
      <c r="P8" s="56" t="s">
        <v>11</v>
      </c>
      <c r="Q8" s="56"/>
      <c r="R8" s="56"/>
      <c r="S8" s="31" t="s">
        <v>52</v>
      </c>
      <c r="T8" s="31"/>
      <c r="U8" s="31"/>
    </row>
    <row r="9" spans="1:31" ht="25.05" customHeight="1">
      <c r="A9" s="33">
        <f>IFERROR((G6+J6+M6+P6)/A6,0)</f>
        <v>1</v>
      </c>
      <c r="B9" s="34"/>
      <c r="C9" s="34"/>
      <c r="D9" s="32">
        <f>SUM(G6,J6,M6,P6)</f>
        <v>302</v>
      </c>
      <c r="E9" s="32"/>
      <c r="F9" s="32"/>
      <c r="G9" s="38">
        <f>G6/$A$6</f>
        <v>0.14569536423841059</v>
      </c>
      <c r="H9" s="38"/>
      <c r="I9" s="38"/>
      <c r="J9" s="38">
        <f>J6/$A$6</f>
        <v>0.27152317880794702</v>
      </c>
      <c r="K9" s="38"/>
      <c r="L9" s="38"/>
      <c r="M9" s="38">
        <f>M6/$A$6</f>
        <v>0.58278145695364236</v>
      </c>
      <c r="N9" s="38"/>
      <c r="O9" s="38"/>
      <c r="P9" s="38">
        <f>P6/$A$6</f>
        <v>0</v>
      </c>
      <c r="Q9" s="38"/>
      <c r="R9" s="38"/>
      <c r="S9" s="32">
        <f>COUNTIF(BASE!$P$6:$P$1740,"&gt;1")</f>
        <v>0</v>
      </c>
      <c r="T9" s="32"/>
      <c r="U9" s="32"/>
    </row>
    <row r="11" spans="1:31" ht="12" customHeight="1"/>
    <row r="12" spans="1:31">
      <c r="A12" t="s">
        <v>12</v>
      </c>
      <c r="AA12" t="s">
        <v>13</v>
      </c>
      <c r="AB12" t="s">
        <v>2</v>
      </c>
      <c r="AC12" t="s">
        <v>3</v>
      </c>
      <c r="AD12" t="s">
        <v>4</v>
      </c>
      <c r="AE12" t="s">
        <v>5</v>
      </c>
    </row>
    <row r="13" spans="1:31" ht="30" customHeight="1">
      <c r="A13" s="12" t="s">
        <v>14</v>
      </c>
      <c r="B13" s="12" t="s">
        <v>0</v>
      </c>
      <c r="C13" s="12" t="s">
        <v>15</v>
      </c>
      <c r="D13" s="12" t="s">
        <v>16</v>
      </c>
      <c r="E13" s="13" t="s">
        <v>2</v>
      </c>
      <c r="F13" s="14" t="s">
        <v>3</v>
      </c>
      <c r="G13" s="15" t="s">
        <v>4</v>
      </c>
      <c r="H13" s="16" t="s">
        <v>5</v>
      </c>
      <c r="I13" s="12" t="s">
        <v>17</v>
      </c>
      <c r="AA13" t="s">
        <v>18</v>
      </c>
      <c r="AB13">
        <v>44</v>
      </c>
      <c r="AC13">
        <v>82</v>
      </c>
      <c r="AD13">
        <v>176</v>
      </c>
      <c r="AE13">
        <v>0</v>
      </c>
    </row>
    <row r="14" spans="1:31" ht="30" customHeight="1">
      <c r="A14" s="4" t="s">
        <v>18</v>
      </c>
      <c r="B14" s="4">
        <f>COUNTIF(BASE!$B$6:$B$1740,A14)</f>
        <v>302</v>
      </c>
      <c r="C14" s="4">
        <f>SUMIF(BASE!$B$6:$B$1740,A14,BASE!$F$6:$F$1740)</f>
        <v>302</v>
      </c>
      <c r="D14" s="4">
        <v>17510</v>
      </c>
      <c r="E14" s="5">
        <f>COUNTIFS(BASE!$B$6:$B$1740,A14,BASE!$M$6:$M$1740,"SAUVÉ")</f>
        <v>44</v>
      </c>
      <c r="F14" s="6">
        <f>COUNTIFS(BASE!$B$6:$B$1740,A14,BASE!$M$6:$M$1740,"CHARGÉ")</f>
        <v>82</v>
      </c>
      <c r="G14" s="7">
        <f>COUNTIFS(BASE!$B$6:$B$1740,A14,BASE!$M$6:$M$1740,"NON CHARGÉ")</f>
        <v>176</v>
      </c>
      <c r="H14" s="8">
        <f>COUNTIFS(BASE!$B$6:$B$1740,A14,BASE!$M$6:$M$1740,"ANNULÉ")</f>
        <v>0</v>
      </c>
      <c r="I14" s="9">
        <f t="shared" ref="I14:I28" si="0">IFERROR(E14/B14,0)</f>
        <v>0.14569536423841059</v>
      </c>
      <c r="J14" s="17"/>
      <c r="K14" s="17"/>
    </row>
    <row r="15" spans="1:31" hidden="1">
      <c r="A15" s="4"/>
      <c r="B15" s="4">
        <f>COUNTIF(BASE!$B$6:$B$1740,A15)</f>
        <v>0</v>
      </c>
      <c r="C15" s="4">
        <f>SUMIF(BASE!$B$6:$B$1740,A15,BASE!$F$6:$F$1740)</f>
        <v>0</v>
      </c>
      <c r="D15" s="4">
        <v>0</v>
      </c>
      <c r="E15" s="5">
        <f>COUNTIFS(BASE!$B$6:$B$1740,A15,BASE!$M$6:$M$1740,"SAUVÉ")</f>
        <v>0</v>
      </c>
      <c r="F15" s="6">
        <f>COUNTIFS(BASE!$B$6:$B$1740,A15,BASE!$M$6:$M$1740,"CHARGÉ")</f>
        <v>0</v>
      </c>
      <c r="G15" s="7">
        <f>COUNTIFS(BASE!$B$6:$B$1740,A15,BASE!$M$6:$M$1740,"NON CHARGÉ")</f>
        <v>0</v>
      </c>
      <c r="H15" s="8">
        <f>COUNTIFS(BASE!$B$6:$B$1740,A15,BASE!$M$6:$M$1740,"ANNULÉ")</f>
        <v>0</v>
      </c>
      <c r="I15" s="9">
        <f t="shared" si="0"/>
        <v>0</v>
      </c>
    </row>
    <row r="16" spans="1:31" hidden="1">
      <c r="A16" s="4"/>
      <c r="B16" s="4">
        <f>COUNTIF(BASE!$B$6:$B$1740,A16)</f>
        <v>0</v>
      </c>
      <c r="C16" s="4">
        <f>SUMIF(BASE!$B$6:$B$1740,A16,BASE!$F$6:$F$1740)</f>
        <v>0</v>
      </c>
      <c r="D16" s="4">
        <v>0</v>
      </c>
      <c r="E16" s="5">
        <f>COUNTIFS(BASE!$B$6:$B$1740,A16,BASE!$M$6:$M$1740,"SAUVÉ")</f>
        <v>0</v>
      </c>
      <c r="F16" s="6">
        <f>COUNTIFS(BASE!$B$6:$B$1740,A16,BASE!$M$6:$M$1740,"CHARGÉ")</f>
        <v>0</v>
      </c>
      <c r="G16" s="7">
        <f>COUNTIFS(BASE!$B$6:$B$1740,A16,BASE!$M$6:$M$1740,"NON CHARGÉ")</f>
        <v>0</v>
      </c>
      <c r="H16" s="8">
        <f>COUNTIFS(BASE!$B$6:$B$1740,A16,BASE!$M$6:$M$1740,"ANNULÉ")</f>
        <v>0</v>
      </c>
      <c r="I16" s="9">
        <f t="shared" si="0"/>
        <v>0</v>
      </c>
    </row>
    <row r="17" spans="1:9" hidden="1">
      <c r="A17" s="4"/>
      <c r="B17" s="4">
        <f>COUNTIF(BASE!$B$6:$B$1740,A17)</f>
        <v>0</v>
      </c>
      <c r="C17" s="4">
        <f>SUMIF(BASE!$B$6:$B$1740,A17,BASE!$F$6:$F$1740)</f>
        <v>0</v>
      </c>
      <c r="D17" s="4">
        <v>0</v>
      </c>
      <c r="E17" s="5">
        <f>COUNTIFS(BASE!$B$6:$B$1740,A17,BASE!$M$6:$M$1740,"SAUVÉ")</f>
        <v>0</v>
      </c>
      <c r="F17" s="6">
        <f>COUNTIFS(BASE!$B$6:$B$1740,A17,BASE!$M$6:$M$1740,"CHARGÉ")</f>
        <v>0</v>
      </c>
      <c r="G17" s="7">
        <f>COUNTIFS(BASE!$B$6:$B$1740,A17,BASE!$M$6:$M$1740,"NON CHARGÉ")</f>
        <v>0</v>
      </c>
      <c r="H17" s="8">
        <f>COUNTIFS(BASE!$B$6:$B$1740,A17,BASE!$M$6:$M$1740,"ANNULÉ")</f>
        <v>0</v>
      </c>
      <c r="I17" s="9">
        <f t="shared" si="0"/>
        <v>0</v>
      </c>
    </row>
    <row r="18" spans="1:9" hidden="1">
      <c r="A18" s="4"/>
      <c r="B18" s="4">
        <f>COUNTIF(BASE!$B$6:$B$1740,A18)</f>
        <v>0</v>
      </c>
      <c r="C18" s="4">
        <f>SUMIF(BASE!$B$6:$B$1740,A18,BASE!$F$6:$F$1740)</f>
        <v>0</v>
      </c>
      <c r="D18" s="4">
        <v>0</v>
      </c>
      <c r="E18" s="5">
        <f>COUNTIFS(BASE!$B$6:$B$1740,A18,BASE!$M$6:$M$1740,"SAUVÉ")</f>
        <v>0</v>
      </c>
      <c r="F18" s="6">
        <f>COUNTIFS(BASE!$B$6:$B$1740,A18,BASE!$M$6:$M$1740,"CHARGÉ")</f>
        <v>0</v>
      </c>
      <c r="G18" s="7">
        <f>COUNTIFS(BASE!$B$6:$B$1740,A18,BASE!$M$6:$M$1740,"NON CHARGÉ")</f>
        <v>0</v>
      </c>
      <c r="H18" s="8">
        <f>COUNTIFS(BASE!$B$6:$B$1740,A18,BASE!$M$6:$M$1740,"ANNULÉ")</f>
        <v>0</v>
      </c>
      <c r="I18" s="9">
        <f t="shared" si="0"/>
        <v>0</v>
      </c>
    </row>
    <row r="19" spans="1:9" hidden="1">
      <c r="A19" s="4"/>
      <c r="B19" s="4">
        <f>COUNTIF(BASE!$B$6:$B$1740,A19)</f>
        <v>0</v>
      </c>
      <c r="C19" s="4">
        <f>SUMIF(BASE!$B$6:$B$1740,A19,BASE!$F$6:$F$1740)</f>
        <v>0</v>
      </c>
      <c r="D19" s="4">
        <v>0</v>
      </c>
      <c r="E19" s="5">
        <f>COUNTIFS(BASE!$B$6:$B$1740,A19,BASE!$M$6:$M$1740,"SAUVÉ")</f>
        <v>0</v>
      </c>
      <c r="F19" s="6">
        <f>COUNTIFS(BASE!$B$6:$B$1740,A19,BASE!$M$6:$M$1740,"CHARGÉ")</f>
        <v>0</v>
      </c>
      <c r="G19" s="7">
        <f>COUNTIFS(BASE!$B$6:$B$1740,A19,BASE!$M$6:$M$1740,"NON CHARGÉ")</f>
        <v>0</v>
      </c>
      <c r="H19" s="8">
        <f>COUNTIFS(BASE!$B$6:$B$1740,A19,BASE!$M$6:$M$1740,"ANNULÉ")</f>
        <v>0</v>
      </c>
      <c r="I19" s="9">
        <f t="shared" si="0"/>
        <v>0</v>
      </c>
    </row>
    <row r="20" spans="1:9" hidden="1">
      <c r="A20" s="4"/>
      <c r="B20" s="4">
        <f>COUNTIF(BASE!$B$6:$B$1740,A20)</f>
        <v>0</v>
      </c>
      <c r="C20" s="4">
        <f>SUMIF(BASE!$B$6:$B$1740,A20,BASE!$F$6:$F$1740)</f>
        <v>0</v>
      </c>
      <c r="D20" s="4">
        <v>0</v>
      </c>
      <c r="E20" s="5">
        <f>COUNTIFS(BASE!$B$6:$B$1740,A20,BASE!$M$6:$M$1740,"SAUVÉ")</f>
        <v>0</v>
      </c>
      <c r="F20" s="6">
        <f>COUNTIFS(BASE!$B$6:$B$1740,A20,BASE!$M$6:$M$1740,"CHARGÉ")</f>
        <v>0</v>
      </c>
      <c r="G20" s="7">
        <f>COUNTIFS(BASE!$B$6:$B$1740,A20,BASE!$M$6:$M$1740,"NON CHARGÉ")</f>
        <v>0</v>
      </c>
      <c r="H20" s="8">
        <f>COUNTIFS(BASE!$B$6:$B$1740,A20,BASE!$M$6:$M$1740,"ANNULÉ")</f>
        <v>0</v>
      </c>
      <c r="I20" s="9">
        <f t="shared" si="0"/>
        <v>0</v>
      </c>
    </row>
    <row r="21" spans="1:9" hidden="1">
      <c r="A21" s="4"/>
      <c r="B21" s="4">
        <f>COUNTIF(BASE!$B$6:$B$1740,A21)</f>
        <v>0</v>
      </c>
      <c r="C21" s="4">
        <f>SUMIF(BASE!$B$6:$B$1740,A21,BASE!$F$6:$F$1740)</f>
        <v>0</v>
      </c>
      <c r="D21" s="4">
        <v>0</v>
      </c>
      <c r="E21" s="5">
        <f>COUNTIFS(BASE!$B$6:$B$1740,A21,BASE!$M$6:$M$1740,"SAUVÉ")</f>
        <v>0</v>
      </c>
      <c r="F21" s="6">
        <f>COUNTIFS(BASE!$B$6:$B$1740,A21,BASE!$M$6:$M$1740,"CHARGÉ")</f>
        <v>0</v>
      </c>
      <c r="G21" s="7">
        <f>COUNTIFS(BASE!$B$6:$B$1740,A21,BASE!$M$6:$M$1740,"NON CHARGÉ")</f>
        <v>0</v>
      </c>
      <c r="H21" s="8">
        <f>COUNTIFS(BASE!$B$6:$B$1740,A21,BASE!$M$6:$M$1740,"ANNULÉ")</f>
        <v>0</v>
      </c>
      <c r="I21" s="9">
        <f t="shared" si="0"/>
        <v>0</v>
      </c>
    </row>
    <row r="22" spans="1:9" hidden="1">
      <c r="A22" s="4"/>
      <c r="B22" s="4">
        <f>COUNTIF(BASE!$B$6:$B$1740,A22)</f>
        <v>0</v>
      </c>
      <c r="C22" s="4">
        <f>SUMIF(BASE!$B$6:$B$1740,A22,BASE!$F$6:$F$1740)</f>
        <v>0</v>
      </c>
      <c r="D22" s="4">
        <v>0</v>
      </c>
      <c r="E22" s="5">
        <f>COUNTIFS(BASE!$B$6:$B$1740,A22,BASE!$M$6:$M$1740,"SAUVÉ")</f>
        <v>0</v>
      </c>
      <c r="F22" s="6">
        <f>COUNTIFS(BASE!$B$6:$B$1740,A22,BASE!$M$6:$M$1740,"CHARGÉ")</f>
        <v>0</v>
      </c>
      <c r="G22" s="7">
        <f>COUNTIFS(BASE!$B$6:$B$1740,A22,BASE!$M$6:$M$1740,"NON CHARGÉ")</f>
        <v>0</v>
      </c>
      <c r="H22" s="8">
        <f>COUNTIFS(BASE!$B$6:$B$1740,A22,BASE!$M$6:$M$1740,"ANNULÉ")</f>
        <v>0</v>
      </c>
      <c r="I22" s="9">
        <f t="shared" si="0"/>
        <v>0</v>
      </c>
    </row>
    <row r="23" spans="1:9" hidden="1">
      <c r="A23" s="4"/>
      <c r="B23" s="4">
        <f>COUNTIF(BASE!$B$6:$B$1740,A23)</f>
        <v>0</v>
      </c>
      <c r="C23" s="4">
        <f>SUMIF(BASE!$B$6:$B$1740,A23,BASE!$F$6:$F$1740)</f>
        <v>0</v>
      </c>
      <c r="D23" s="4">
        <v>0</v>
      </c>
      <c r="E23" s="5">
        <f>COUNTIFS(BASE!$B$6:$B$1740,A23,BASE!$M$6:$M$1740,"SAUVÉ")</f>
        <v>0</v>
      </c>
      <c r="F23" s="6">
        <f>COUNTIFS(BASE!$B$6:$B$1740,A23,BASE!$M$6:$M$1740,"CHARGÉ")</f>
        <v>0</v>
      </c>
      <c r="G23" s="7">
        <f>COUNTIFS(BASE!$B$6:$B$1740,A23,BASE!$M$6:$M$1740,"NON CHARGÉ")</f>
        <v>0</v>
      </c>
      <c r="H23" s="8">
        <f>COUNTIFS(BASE!$B$6:$B$1740,A23,BASE!$M$6:$M$1740,"ANNULÉ")</f>
        <v>0</v>
      </c>
      <c r="I23" s="9">
        <f t="shared" si="0"/>
        <v>0</v>
      </c>
    </row>
    <row r="24" spans="1:9" hidden="1">
      <c r="A24" s="4"/>
      <c r="B24" s="4">
        <f>COUNTIF(BASE!$B$6:$B$1740,A24)</f>
        <v>0</v>
      </c>
      <c r="C24" s="4">
        <f>SUMIF(BASE!$B$6:$B$1740,A24,BASE!$F$6:$F$1740)</f>
        <v>0</v>
      </c>
      <c r="D24" s="4">
        <v>0</v>
      </c>
      <c r="E24" s="5">
        <f>COUNTIFS(BASE!$B$6:$B$1740,A24,BASE!$M$6:$M$1740,"SAUVÉ")</f>
        <v>0</v>
      </c>
      <c r="F24" s="6">
        <f>COUNTIFS(BASE!$B$6:$B$1740,A24,BASE!$M$6:$M$1740,"CHARGÉ")</f>
        <v>0</v>
      </c>
      <c r="G24" s="7">
        <f>COUNTIFS(BASE!$B$6:$B$1740,A24,BASE!$M$6:$M$1740,"NON CHARGÉ")</f>
        <v>0</v>
      </c>
      <c r="H24" s="8">
        <f>COUNTIFS(BASE!$B$6:$B$1740,A24,BASE!$M$6:$M$1740,"ANNULÉ")</f>
        <v>0</v>
      </c>
      <c r="I24" s="9">
        <f t="shared" si="0"/>
        <v>0</v>
      </c>
    </row>
    <row r="25" spans="1:9" hidden="1">
      <c r="A25" s="4"/>
      <c r="B25" s="4">
        <f>COUNTIF(BASE!$B$6:$B$1740,A25)</f>
        <v>0</v>
      </c>
      <c r="C25" s="4">
        <f>SUMIF(BASE!$B$6:$B$1740,A25,BASE!$F$6:$F$1740)</f>
        <v>0</v>
      </c>
      <c r="D25" s="4">
        <v>0</v>
      </c>
      <c r="E25" s="5">
        <f>COUNTIFS(BASE!$B$6:$B$1740,A25,BASE!$M$6:$M$1740,"SAUVÉ")</f>
        <v>0</v>
      </c>
      <c r="F25" s="6">
        <f>COUNTIFS(BASE!$B$6:$B$1740,A25,BASE!$M$6:$M$1740,"CHARGÉ")</f>
        <v>0</v>
      </c>
      <c r="G25" s="7">
        <f>COUNTIFS(BASE!$B$6:$B$1740,A25,BASE!$M$6:$M$1740,"NON CHARGÉ")</f>
        <v>0</v>
      </c>
      <c r="H25" s="8">
        <f>COUNTIFS(BASE!$B$6:$B$1740,A25,BASE!$M$6:$M$1740,"ANNULÉ")</f>
        <v>0</v>
      </c>
      <c r="I25" s="9">
        <f t="shared" si="0"/>
        <v>0</v>
      </c>
    </row>
    <row r="26" spans="1:9" hidden="1">
      <c r="A26" s="4"/>
      <c r="B26" s="4">
        <f>COUNTIF(BASE!$B$6:$B$1740,A26)</f>
        <v>0</v>
      </c>
      <c r="C26" s="4">
        <f>SUMIF(BASE!$B$6:$B$1740,A26,BASE!$F$6:$F$1740)</f>
        <v>0</v>
      </c>
      <c r="D26" s="4">
        <v>0</v>
      </c>
      <c r="E26" s="5">
        <f>COUNTIFS(BASE!$B$6:$B$1740,A26,BASE!$M$6:$M$1740,"SAUVÉ")</f>
        <v>0</v>
      </c>
      <c r="F26" s="6">
        <f>COUNTIFS(BASE!$B$6:$B$1740,A26,BASE!$M$6:$M$1740,"CHARGÉ")</f>
        <v>0</v>
      </c>
      <c r="G26" s="7">
        <f>COUNTIFS(BASE!$B$6:$B$1740,A26,BASE!$M$6:$M$1740,"NON CHARGÉ")</f>
        <v>0</v>
      </c>
      <c r="H26" s="8">
        <f>COUNTIFS(BASE!$B$6:$B$1740,A26,BASE!$M$6:$M$1740,"ANNULÉ")</f>
        <v>0</v>
      </c>
      <c r="I26" s="9">
        <f t="shared" si="0"/>
        <v>0</v>
      </c>
    </row>
    <row r="27" spans="1:9" hidden="1">
      <c r="A27" s="4"/>
      <c r="B27" s="4">
        <f>COUNTIF(BASE!$B$6:$B$1740,A27)</f>
        <v>0</v>
      </c>
      <c r="C27" s="4">
        <f>SUMIF(BASE!$B$6:$B$1740,A27,BASE!$F$6:$F$1740)</f>
        <v>0</v>
      </c>
      <c r="D27" s="4">
        <v>0</v>
      </c>
      <c r="E27" s="5">
        <f>COUNTIFS(BASE!$B$6:$B$1740,A27,BASE!$M$6:$M$1740,"SAUVÉ")</f>
        <v>0</v>
      </c>
      <c r="F27" s="6">
        <f>COUNTIFS(BASE!$B$6:$B$1740,A27,BASE!$M$6:$M$1740,"CHARGÉ")</f>
        <v>0</v>
      </c>
      <c r="G27" s="7">
        <f>COUNTIFS(BASE!$B$6:$B$1740,A27,BASE!$M$6:$M$1740,"NON CHARGÉ")</f>
        <v>0</v>
      </c>
      <c r="H27" s="8">
        <f>COUNTIFS(BASE!$B$6:$B$1740,A27,BASE!$M$6:$M$1740,"ANNULÉ")</f>
        <v>0</v>
      </c>
      <c r="I27" s="9">
        <f t="shared" si="0"/>
        <v>0</v>
      </c>
    </row>
    <row r="28" spans="1:9">
      <c r="A28" s="10" t="s">
        <v>19</v>
      </c>
      <c r="B28" s="10">
        <f t="shared" ref="B28:H28" si="1">SUM(B14:B27)</f>
        <v>302</v>
      </c>
      <c r="C28" s="10">
        <f t="shared" si="1"/>
        <v>302</v>
      </c>
      <c r="D28" s="10">
        <f t="shared" si="1"/>
        <v>17510</v>
      </c>
      <c r="E28" s="10">
        <f t="shared" si="1"/>
        <v>44</v>
      </c>
      <c r="F28" s="10">
        <f t="shared" si="1"/>
        <v>82</v>
      </c>
      <c r="G28" s="10">
        <f t="shared" si="1"/>
        <v>176</v>
      </c>
      <c r="H28" s="10">
        <f t="shared" si="1"/>
        <v>0</v>
      </c>
      <c r="I28" s="11">
        <f t="shared" si="0"/>
        <v>0.14569536423841059</v>
      </c>
    </row>
    <row r="71" spans="1:2">
      <c r="A71" t="s">
        <v>20</v>
      </c>
      <c r="B71" t="s">
        <v>0</v>
      </c>
    </row>
    <row r="72" spans="1:2">
      <c r="A72" t="s">
        <v>21</v>
      </c>
      <c r="B72">
        <f>J6</f>
        <v>82</v>
      </c>
    </row>
    <row r="73" spans="1:2">
      <c r="A73" t="s">
        <v>22</v>
      </c>
      <c r="B73">
        <f>G6</f>
        <v>44</v>
      </c>
    </row>
    <row r="74" spans="1:2">
      <c r="A74" t="s">
        <v>23</v>
      </c>
      <c r="B74">
        <f>M6</f>
        <v>176</v>
      </c>
    </row>
    <row r="75" spans="1:2">
      <c r="A75" t="s">
        <v>24</v>
      </c>
      <c r="B75">
        <f>P6</f>
        <v>0</v>
      </c>
    </row>
    <row r="110" spans="1:18" ht="24" customHeight="1">
      <c r="A110" s="24" t="s">
        <v>53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>
      <c r="A111" s="25" t="str">
        <f>"VRAI DOUBLON : "&amp;COUNTIF(BASE!$R$6:$R$1740,"VRAI DOUBLON")&amp;"   •   STATUT DIFFÉRENT : "&amp;COUNTIF(BASE!$R$6:$R$1740,"STATUT DIFFÉRENT")&amp;"   •   LÉGITIME : "&amp;COUNTIF(BASE!$R$6:$R$1740,"LÉGITIME")</f>
        <v>VRAI DOUBLON : 0   •   STATUT DIFFÉRENT : 0   •   LÉGITIME : 0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ht="24" customHeight="1">
      <c r="A112" s="18" t="s">
        <v>14</v>
      </c>
      <c r="B112" s="26" t="s">
        <v>26</v>
      </c>
      <c r="C112" s="26"/>
      <c r="D112" s="26" t="s">
        <v>27</v>
      </c>
      <c r="E112" s="26"/>
      <c r="F112" s="26" t="s">
        <v>29</v>
      </c>
      <c r="G112" s="26"/>
      <c r="H112" s="18" t="s">
        <v>54</v>
      </c>
      <c r="I112" s="26" t="s">
        <v>55</v>
      </c>
      <c r="J112" s="26"/>
      <c r="K112" s="26"/>
      <c r="L112" s="26"/>
    </row>
    <row r="113" spans="1:12">
      <c r="A113" s="19" t="str">
        <f>IFERROR(INDEX(BASE!$B$6:$B$1740,MATCH(ROWS($A$113:$A113),BASE!$Q$6:$Q$1740,0)),"")</f>
        <v/>
      </c>
      <c r="B113" s="23" t="str">
        <f>IFERROR(INDEX(BASE!$A$6:$A$1740,MATCH(ROWS($A$113:$A113),BASE!$Q$6:$Q$1740,0)),"")</f>
        <v/>
      </c>
      <c r="C113" s="23"/>
      <c r="D113" s="23" t="str">
        <f>IFERROR(INDEX(BASE!$C$6:$C$1740,MATCH(ROWS($A$113:$A113),BASE!$Q$6:$Q$1740,0)),"")</f>
        <v/>
      </c>
      <c r="E113" s="23"/>
      <c r="F113" s="23" t="str">
        <f>IFERROR(INDEX(BASE!$E$6:$E$1740,MATCH(ROWS($A$113:$A113),BASE!$Q$6:$Q$1740,0)),"")</f>
        <v/>
      </c>
      <c r="G113" s="23"/>
      <c r="H113" s="19" t="str">
        <f>IFERROR(INDEX(BASE!$P$6:$P$1740,MATCH(ROWS($A$113:$A113),BASE!$Q$6:$Q$1740,0)),"")</f>
        <v/>
      </c>
      <c r="I113" s="23" t="str">
        <f>IFERROR(INDEX(BASE!$R$6:$R$1740,MATCH(ROWS($A$113:$A113),BASE!$Q$6:$Q$1740,0)),"")</f>
        <v/>
      </c>
      <c r="J113" s="23"/>
      <c r="K113" s="23"/>
      <c r="L113" s="23"/>
    </row>
    <row r="114" spans="1:12">
      <c r="A114" s="19" t="str">
        <f>IFERROR(INDEX(BASE!$B$6:$B$1740,MATCH(ROWS($A$113:$A114),BASE!$Q$6:$Q$1740,0)),"")</f>
        <v/>
      </c>
      <c r="B114" s="23" t="str">
        <f>IFERROR(INDEX(BASE!$A$6:$A$1740,MATCH(ROWS($A$113:$A114),BASE!$Q$6:$Q$1740,0)),"")</f>
        <v/>
      </c>
      <c r="C114" s="23"/>
      <c r="D114" s="23" t="str">
        <f>IFERROR(INDEX(BASE!$C$6:$C$1740,MATCH(ROWS($A$113:$A114),BASE!$Q$6:$Q$1740,0)),"")</f>
        <v/>
      </c>
      <c r="E114" s="23"/>
      <c r="F114" s="23" t="str">
        <f>IFERROR(INDEX(BASE!$E$6:$E$1740,MATCH(ROWS($A$113:$A114),BASE!$Q$6:$Q$1740,0)),"")</f>
        <v/>
      </c>
      <c r="G114" s="23"/>
      <c r="H114" s="19" t="str">
        <f>IFERROR(INDEX(BASE!$P$6:$P$1740,MATCH(ROWS($A$113:$A114),BASE!$Q$6:$Q$1740,0)),"")</f>
        <v/>
      </c>
      <c r="I114" s="23" t="str">
        <f>IFERROR(INDEX(BASE!$R$6:$R$1740,MATCH(ROWS($A$113:$A114),BASE!$Q$6:$Q$1740,0)),"")</f>
        <v/>
      </c>
      <c r="J114" s="23"/>
      <c r="K114" s="23"/>
      <c r="L114" s="23"/>
    </row>
    <row r="115" spans="1:12">
      <c r="A115" s="19" t="str">
        <f>IFERROR(INDEX(BASE!$B$6:$B$1740,MATCH(ROWS($A$113:$A115),BASE!$Q$6:$Q$1740,0)),"")</f>
        <v/>
      </c>
      <c r="B115" s="23" t="str">
        <f>IFERROR(INDEX(BASE!$A$6:$A$1740,MATCH(ROWS($A$113:$A115),BASE!$Q$6:$Q$1740,0)),"")</f>
        <v/>
      </c>
      <c r="C115" s="23"/>
      <c r="D115" s="23" t="str">
        <f>IFERROR(INDEX(BASE!$C$6:$C$1740,MATCH(ROWS($A$113:$A115),BASE!$Q$6:$Q$1740,0)),"")</f>
        <v/>
      </c>
      <c r="E115" s="23"/>
      <c r="F115" s="23" t="str">
        <f>IFERROR(INDEX(BASE!$E$6:$E$1740,MATCH(ROWS($A$113:$A115),BASE!$Q$6:$Q$1740,0)),"")</f>
        <v/>
      </c>
      <c r="G115" s="23"/>
      <c r="H115" s="19" t="str">
        <f>IFERROR(INDEX(BASE!$P$6:$P$1740,MATCH(ROWS($A$113:$A115),BASE!$Q$6:$Q$1740,0)),"")</f>
        <v/>
      </c>
      <c r="I115" s="23" t="str">
        <f>IFERROR(INDEX(BASE!$R$6:$R$1740,MATCH(ROWS($A$113:$A115),BASE!$Q$6:$Q$1740,0)),"")</f>
        <v/>
      </c>
      <c r="J115" s="23"/>
      <c r="K115" s="23"/>
      <c r="L115" s="23"/>
    </row>
    <row r="116" spans="1:12">
      <c r="A116" s="19" t="str">
        <f>IFERROR(INDEX(BASE!$B$6:$B$1740,MATCH(ROWS($A$113:$A116),BASE!$Q$6:$Q$1740,0)),"")</f>
        <v/>
      </c>
      <c r="B116" s="23" t="str">
        <f>IFERROR(INDEX(BASE!$A$6:$A$1740,MATCH(ROWS($A$113:$A116),BASE!$Q$6:$Q$1740,0)),"")</f>
        <v/>
      </c>
      <c r="C116" s="23"/>
      <c r="D116" s="23" t="str">
        <f>IFERROR(INDEX(BASE!$C$6:$C$1740,MATCH(ROWS($A$113:$A116),BASE!$Q$6:$Q$1740,0)),"")</f>
        <v/>
      </c>
      <c r="E116" s="23"/>
      <c r="F116" s="23" t="str">
        <f>IFERROR(INDEX(BASE!$E$6:$E$1740,MATCH(ROWS($A$113:$A116),BASE!$Q$6:$Q$1740,0)),"")</f>
        <v/>
      </c>
      <c r="G116" s="23"/>
      <c r="H116" s="19" t="str">
        <f>IFERROR(INDEX(BASE!$P$6:$P$1740,MATCH(ROWS($A$113:$A116),BASE!$Q$6:$Q$1740,0)),"")</f>
        <v/>
      </c>
      <c r="I116" s="23" t="str">
        <f>IFERROR(INDEX(BASE!$R$6:$R$1740,MATCH(ROWS($A$113:$A116),BASE!$Q$6:$Q$1740,0)),"")</f>
        <v/>
      </c>
      <c r="J116" s="23"/>
      <c r="K116" s="23"/>
      <c r="L116" s="23"/>
    </row>
    <row r="117" spans="1:12">
      <c r="A117" s="19" t="str">
        <f>IFERROR(INDEX(BASE!$B$6:$B$1740,MATCH(ROWS($A$113:$A117),BASE!$Q$6:$Q$1740,0)),"")</f>
        <v/>
      </c>
      <c r="B117" s="23" t="str">
        <f>IFERROR(INDEX(BASE!$A$6:$A$1740,MATCH(ROWS($A$113:$A117),BASE!$Q$6:$Q$1740,0)),"")</f>
        <v/>
      </c>
      <c r="C117" s="23"/>
      <c r="D117" s="23" t="str">
        <f>IFERROR(INDEX(BASE!$C$6:$C$1740,MATCH(ROWS($A$113:$A117),BASE!$Q$6:$Q$1740,0)),"")</f>
        <v/>
      </c>
      <c r="E117" s="23"/>
      <c r="F117" s="23" t="str">
        <f>IFERROR(INDEX(BASE!$E$6:$E$1740,MATCH(ROWS($A$113:$A117),BASE!$Q$6:$Q$1740,0)),"")</f>
        <v/>
      </c>
      <c r="G117" s="23"/>
      <c r="H117" s="19" t="str">
        <f>IFERROR(INDEX(BASE!$P$6:$P$1740,MATCH(ROWS($A$113:$A117),BASE!$Q$6:$Q$1740,0)),"")</f>
        <v/>
      </c>
      <c r="I117" s="23" t="str">
        <f>IFERROR(INDEX(BASE!$R$6:$R$1740,MATCH(ROWS($A$113:$A117),BASE!$Q$6:$Q$1740,0)),"")</f>
        <v/>
      </c>
      <c r="J117" s="23"/>
      <c r="K117" s="23"/>
      <c r="L117" s="23"/>
    </row>
    <row r="118" spans="1:12">
      <c r="A118" s="19" t="str">
        <f>IFERROR(INDEX(BASE!$B$6:$B$1740,MATCH(ROWS($A$113:$A118),BASE!$Q$6:$Q$1740,0)),"")</f>
        <v/>
      </c>
      <c r="B118" s="23" t="str">
        <f>IFERROR(INDEX(BASE!$A$6:$A$1740,MATCH(ROWS($A$113:$A118),BASE!$Q$6:$Q$1740,0)),"")</f>
        <v/>
      </c>
      <c r="C118" s="23"/>
      <c r="D118" s="23" t="str">
        <f>IFERROR(INDEX(BASE!$C$6:$C$1740,MATCH(ROWS($A$113:$A118),BASE!$Q$6:$Q$1740,0)),"")</f>
        <v/>
      </c>
      <c r="E118" s="23"/>
      <c r="F118" s="23" t="str">
        <f>IFERROR(INDEX(BASE!$E$6:$E$1740,MATCH(ROWS($A$113:$A118),BASE!$Q$6:$Q$1740,0)),"")</f>
        <v/>
      </c>
      <c r="G118" s="23"/>
      <c r="H118" s="19" t="str">
        <f>IFERROR(INDEX(BASE!$P$6:$P$1740,MATCH(ROWS($A$113:$A118),BASE!$Q$6:$Q$1740,0)),"")</f>
        <v/>
      </c>
      <c r="I118" s="23" t="str">
        <f>IFERROR(INDEX(BASE!$R$6:$R$1740,MATCH(ROWS($A$113:$A118),BASE!$Q$6:$Q$1740,0)),"")</f>
        <v/>
      </c>
      <c r="J118" s="23"/>
      <c r="K118" s="23"/>
      <c r="L118" s="23"/>
    </row>
    <row r="119" spans="1:12">
      <c r="A119" s="19" t="str">
        <f>IFERROR(INDEX(BASE!$B$6:$B$1740,MATCH(ROWS($A$113:$A119),BASE!$Q$6:$Q$1740,0)),"")</f>
        <v/>
      </c>
      <c r="B119" s="23" t="str">
        <f>IFERROR(INDEX(BASE!$A$6:$A$1740,MATCH(ROWS($A$113:$A119),BASE!$Q$6:$Q$1740,0)),"")</f>
        <v/>
      </c>
      <c r="C119" s="23"/>
      <c r="D119" s="23" t="str">
        <f>IFERROR(INDEX(BASE!$C$6:$C$1740,MATCH(ROWS($A$113:$A119),BASE!$Q$6:$Q$1740,0)),"")</f>
        <v/>
      </c>
      <c r="E119" s="23"/>
      <c r="F119" s="23" t="str">
        <f>IFERROR(INDEX(BASE!$E$6:$E$1740,MATCH(ROWS($A$113:$A119),BASE!$Q$6:$Q$1740,0)),"")</f>
        <v/>
      </c>
      <c r="G119" s="23"/>
      <c r="H119" s="19" t="str">
        <f>IFERROR(INDEX(BASE!$P$6:$P$1740,MATCH(ROWS($A$113:$A119),BASE!$Q$6:$Q$1740,0)),"")</f>
        <v/>
      </c>
      <c r="I119" s="23" t="str">
        <f>IFERROR(INDEX(BASE!$R$6:$R$1740,MATCH(ROWS($A$113:$A119),BASE!$Q$6:$Q$1740,0)),"")</f>
        <v/>
      </c>
      <c r="J119" s="23"/>
      <c r="K119" s="23"/>
      <c r="L119" s="23"/>
    </row>
    <row r="120" spans="1:12">
      <c r="A120" s="19" t="str">
        <f>IFERROR(INDEX(BASE!$B$6:$B$1740,MATCH(ROWS($A$113:$A120),BASE!$Q$6:$Q$1740,0)),"")</f>
        <v/>
      </c>
      <c r="B120" s="23" t="str">
        <f>IFERROR(INDEX(BASE!$A$6:$A$1740,MATCH(ROWS($A$113:$A120),BASE!$Q$6:$Q$1740,0)),"")</f>
        <v/>
      </c>
      <c r="C120" s="23"/>
      <c r="D120" s="23" t="str">
        <f>IFERROR(INDEX(BASE!$C$6:$C$1740,MATCH(ROWS($A$113:$A120),BASE!$Q$6:$Q$1740,0)),"")</f>
        <v/>
      </c>
      <c r="E120" s="23"/>
      <c r="F120" s="23" t="str">
        <f>IFERROR(INDEX(BASE!$E$6:$E$1740,MATCH(ROWS($A$113:$A120),BASE!$Q$6:$Q$1740,0)),"")</f>
        <v/>
      </c>
      <c r="G120" s="23"/>
      <c r="H120" s="19" t="str">
        <f>IFERROR(INDEX(BASE!$P$6:$P$1740,MATCH(ROWS($A$113:$A120),BASE!$Q$6:$Q$1740,0)),"")</f>
        <v/>
      </c>
      <c r="I120" s="23" t="str">
        <f>IFERROR(INDEX(BASE!$R$6:$R$1740,MATCH(ROWS($A$113:$A120),BASE!$Q$6:$Q$1740,0)),"")</f>
        <v/>
      </c>
      <c r="J120" s="23"/>
      <c r="K120" s="23"/>
      <c r="L120" s="23"/>
    </row>
    <row r="121" spans="1:12">
      <c r="A121" s="19" t="str">
        <f>IFERROR(INDEX(BASE!$B$6:$B$1740,MATCH(ROWS($A$113:$A121),BASE!$Q$6:$Q$1740,0)),"")</f>
        <v/>
      </c>
      <c r="B121" s="23" t="str">
        <f>IFERROR(INDEX(BASE!$A$6:$A$1740,MATCH(ROWS($A$113:$A121),BASE!$Q$6:$Q$1740,0)),"")</f>
        <v/>
      </c>
      <c r="C121" s="23"/>
      <c r="D121" s="23" t="str">
        <f>IFERROR(INDEX(BASE!$C$6:$C$1740,MATCH(ROWS($A$113:$A121),BASE!$Q$6:$Q$1740,0)),"")</f>
        <v/>
      </c>
      <c r="E121" s="23"/>
      <c r="F121" s="23" t="str">
        <f>IFERROR(INDEX(BASE!$E$6:$E$1740,MATCH(ROWS($A$113:$A121),BASE!$Q$6:$Q$1740,0)),"")</f>
        <v/>
      </c>
      <c r="G121" s="23"/>
      <c r="H121" s="19" t="str">
        <f>IFERROR(INDEX(BASE!$P$6:$P$1740,MATCH(ROWS($A$113:$A121),BASE!$Q$6:$Q$1740,0)),"")</f>
        <v/>
      </c>
      <c r="I121" s="23" t="str">
        <f>IFERROR(INDEX(BASE!$R$6:$R$1740,MATCH(ROWS($A$113:$A121),BASE!$Q$6:$Q$1740,0)),"")</f>
        <v/>
      </c>
      <c r="J121" s="23"/>
      <c r="K121" s="23"/>
      <c r="L121" s="23"/>
    </row>
    <row r="122" spans="1:12">
      <c r="A122" s="19" t="str">
        <f>IFERROR(INDEX(BASE!$B$6:$B$1740,MATCH(ROWS($A$113:$A122),BASE!$Q$6:$Q$1740,0)),"")</f>
        <v/>
      </c>
      <c r="B122" s="23" t="str">
        <f>IFERROR(INDEX(BASE!$A$6:$A$1740,MATCH(ROWS($A$113:$A122),BASE!$Q$6:$Q$1740,0)),"")</f>
        <v/>
      </c>
      <c r="C122" s="23"/>
      <c r="D122" s="23" t="str">
        <f>IFERROR(INDEX(BASE!$C$6:$C$1740,MATCH(ROWS($A$113:$A122),BASE!$Q$6:$Q$1740,0)),"")</f>
        <v/>
      </c>
      <c r="E122" s="23"/>
      <c r="F122" s="23" t="str">
        <f>IFERROR(INDEX(BASE!$E$6:$E$1740,MATCH(ROWS($A$113:$A122),BASE!$Q$6:$Q$1740,0)),"")</f>
        <v/>
      </c>
      <c r="G122" s="23"/>
      <c r="H122" s="19" t="str">
        <f>IFERROR(INDEX(BASE!$P$6:$P$1740,MATCH(ROWS($A$113:$A122),BASE!$Q$6:$Q$1740,0)),"")</f>
        <v/>
      </c>
      <c r="I122" s="23" t="str">
        <f>IFERROR(INDEX(BASE!$R$6:$R$1740,MATCH(ROWS($A$113:$A122),BASE!$Q$6:$Q$1740,0)),"")</f>
        <v/>
      </c>
      <c r="J122" s="23"/>
      <c r="K122" s="23"/>
      <c r="L122" s="23"/>
    </row>
    <row r="123" spans="1:12">
      <c r="A123" s="19" t="str">
        <f>IFERROR(INDEX(BASE!$B$6:$B$1740,MATCH(ROWS($A$113:$A123),BASE!$Q$6:$Q$1740,0)),"")</f>
        <v/>
      </c>
      <c r="B123" s="23" t="str">
        <f>IFERROR(INDEX(BASE!$A$6:$A$1740,MATCH(ROWS($A$113:$A123),BASE!$Q$6:$Q$1740,0)),"")</f>
        <v/>
      </c>
      <c r="C123" s="23"/>
      <c r="D123" s="23" t="str">
        <f>IFERROR(INDEX(BASE!$C$6:$C$1740,MATCH(ROWS($A$113:$A123),BASE!$Q$6:$Q$1740,0)),"")</f>
        <v/>
      </c>
      <c r="E123" s="23"/>
      <c r="F123" s="23" t="str">
        <f>IFERROR(INDEX(BASE!$E$6:$E$1740,MATCH(ROWS($A$113:$A123),BASE!$Q$6:$Q$1740,0)),"")</f>
        <v/>
      </c>
      <c r="G123" s="23"/>
      <c r="H123" s="19" t="str">
        <f>IFERROR(INDEX(BASE!$P$6:$P$1740,MATCH(ROWS($A$113:$A123),BASE!$Q$6:$Q$1740,0)),"")</f>
        <v/>
      </c>
      <c r="I123" s="23" t="str">
        <f>IFERROR(INDEX(BASE!$R$6:$R$1740,MATCH(ROWS($A$113:$A123),BASE!$Q$6:$Q$1740,0)),"")</f>
        <v/>
      </c>
      <c r="J123" s="23"/>
      <c r="K123" s="23"/>
      <c r="L123" s="23"/>
    </row>
    <row r="124" spans="1:12">
      <c r="A124" s="19" t="str">
        <f>IFERROR(INDEX(BASE!$B$6:$B$1740,MATCH(ROWS($A$113:$A124),BASE!$Q$6:$Q$1740,0)),"")</f>
        <v/>
      </c>
      <c r="B124" s="23" t="str">
        <f>IFERROR(INDEX(BASE!$A$6:$A$1740,MATCH(ROWS($A$113:$A124),BASE!$Q$6:$Q$1740,0)),"")</f>
        <v/>
      </c>
      <c r="C124" s="23"/>
      <c r="D124" s="23" t="str">
        <f>IFERROR(INDEX(BASE!$C$6:$C$1740,MATCH(ROWS($A$113:$A124),BASE!$Q$6:$Q$1740,0)),"")</f>
        <v/>
      </c>
      <c r="E124" s="23"/>
      <c r="F124" s="23" t="str">
        <f>IFERROR(INDEX(BASE!$E$6:$E$1740,MATCH(ROWS($A$113:$A124),BASE!$Q$6:$Q$1740,0)),"")</f>
        <v/>
      </c>
      <c r="G124" s="23"/>
      <c r="H124" s="19" t="str">
        <f>IFERROR(INDEX(BASE!$P$6:$P$1740,MATCH(ROWS($A$113:$A124),BASE!$Q$6:$Q$1740,0)),"")</f>
        <v/>
      </c>
      <c r="I124" s="23" t="str">
        <f>IFERROR(INDEX(BASE!$R$6:$R$1740,MATCH(ROWS($A$113:$A124),BASE!$Q$6:$Q$1740,0)),"")</f>
        <v/>
      </c>
      <c r="J124" s="23"/>
      <c r="K124" s="23"/>
      <c r="L124" s="23"/>
    </row>
    <row r="125" spans="1:12">
      <c r="A125" s="19" t="str">
        <f>IFERROR(INDEX(BASE!$B$6:$B$1740,MATCH(ROWS($A$113:$A125),BASE!$Q$6:$Q$1740,0)),"")</f>
        <v/>
      </c>
      <c r="B125" s="23" t="str">
        <f>IFERROR(INDEX(BASE!$A$6:$A$1740,MATCH(ROWS($A$113:$A125),BASE!$Q$6:$Q$1740,0)),"")</f>
        <v/>
      </c>
      <c r="C125" s="23"/>
      <c r="D125" s="23" t="str">
        <f>IFERROR(INDEX(BASE!$C$6:$C$1740,MATCH(ROWS($A$113:$A125),BASE!$Q$6:$Q$1740,0)),"")</f>
        <v/>
      </c>
      <c r="E125" s="23"/>
      <c r="F125" s="23" t="str">
        <f>IFERROR(INDEX(BASE!$E$6:$E$1740,MATCH(ROWS($A$113:$A125),BASE!$Q$6:$Q$1740,0)),"")</f>
        <v/>
      </c>
      <c r="G125" s="23"/>
      <c r="H125" s="19" t="str">
        <f>IFERROR(INDEX(BASE!$P$6:$P$1740,MATCH(ROWS($A$113:$A125),BASE!$Q$6:$Q$1740,0)),"")</f>
        <v/>
      </c>
      <c r="I125" s="23" t="str">
        <f>IFERROR(INDEX(BASE!$R$6:$R$1740,MATCH(ROWS($A$113:$A125),BASE!$Q$6:$Q$1740,0)),"")</f>
        <v/>
      </c>
      <c r="J125" s="23"/>
      <c r="K125" s="23"/>
      <c r="L125" s="23"/>
    </row>
    <row r="126" spans="1:12">
      <c r="A126" s="19" t="str">
        <f>IFERROR(INDEX(BASE!$B$6:$B$1740,MATCH(ROWS($A$113:$A126),BASE!$Q$6:$Q$1740,0)),"")</f>
        <v/>
      </c>
      <c r="B126" s="23" t="str">
        <f>IFERROR(INDEX(BASE!$A$6:$A$1740,MATCH(ROWS($A$113:$A126),BASE!$Q$6:$Q$1740,0)),"")</f>
        <v/>
      </c>
      <c r="C126" s="23"/>
      <c r="D126" s="23" t="str">
        <f>IFERROR(INDEX(BASE!$C$6:$C$1740,MATCH(ROWS($A$113:$A126),BASE!$Q$6:$Q$1740,0)),"")</f>
        <v/>
      </c>
      <c r="E126" s="23"/>
      <c r="F126" s="23" t="str">
        <f>IFERROR(INDEX(BASE!$E$6:$E$1740,MATCH(ROWS($A$113:$A126),BASE!$Q$6:$Q$1740,0)),"")</f>
        <v/>
      </c>
      <c r="G126" s="23"/>
      <c r="H126" s="19" t="str">
        <f>IFERROR(INDEX(BASE!$P$6:$P$1740,MATCH(ROWS($A$113:$A126),BASE!$Q$6:$Q$1740,0)),"")</f>
        <v/>
      </c>
      <c r="I126" s="23" t="str">
        <f>IFERROR(INDEX(BASE!$R$6:$R$1740,MATCH(ROWS($A$113:$A126),BASE!$Q$6:$Q$1740,0)),"")</f>
        <v/>
      </c>
      <c r="J126" s="23"/>
      <c r="K126" s="23"/>
      <c r="L126" s="23"/>
    </row>
    <row r="127" spans="1:12">
      <c r="A127" s="19" t="str">
        <f>IFERROR(INDEX(BASE!$B$6:$B$1740,MATCH(ROWS($A$113:$A127),BASE!$Q$6:$Q$1740,0)),"")</f>
        <v/>
      </c>
      <c r="B127" s="23" t="str">
        <f>IFERROR(INDEX(BASE!$A$6:$A$1740,MATCH(ROWS($A$113:$A127),BASE!$Q$6:$Q$1740,0)),"")</f>
        <v/>
      </c>
      <c r="C127" s="23"/>
      <c r="D127" s="23" t="str">
        <f>IFERROR(INDEX(BASE!$C$6:$C$1740,MATCH(ROWS($A$113:$A127),BASE!$Q$6:$Q$1740,0)),"")</f>
        <v/>
      </c>
      <c r="E127" s="23"/>
      <c r="F127" s="23" t="str">
        <f>IFERROR(INDEX(BASE!$E$6:$E$1740,MATCH(ROWS($A$113:$A127),BASE!$Q$6:$Q$1740,0)),"")</f>
        <v/>
      </c>
      <c r="G127" s="23"/>
      <c r="H127" s="19" t="str">
        <f>IFERROR(INDEX(BASE!$P$6:$P$1740,MATCH(ROWS($A$113:$A127),BASE!$Q$6:$Q$1740,0)),"")</f>
        <v/>
      </c>
      <c r="I127" s="23" t="str">
        <f>IFERROR(INDEX(BASE!$R$6:$R$1740,MATCH(ROWS($A$113:$A127),BASE!$Q$6:$Q$1740,0)),"")</f>
        <v/>
      </c>
      <c r="J127" s="23"/>
      <c r="K127" s="23"/>
      <c r="L127" s="23"/>
    </row>
    <row r="128" spans="1:12">
      <c r="A128" s="19" t="str">
        <f>IFERROR(INDEX(BASE!$B$6:$B$1740,MATCH(ROWS($A$113:$A128),BASE!$Q$6:$Q$1740,0)),"")</f>
        <v/>
      </c>
      <c r="B128" s="23" t="str">
        <f>IFERROR(INDEX(BASE!$A$6:$A$1740,MATCH(ROWS($A$113:$A128),BASE!$Q$6:$Q$1740,0)),"")</f>
        <v/>
      </c>
      <c r="C128" s="23"/>
      <c r="D128" s="23" t="str">
        <f>IFERROR(INDEX(BASE!$C$6:$C$1740,MATCH(ROWS($A$113:$A128),BASE!$Q$6:$Q$1740,0)),"")</f>
        <v/>
      </c>
      <c r="E128" s="23"/>
      <c r="F128" s="23" t="str">
        <f>IFERROR(INDEX(BASE!$E$6:$E$1740,MATCH(ROWS($A$113:$A128),BASE!$Q$6:$Q$1740,0)),"")</f>
        <v/>
      </c>
      <c r="G128" s="23"/>
      <c r="H128" s="19" t="str">
        <f>IFERROR(INDEX(BASE!$P$6:$P$1740,MATCH(ROWS($A$113:$A128),BASE!$Q$6:$Q$1740,0)),"")</f>
        <v/>
      </c>
      <c r="I128" s="23" t="str">
        <f>IFERROR(INDEX(BASE!$R$6:$R$1740,MATCH(ROWS($A$113:$A128),BASE!$Q$6:$Q$1740,0)),"")</f>
        <v/>
      </c>
      <c r="J128" s="23"/>
      <c r="K128" s="23"/>
      <c r="L128" s="23"/>
    </row>
    <row r="129" spans="1:12">
      <c r="A129" s="19" t="str">
        <f>IFERROR(INDEX(BASE!$B$6:$B$1740,MATCH(ROWS($A$113:$A129),BASE!$Q$6:$Q$1740,0)),"")</f>
        <v/>
      </c>
      <c r="B129" s="23" t="str">
        <f>IFERROR(INDEX(BASE!$A$6:$A$1740,MATCH(ROWS($A$113:$A129),BASE!$Q$6:$Q$1740,0)),"")</f>
        <v/>
      </c>
      <c r="C129" s="23"/>
      <c r="D129" s="23" t="str">
        <f>IFERROR(INDEX(BASE!$C$6:$C$1740,MATCH(ROWS($A$113:$A129),BASE!$Q$6:$Q$1740,0)),"")</f>
        <v/>
      </c>
      <c r="E129" s="23"/>
      <c r="F129" s="23" t="str">
        <f>IFERROR(INDEX(BASE!$E$6:$E$1740,MATCH(ROWS($A$113:$A129),BASE!$Q$6:$Q$1740,0)),"")</f>
        <v/>
      </c>
      <c r="G129" s="23"/>
      <c r="H129" s="19" t="str">
        <f>IFERROR(INDEX(BASE!$P$6:$P$1740,MATCH(ROWS($A$113:$A129),BASE!$Q$6:$Q$1740,0)),"")</f>
        <v/>
      </c>
      <c r="I129" s="23" t="str">
        <f>IFERROR(INDEX(BASE!$R$6:$R$1740,MATCH(ROWS($A$113:$A129),BASE!$Q$6:$Q$1740,0)),"")</f>
        <v/>
      </c>
      <c r="J129" s="23"/>
      <c r="K129" s="23"/>
      <c r="L129" s="23"/>
    </row>
    <row r="130" spans="1:12">
      <c r="A130" s="19" t="str">
        <f>IFERROR(INDEX(BASE!$B$6:$B$1740,MATCH(ROWS($A$113:$A130),BASE!$Q$6:$Q$1740,0)),"")</f>
        <v/>
      </c>
      <c r="B130" s="23" t="str">
        <f>IFERROR(INDEX(BASE!$A$6:$A$1740,MATCH(ROWS($A$113:$A130),BASE!$Q$6:$Q$1740,0)),"")</f>
        <v/>
      </c>
      <c r="C130" s="23"/>
      <c r="D130" s="23" t="str">
        <f>IFERROR(INDEX(BASE!$C$6:$C$1740,MATCH(ROWS($A$113:$A130),BASE!$Q$6:$Q$1740,0)),"")</f>
        <v/>
      </c>
      <c r="E130" s="23"/>
      <c r="F130" s="23" t="str">
        <f>IFERROR(INDEX(BASE!$E$6:$E$1740,MATCH(ROWS($A$113:$A130),BASE!$Q$6:$Q$1740,0)),"")</f>
        <v/>
      </c>
      <c r="G130" s="23"/>
      <c r="H130" s="19" t="str">
        <f>IFERROR(INDEX(BASE!$P$6:$P$1740,MATCH(ROWS($A$113:$A130),BASE!$Q$6:$Q$1740,0)),"")</f>
        <v/>
      </c>
      <c r="I130" s="23" t="str">
        <f>IFERROR(INDEX(BASE!$R$6:$R$1740,MATCH(ROWS($A$113:$A130),BASE!$Q$6:$Q$1740,0)),"")</f>
        <v/>
      </c>
      <c r="J130" s="23"/>
      <c r="K130" s="23"/>
      <c r="L130" s="23"/>
    </row>
    <row r="131" spans="1:12">
      <c r="A131" s="19" t="str">
        <f>IFERROR(INDEX(BASE!$B$6:$B$1740,MATCH(ROWS($A$113:$A131),BASE!$Q$6:$Q$1740,0)),"")</f>
        <v/>
      </c>
      <c r="B131" s="23" t="str">
        <f>IFERROR(INDEX(BASE!$A$6:$A$1740,MATCH(ROWS($A$113:$A131),BASE!$Q$6:$Q$1740,0)),"")</f>
        <v/>
      </c>
      <c r="C131" s="23"/>
      <c r="D131" s="23" t="str">
        <f>IFERROR(INDEX(BASE!$C$6:$C$1740,MATCH(ROWS($A$113:$A131),BASE!$Q$6:$Q$1740,0)),"")</f>
        <v/>
      </c>
      <c r="E131" s="23"/>
      <c r="F131" s="23" t="str">
        <f>IFERROR(INDEX(BASE!$E$6:$E$1740,MATCH(ROWS($A$113:$A131),BASE!$Q$6:$Q$1740,0)),"")</f>
        <v/>
      </c>
      <c r="G131" s="23"/>
      <c r="H131" s="19" t="str">
        <f>IFERROR(INDEX(BASE!$P$6:$P$1740,MATCH(ROWS($A$113:$A131),BASE!$Q$6:$Q$1740,0)),"")</f>
        <v/>
      </c>
      <c r="I131" s="23" t="str">
        <f>IFERROR(INDEX(BASE!$R$6:$R$1740,MATCH(ROWS($A$113:$A131),BASE!$Q$6:$Q$1740,0)),"")</f>
        <v/>
      </c>
      <c r="J131" s="23"/>
      <c r="K131" s="23"/>
      <c r="L131" s="23"/>
    </row>
    <row r="132" spans="1:12">
      <c r="A132" s="19" t="str">
        <f>IFERROR(INDEX(BASE!$B$6:$B$1740,MATCH(ROWS($A$113:$A132),BASE!$Q$6:$Q$1740,0)),"")</f>
        <v/>
      </c>
      <c r="B132" s="23" t="str">
        <f>IFERROR(INDEX(BASE!$A$6:$A$1740,MATCH(ROWS($A$113:$A132),BASE!$Q$6:$Q$1740,0)),"")</f>
        <v/>
      </c>
      <c r="C132" s="23"/>
      <c r="D132" s="23" t="str">
        <f>IFERROR(INDEX(BASE!$C$6:$C$1740,MATCH(ROWS($A$113:$A132),BASE!$Q$6:$Q$1740,0)),"")</f>
        <v/>
      </c>
      <c r="E132" s="23"/>
      <c r="F132" s="23" t="str">
        <f>IFERROR(INDEX(BASE!$E$6:$E$1740,MATCH(ROWS($A$113:$A132),BASE!$Q$6:$Q$1740,0)),"")</f>
        <v/>
      </c>
      <c r="G132" s="23"/>
      <c r="H132" s="19" t="str">
        <f>IFERROR(INDEX(BASE!$P$6:$P$1740,MATCH(ROWS($A$113:$A132),BASE!$Q$6:$Q$1740,0)),"")</f>
        <v/>
      </c>
      <c r="I132" s="23" t="str">
        <f>IFERROR(INDEX(BASE!$R$6:$R$1740,MATCH(ROWS($A$113:$A132),BASE!$Q$6:$Q$1740,0)),"")</f>
        <v/>
      </c>
      <c r="J132" s="23"/>
      <c r="K132" s="23"/>
      <c r="L132" s="23"/>
    </row>
    <row r="133" spans="1:12">
      <c r="A133" s="19" t="str">
        <f>IFERROR(INDEX(BASE!$B$6:$B$1740,MATCH(ROWS($A$113:$A133),BASE!$Q$6:$Q$1740,0)),"")</f>
        <v/>
      </c>
      <c r="B133" s="23" t="str">
        <f>IFERROR(INDEX(BASE!$A$6:$A$1740,MATCH(ROWS($A$113:$A133),BASE!$Q$6:$Q$1740,0)),"")</f>
        <v/>
      </c>
      <c r="C133" s="23"/>
      <c r="D133" s="23" t="str">
        <f>IFERROR(INDEX(BASE!$C$6:$C$1740,MATCH(ROWS($A$113:$A133),BASE!$Q$6:$Q$1740,0)),"")</f>
        <v/>
      </c>
      <c r="E133" s="23"/>
      <c r="F133" s="23" t="str">
        <f>IFERROR(INDEX(BASE!$E$6:$E$1740,MATCH(ROWS($A$113:$A133),BASE!$Q$6:$Q$1740,0)),"")</f>
        <v/>
      </c>
      <c r="G133" s="23"/>
      <c r="H133" s="19" t="str">
        <f>IFERROR(INDEX(BASE!$P$6:$P$1740,MATCH(ROWS($A$113:$A133),BASE!$Q$6:$Q$1740,0)),"")</f>
        <v/>
      </c>
      <c r="I133" s="23" t="str">
        <f>IFERROR(INDEX(BASE!$R$6:$R$1740,MATCH(ROWS($A$113:$A133),BASE!$Q$6:$Q$1740,0)),"")</f>
        <v/>
      </c>
      <c r="J133" s="23"/>
      <c r="K133" s="23"/>
      <c r="L133" s="23"/>
    </row>
    <row r="134" spans="1:12">
      <c r="A134" s="19" t="str">
        <f>IFERROR(INDEX(BASE!$B$6:$B$1740,MATCH(ROWS($A$113:$A134),BASE!$Q$6:$Q$1740,0)),"")</f>
        <v/>
      </c>
      <c r="B134" s="23" t="str">
        <f>IFERROR(INDEX(BASE!$A$6:$A$1740,MATCH(ROWS($A$113:$A134),BASE!$Q$6:$Q$1740,0)),"")</f>
        <v/>
      </c>
      <c r="C134" s="23"/>
      <c r="D134" s="23" t="str">
        <f>IFERROR(INDEX(BASE!$C$6:$C$1740,MATCH(ROWS($A$113:$A134),BASE!$Q$6:$Q$1740,0)),"")</f>
        <v/>
      </c>
      <c r="E134" s="23"/>
      <c r="F134" s="23" t="str">
        <f>IFERROR(INDEX(BASE!$E$6:$E$1740,MATCH(ROWS($A$113:$A134),BASE!$Q$6:$Q$1740,0)),"")</f>
        <v/>
      </c>
      <c r="G134" s="23"/>
      <c r="H134" s="19" t="str">
        <f>IFERROR(INDEX(BASE!$P$6:$P$1740,MATCH(ROWS($A$113:$A134),BASE!$Q$6:$Q$1740,0)),"")</f>
        <v/>
      </c>
      <c r="I134" s="23" t="str">
        <f>IFERROR(INDEX(BASE!$R$6:$R$1740,MATCH(ROWS($A$113:$A134),BASE!$Q$6:$Q$1740,0)),"")</f>
        <v/>
      </c>
      <c r="J134" s="23"/>
      <c r="K134" s="23"/>
      <c r="L134" s="23"/>
    </row>
    <row r="135" spans="1:12">
      <c r="A135" s="19" t="str">
        <f>IFERROR(INDEX(BASE!$B$6:$B$1740,MATCH(ROWS($A$113:$A135),BASE!$Q$6:$Q$1740,0)),"")</f>
        <v/>
      </c>
      <c r="B135" s="23" t="str">
        <f>IFERROR(INDEX(BASE!$A$6:$A$1740,MATCH(ROWS($A$113:$A135),BASE!$Q$6:$Q$1740,0)),"")</f>
        <v/>
      </c>
      <c r="C135" s="23"/>
      <c r="D135" s="23" t="str">
        <f>IFERROR(INDEX(BASE!$C$6:$C$1740,MATCH(ROWS($A$113:$A135),BASE!$Q$6:$Q$1740,0)),"")</f>
        <v/>
      </c>
      <c r="E135" s="23"/>
      <c r="F135" s="23" t="str">
        <f>IFERROR(INDEX(BASE!$E$6:$E$1740,MATCH(ROWS($A$113:$A135),BASE!$Q$6:$Q$1740,0)),"")</f>
        <v/>
      </c>
      <c r="G135" s="23"/>
      <c r="H135" s="19" t="str">
        <f>IFERROR(INDEX(BASE!$P$6:$P$1740,MATCH(ROWS($A$113:$A135),BASE!$Q$6:$Q$1740,0)),"")</f>
        <v/>
      </c>
      <c r="I135" s="23" t="str">
        <f>IFERROR(INDEX(BASE!$R$6:$R$1740,MATCH(ROWS($A$113:$A135),BASE!$Q$6:$Q$1740,0)),"")</f>
        <v/>
      </c>
      <c r="J135" s="23"/>
      <c r="K135" s="23"/>
      <c r="L135" s="23"/>
    </row>
    <row r="136" spans="1:12">
      <c r="A136" s="19" t="str">
        <f>IFERROR(INDEX(BASE!$B$6:$B$1740,MATCH(ROWS($A$113:$A136),BASE!$Q$6:$Q$1740,0)),"")</f>
        <v/>
      </c>
      <c r="B136" s="23" t="str">
        <f>IFERROR(INDEX(BASE!$A$6:$A$1740,MATCH(ROWS($A$113:$A136),BASE!$Q$6:$Q$1740,0)),"")</f>
        <v/>
      </c>
      <c r="C136" s="23"/>
      <c r="D136" s="23" t="str">
        <f>IFERROR(INDEX(BASE!$C$6:$C$1740,MATCH(ROWS($A$113:$A136),BASE!$Q$6:$Q$1740,0)),"")</f>
        <v/>
      </c>
      <c r="E136" s="23"/>
      <c r="F136" s="23" t="str">
        <f>IFERROR(INDEX(BASE!$E$6:$E$1740,MATCH(ROWS($A$113:$A136),BASE!$Q$6:$Q$1740,0)),"")</f>
        <v/>
      </c>
      <c r="G136" s="23"/>
      <c r="H136" s="19" t="str">
        <f>IFERROR(INDEX(BASE!$P$6:$P$1740,MATCH(ROWS($A$113:$A136),BASE!$Q$6:$Q$1740,0)),"")</f>
        <v/>
      </c>
      <c r="I136" s="23" t="str">
        <f>IFERROR(INDEX(BASE!$R$6:$R$1740,MATCH(ROWS($A$113:$A136),BASE!$Q$6:$Q$1740,0)),"")</f>
        <v/>
      </c>
      <c r="J136" s="23"/>
      <c r="K136" s="23"/>
      <c r="L136" s="23"/>
    </row>
    <row r="137" spans="1:12">
      <c r="A137" s="19" t="str">
        <f>IFERROR(INDEX(BASE!$B$6:$B$1740,MATCH(ROWS($A$113:$A137),BASE!$Q$6:$Q$1740,0)),"")</f>
        <v/>
      </c>
      <c r="B137" s="23" t="str">
        <f>IFERROR(INDEX(BASE!$A$6:$A$1740,MATCH(ROWS($A$113:$A137),BASE!$Q$6:$Q$1740,0)),"")</f>
        <v/>
      </c>
      <c r="C137" s="23"/>
      <c r="D137" s="23" t="str">
        <f>IFERROR(INDEX(BASE!$C$6:$C$1740,MATCH(ROWS($A$113:$A137),BASE!$Q$6:$Q$1740,0)),"")</f>
        <v/>
      </c>
      <c r="E137" s="23"/>
      <c r="F137" s="23" t="str">
        <f>IFERROR(INDEX(BASE!$E$6:$E$1740,MATCH(ROWS($A$113:$A137),BASE!$Q$6:$Q$1740,0)),"")</f>
        <v/>
      </c>
      <c r="G137" s="23"/>
      <c r="H137" s="19" t="str">
        <f>IFERROR(INDEX(BASE!$P$6:$P$1740,MATCH(ROWS($A$113:$A137),BASE!$Q$6:$Q$1740,0)),"")</f>
        <v/>
      </c>
      <c r="I137" s="23" t="str">
        <f>IFERROR(INDEX(BASE!$R$6:$R$1740,MATCH(ROWS($A$113:$A137),BASE!$Q$6:$Q$1740,0)),"")</f>
        <v/>
      </c>
      <c r="J137" s="23"/>
      <c r="K137" s="23"/>
      <c r="L137" s="23"/>
    </row>
    <row r="138" spans="1:12">
      <c r="A138" s="19" t="str">
        <f>IFERROR(INDEX(BASE!$B$6:$B$1740,MATCH(ROWS($A$113:$A138),BASE!$Q$6:$Q$1740,0)),"")</f>
        <v/>
      </c>
      <c r="B138" s="23" t="str">
        <f>IFERROR(INDEX(BASE!$A$6:$A$1740,MATCH(ROWS($A$113:$A138),BASE!$Q$6:$Q$1740,0)),"")</f>
        <v/>
      </c>
      <c r="C138" s="23"/>
      <c r="D138" s="23" t="str">
        <f>IFERROR(INDEX(BASE!$C$6:$C$1740,MATCH(ROWS($A$113:$A138),BASE!$Q$6:$Q$1740,0)),"")</f>
        <v/>
      </c>
      <c r="E138" s="23"/>
      <c r="F138" s="23" t="str">
        <f>IFERROR(INDEX(BASE!$E$6:$E$1740,MATCH(ROWS($A$113:$A138),BASE!$Q$6:$Q$1740,0)),"")</f>
        <v/>
      </c>
      <c r="G138" s="23"/>
      <c r="H138" s="19" t="str">
        <f>IFERROR(INDEX(BASE!$P$6:$P$1740,MATCH(ROWS($A$113:$A138),BASE!$Q$6:$Q$1740,0)),"")</f>
        <v/>
      </c>
      <c r="I138" s="23" t="str">
        <f>IFERROR(INDEX(BASE!$R$6:$R$1740,MATCH(ROWS($A$113:$A138),BASE!$Q$6:$Q$1740,0)),"")</f>
        <v/>
      </c>
      <c r="J138" s="23"/>
      <c r="K138" s="23"/>
      <c r="L138" s="23"/>
    </row>
    <row r="139" spans="1:12">
      <c r="A139" s="19" t="str">
        <f>IFERROR(INDEX(BASE!$B$6:$B$1740,MATCH(ROWS($A$113:$A139),BASE!$Q$6:$Q$1740,0)),"")</f>
        <v/>
      </c>
      <c r="B139" s="23" t="str">
        <f>IFERROR(INDEX(BASE!$A$6:$A$1740,MATCH(ROWS($A$113:$A139),BASE!$Q$6:$Q$1740,0)),"")</f>
        <v/>
      </c>
      <c r="C139" s="23"/>
      <c r="D139" s="23" t="str">
        <f>IFERROR(INDEX(BASE!$C$6:$C$1740,MATCH(ROWS($A$113:$A139),BASE!$Q$6:$Q$1740,0)),"")</f>
        <v/>
      </c>
      <c r="E139" s="23"/>
      <c r="F139" s="23" t="str">
        <f>IFERROR(INDEX(BASE!$E$6:$E$1740,MATCH(ROWS($A$113:$A139),BASE!$Q$6:$Q$1740,0)),"")</f>
        <v/>
      </c>
      <c r="G139" s="23"/>
      <c r="H139" s="19" t="str">
        <f>IFERROR(INDEX(BASE!$P$6:$P$1740,MATCH(ROWS($A$113:$A139),BASE!$Q$6:$Q$1740,0)),"")</f>
        <v/>
      </c>
      <c r="I139" s="23" t="str">
        <f>IFERROR(INDEX(BASE!$R$6:$R$1740,MATCH(ROWS($A$113:$A139),BASE!$Q$6:$Q$1740,0)),"")</f>
        <v/>
      </c>
      <c r="J139" s="23"/>
      <c r="K139" s="23"/>
      <c r="L139" s="23"/>
    </row>
    <row r="140" spans="1:12">
      <c r="A140" s="19" t="str">
        <f>IFERROR(INDEX(BASE!$B$6:$B$1740,MATCH(ROWS($A$113:$A140),BASE!$Q$6:$Q$1740,0)),"")</f>
        <v/>
      </c>
      <c r="B140" s="23" t="str">
        <f>IFERROR(INDEX(BASE!$A$6:$A$1740,MATCH(ROWS($A$113:$A140),BASE!$Q$6:$Q$1740,0)),"")</f>
        <v/>
      </c>
      <c r="C140" s="23"/>
      <c r="D140" s="23" t="str">
        <f>IFERROR(INDEX(BASE!$C$6:$C$1740,MATCH(ROWS($A$113:$A140),BASE!$Q$6:$Q$1740,0)),"")</f>
        <v/>
      </c>
      <c r="E140" s="23"/>
      <c r="F140" s="23" t="str">
        <f>IFERROR(INDEX(BASE!$E$6:$E$1740,MATCH(ROWS($A$113:$A140),BASE!$Q$6:$Q$1740,0)),"")</f>
        <v/>
      </c>
      <c r="G140" s="23"/>
      <c r="H140" s="19" t="str">
        <f>IFERROR(INDEX(BASE!$P$6:$P$1740,MATCH(ROWS($A$113:$A140),BASE!$Q$6:$Q$1740,0)),"")</f>
        <v/>
      </c>
      <c r="I140" s="23" t="str">
        <f>IFERROR(INDEX(BASE!$R$6:$R$1740,MATCH(ROWS($A$113:$A140),BASE!$Q$6:$Q$1740,0)),"")</f>
        <v/>
      </c>
      <c r="J140" s="23"/>
      <c r="K140" s="23"/>
      <c r="L140" s="23"/>
    </row>
    <row r="141" spans="1:12">
      <c r="A141" s="19" t="str">
        <f>IFERROR(INDEX(BASE!$B$6:$B$1740,MATCH(ROWS($A$113:$A141),BASE!$Q$6:$Q$1740,0)),"")</f>
        <v/>
      </c>
      <c r="B141" s="23" t="str">
        <f>IFERROR(INDEX(BASE!$A$6:$A$1740,MATCH(ROWS($A$113:$A141),BASE!$Q$6:$Q$1740,0)),"")</f>
        <v/>
      </c>
      <c r="C141" s="23"/>
      <c r="D141" s="23" t="str">
        <f>IFERROR(INDEX(BASE!$C$6:$C$1740,MATCH(ROWS($A$113:$A141),BASE!$Q$6:$Q$1740,0)),"")</f>
        <v/>
      </c>
      <c r="E141" s="23"/>
      <c r="F141" s="23" t="str">
        <f>IFERROR(INDEX(BASE!$E$6:$E$1740,MATCH(ROWS($A$113:$A141),BASE!$Q$6:$Q$1740,0)),"")</f>
        <v/>
      </c>
      <c r="G141" s="23"/>
      <c r="H141" s="19" t="str">
        <f>IFERROR(INDEX(BASE!$P$6:$P$1740,MATCH(ROWS($A$113:$A141),BASE!$Q$6:$Q$1740,0)),"")</f>
        <v/>
      </c>
      <c r="I141" s="23" t="str">
        <f>IFERROR(INDEX(BASE!$R$6:$R$1740,MATCH(ROWS($A$113:$A141),BASE!$Q$6:$Q$1740,0)),"")</f>
        <v/>
      </c>
      <c r="J141" s="23"/>
      <c r="K141" s="23"/>
      <c r="L141" s="23"/>
    </row>
    <row r="142" spans="1:12">
      <c r="A142" s="19" t="str">
        <f>IFERROR(INDEX(BASE!$B$6:$B$1740,MATCH(ROWS($A$113:$A142),BASE!$Q$6:$Q$1740,0)),"")</f>
        <v/>
      </c>
      <c r="B142" s="23" t="str">
        <f>IFERROR(INDEX(BASE!$A$6:$A$1740,MATCH(ROWS($A$113:$A142),BASE!$Q$6:$Q$1740,0)),"")</f>
        <v/>
      </c>
      <c r="C142" s="23"/>
      <c r="D142" s="23" t="str">
        <f>IFERROR(INDEX(BASE!$C$6:$C$1740,MATCH(ROWS($A$113:$A142),BASE!$Q$6:$Q$1740,0)),"")</f>
        <v/>
      </c>
      <c r="E142" s="23"/>
      <c r="F142" s="23" t="str">
        <f>IFERROR(INDEX(BASE!$E$6:$E$1740,MATCH(ROWS($A$113:$A142),BASE!$Q$6:$Q$1740,0)),"")</f>
        <v/>
      </c>
      <c r="G142" s="23"/>
      <c r="H142" s="19" t="str">
        <f>IFERROR(INDEX(BASE!$P$6:$P$1740,MATCH(ROWS($A$113:$A142),BASE!$Q$6:$Q$1740,0)),"")</f>
        <v/>
      </c>
      <c r="I142" s="23" t="str">
        <f>IFERROR(INDEX(BASE!$R$6:$R$1740,MATCH(ROWS($A$113:$A142),BASE!$Q$6:$Q$1740,0)),"")</f>
        <v/>
      </c>
      <c r="J142" s="23"/>
      <c r="K142" s="23"/>
      <c r="L142" s="23"/>
    </row>
    <row r="143" spans="1:12">
      <c r="A143" s="19" t="str">
        <f>IFERROR(INDEX(BASE!$B$6:$B$1740,MATCH(ROWS($A$113:$A143),BASE!$Q$6:$Q$1740,0)),"")</f>
        <v/>
      </c>
      <c r="B143" s="23" t="str">
        <f>IFERROR(INDEX(BASE!$A$6:$A$1740,MATCH(ROWS($A$113:$A143),BASE!$Q$6:$Q$1740,0)),"")</f>
        <v/>
      </c>
      <c r="C143" s="23"/>
      <c r="D143" s="23" t="str">
        <f>IFERROR(INDEX(BASE!$C$6:$C$1740,MATCH(ROWS($A$113:$A143),BASE!$Q$6:$Q$1740,0)),"")</f>
        <v/>
      </c>
      <c r="E143" s="23"/>
      <c r="F143" s="23" t="str">
        <f>IFERROR(INDEX(BASE!$E$6:$E$1740,MATCH(ROWS($A$113:$A143),BASE!$Q$6:$Q$1740,0)),"")</f>
        <v/>
      </c>
      <c r="G143" s="23"/>
      <c r="H143" s="19" t="str">
        <f>IFERROR(INDEX(BASE!$P$6:$P$1740,MATCH(ROWS($A$113:$A143),BASE!$Q$6:$Q$1740,0)),"")</f>
        <v/>
      </c>
      <c r="I143" s="23" t="str">
        <f>IFERROR(INDEX(BASE!$R$6:$R$1740,MATCH(ROWS($A$113:$A143),BASE!$Q$6:$Q$1740,0)),"")</f>
        <v/>
      </c>
      <c r="J143" s="23"/>
      <c r="K143" s="23"/>
      <c r="L143" s="23"/>
    </row>
    <row r="144" spans="1:12">
      <c r="A144" s="19" t="str">
        <f>IFERROR(INDEX(BASE!$B$6:$B$1740,MATCH(ROWS($A$113:$A144),BASE!$Q$6:$Q$1740,0)),"")</f>
        <v/>
      </c>
      <c r="B144" s="23" t="str">
        <f>IFERROR(INDEX(BASE!$A$6:$A$1740,MATCH(ROWS($A$113:$A144),BASE!$Q$6:$Q$1740,0)),"")</f>
        <v/>
      </c>
      <c r="C144" s="23"/>
      <c r="D144" s="23" t="str">
        <f>IFERROR(INDEX(BASE!$C$6:$C$1740,MATCH(ROWS($A$113:$A144),BASE!$Q$6:$Q$1740,0)),"")</f>
        <v/>
      </c>
      <c r="E144" s="23"/>
      <c r="F144" s="23" t="str">
        <f>IFERROR(INDEX(BASE!$E$6:$E$1740,MATCH(ROWS($A$113:$A144),BASE!$Q$6:$Q$1740,0)),"")</f>
        <v/>
      </c>
      <c r="G144" s="23"/>
      <c r="H144" s="19" t="str">
        <f>IFERROR(INDEX(BASE!$P$6:$P$1740,MATCH(ROWS($A$113:$A144),BASE!$Q$6:$Q$1740,0)),"")</f>
        <v/>
      </c>
      <c r="I144" s="23" t="str">
        <f>IFERROR(INDEX(BASE!$R$6:$R$1740,MATCH(ROWS($A$113:$A144),BASE!$Q$6:$Q$1740,0)),"")</f>
        <v/>
      </c>
      <c r="J144" s="23"/>
      <c r="K144" s="23"/>
      <c r="L144" s="23"/>
    </row>
    <row r="145" spans="1:12">
      <c r="A145" s="19" t="str">
        <f>IFERROR(INDEX(BASE!$B$6:$B$1740,MATCH(ROWS($A$113:$A145),BASE!$Q$6:$Q$1740,0)),"")</f>
        <v/>
      </c>
      <c r="B145" s="23" t="str">
        <f>IFERROR(INDEX(BASE!$A$6:$A$1740,MATCH(ROWS($A$113:$A145),BASE!$Q$6:$Q$1740,0)),"")</f>
        <v/>
      </c>
      <c r="C145" s="23"/>
      <c r="D145" s="23" t="str">
        <f>IFERROR(INDEX(BASE!$C$6:$C$1740,MATCH(ROWS($A$113:$A145),BASE!$Q$6:$Q$1740,0)),"")</f>
        <v/>
      </c>
      <c r="E145" s="23"/>
      <c r="F145" s="23" t="str">
        <f>IFERROR(INDEX(BASE!$E$6:$E$1740,MATCH(ROWS($A$113:$A145),BASE!$Q$6:$Q$1740,0)),"")</f>
        <v/>
      </c>
      <c r="G145" s="23"/>
      <c r="H145" s="19" t="str">
        <f>IFERROR(INDEX(BASE!$P$6:$P$1740,MATCH(ROWS($A$113:$A145),BASE!$Q$6:$Q$1740,0)),"")</f>
        <v/>
      </c>
      <c r="I145" s="23" t="str">
        <f>IFERROR(INDEX(BASE!$R$6:$R$1740,MATCH(ROWS($A$113:$A145),BASE!$Q$6:$Q$1740,0)),"")</f>
        <v/>
      </c>
      <c r="J145" s="23"/>
      <c r="K145" s="23"/>
      <c r="L145" s="23"/>
    </row>
    <row r="146" spans="1:12">
      <c r="A146" s="19" t="str">
        <f>IFERROR(INDEX(BASE!$B$6:$B$1740,MATCH(ROWS($A$113:$A146),BASE!$Q$6:$Q$1740,0)),"")</f>
        <v/>
      </c>
      <c r="B146" s="23" t="str">
        <f>IFERROR(INDEX(BASE!$A$6:$A$1740,MATCH(ROWS($A$113:$A146),BASE!$Q$6:$Q$1740,0)),"")</f>
        <v/>
      </c>
      <c r="C146" s="23"/>
      <c r="D146" s="23" t="str">
        <f>IFERROR(INDEX(BASE!$C$6:$C$1740,MATCH(ROWS($A$113:$A146),BASE!$Q$6:$Q$1740,0)),"")</f>
        <v/>
      </c>
      <c r="E146" s="23"/>
      <c r="F146" s="23" t="str">
        <f>IFERROR(INDEX(BASE!$E$6:$E$1740,MATCH(ROWS($A$113:$A146),BASE!$Q$6:$Q$1740,0)),"")</f>
        <v/>
      </c>
      <c r="G146" s="23"/>
      <c r="H146" s="19" t="str">
        <f>IFERROR(INDEX(BASE!$P$6:$P$1740,MATCH(ROWS($A$113:$A146),BASE!$Q$6:$Q$1740,0)),"")</f>
        <v/>
      </c>
      <c r="I146" s="23" t="str">
        <f>IFERROR(INDEX(BASE!$R$6:$R$1740,MATCH(ROWS($A$113:$A146),BASE!$Q$6:$Q$1740,0)),"")</f>
        <v/>
      </c>
      <c r="J146" s="23"/>
      <c r="K146" s="23"/>
      <c r="L146" s="23"/>
    </row>
    <row r="147" spans="1:12">
      <c r="A147" s="19" t="str">
        <f>IFERROR(INDEX(BASE!$B$6:$B$1740,MATCH(ROWS($A$113:$A147),BASE!$Q$6:$Q$1740,0)),"")</f>
        <v/>
      </c>
      <c r="B147" s="23" t="str">
        <f>IFERROR(INDEX(BASE!$A$6:$A$1740,MATCH(ROWS($A$113:$A147),BASE!$Q$6:$Q$1740,0)),"")</f>
        <v/>
      </c>
      <c r="C147" s="23"/>
      <c r="D147" s="23" t="str">
        <f>IFERROR(INDEX(BASE!$C$6:$C$1740,MATCH(ROWS($A$113:$A147),BASE!$Q$6:$Q$1740,0)),"")</f>
        <v/>
      </c>
      <c r="E147" s="23"/>
      <c r="F147" s="23" t="str">
        <f>IFERROR(INDEX(BASE!$E$6:$E$1740,MATCH(ROWS($A$113:$A147),BASE!$Q$6:$Q$1740,0)),"")</f>
        <v/>
      </c>
      <c r="G147" s="23"/>
      <c r="H147" s="19" t="str">
        <f>IFERROR(INDEX(BASE!$P$6:$P$1740,MATCH(ROWS($A$113:$A147),BASE!$Q$6:$Q$1740,0)),"")</f>
        <v/>
      </c>
      <c r="I147" s="23" t="str">
        <f>IFERROR(INDEX(BASE!$R$6:$R$1740,MATCH(ROWS($A$113:$A147),BASE!$Q$6:$Q$1740,0)),"")</f>
        <v/>
      </c>
      <c r="J147" s="23"/>
      <c r="K147" s="23"/>
      <c r="L147" s="23"/>
    </row>
    <row r="148" spans="1:12">
      <c r="A148" s="19" t="str">
        <f>IFERROR(INDEX(BASE!$B$6:$B$1740,MATCH(ROWS($A$113:$A148),BASE!$Q$6:$Q$1740,0)),"")</f>
        <v/>
      </c>
      <c r="B148" s="23" t="str">
        <f>IFERROR(INDEX(BASE!$A$6:$A$1740,MATCH(ROWS($A$113:$A148),BASE!$Q$6:$Q$1740,0)),"")</f>
        <v/>
      </c>
      <c r="C148" s="23"/>
      <c r="D148" s="23" t="str">
        <f>IFERROR(INDEX(BASE!$C$6:$C$1740,MATCH(ROWS($A$113:$A148),BASE!$Q$6:$Q$1740,0)),"")</f>
        <v/>
      </c>
      <c r="E148" s="23"/>
      <c r="F148" s="23" t="str">
        <f>IFERROR(INDEX(BASE!$E$6:$E$1740,MATCH(ROWS($A$113:$A148),BASE!$Q$6:$Q$1740,0)),"")</f>
        <v/>
      </c>
      <c r="G148" s="23"/>
      <c r="H148" s="19" t="str">
        <f>IFERROR(INDEX(BASE!$P$6:$P$1740,MATCH(ROWS($A$113:$A148),BASE!$Q$6:$Q$1740,0)),"")</f>
        <v/>
      </c>
      <c r="I148" s="23" t="str">
        <f>IFERROR(INDEX(BASE!$R$6:$R$1740,MATCH(ROWS($A$113:$A148),BASE!$Q$6:$Q$1740,0)),"")</f>
        <v/>
      </c>
      <c r="J148" s="23"/>
      <c r="K148" s="23"/>
      <c r="L148" s="23"/>
    </row>
    <row r="149" spans="1:12">
      <c r="A149" s="19" t="str">
        <f>IFERROR(INDEX(BASE!$B$6:$B$1740,MATCH(ROWS($A$113:$A149),BASE!$Q$6:$Q$1740,0)),"")</f>
        <v/>
      </c>
      <c r="B149" s="23" t="str">
        <f>IFERROR(INDEX(BASE!$A$6:$A$1740,MATCH(ROWS($A$113:$A149),BASE!$Q$6:$Q$1740,0)),"")</f>
        <v/>
      </c>
      <c r="C149" s="23"/>
      <c r="D149" s="23" t="str">
        <f>IFERROR(INDEX(BASE!$C$6:$C$1740,MATCH(ROWS($A$113:$A149),BASE!$Q$6:$Q$1740,0)),"")</f>
        <v/>
      </c>
      <c r="E149" s="23"/>
      <c r="F149" s="23" t="str">
        <f>IFERROR(INDEX(BASE!$E$6:$E$1740,MATCH(ROWS($A$113:$A149),BASE!$Q$6:$Q$1740,0)),"")</f>
        <v/>
      </c>
      <c r="G149" s="23"/>
      <c r="H149" s="19" t="str">
        <f>IFERROR(INDEX(BASE!$P$6:$P$1740,MATCH(ROWS($A$113:$A149),BASE!$Q$6:$Q$1740,0)),"")</f>
        <v/>
      </c>
      <c r="I149" s="23" t="str">
        <f>IFERROR(INDEX(BASE!$R$6:$R$1740,MATCH(ROWS($A$113:$A149),BASE!$Q$6:$Q$1740,0)),"")</f>
        <v/>
      </c>
      <c r="J149" s="23"/>
      <c r="K149" s="23"/>
      <c r="L149" s="23"/>
    </row>
    <row r="150" spans="1:12">
      <c r="A150" s="19" t="str">
        <f>IFERROR(INDEX(BASE!$B$6:$B$1740,MATCH(ROWS($A$113:$A150),BASE!$Q$6:$Q$1740,0)),"")</f>
        <v/>
      </c>
      <c r="B150" s="23" t="str">
        <f>IFERROR(INDEX(BASE!$A$6:$A$1740,MATCH(ROWS($A$113:$A150),BASE!$Q$6:$Q$1740,0)),"")</f>
        <v/>
      </c>
      <c r="C150" s="23"/>
      <c r="D150" s="23" t="str">
        <f>IFERROR(INDEX(BASE!$C$6:$C$1740,MATCH(ROWS($A$113:$A150),BASE!$Q$6:$Q$1740,0)),"")</f>
        <v/>
      </c>
      <c r="E150" s="23"/>
      <c r="F150" s="23" t="str">
        <f>IFERROR(INDEX(BASE!$E$6:$E$1740,MATCH(ROWS($A$113:$A150),BASE!$Q$6:$Q$1740,0)),"")</f>
        <v/>
      </c>
      <c r="G150" s="23"/>
      <c r="H150" s="19" t="str">
        <f>IFERROR(INDEX(BASE!$P$6:$P$1740,MATCH(ROWS($A$113:$A150),BASE!$Q$6:$Q$1740,0)),"")</f>
        <v/>
      </c>
      <c r="I150" s="23" t="str">
        <f>IFERROR(INDEX(BASE!$R$6:$R$1740,MATCH(ROWS($A$113:$A150),BASE!$Q$6:$Q$1740,0)),"")</f>
        <v/>
      </c>
      <c r="J150" s="23"/>
      <c r="K150" s="23"/>
      <c r="L150" s="23"/>
    </row>
  </sheetData>
  <mergeCells count="188">
    <mergeCell ref="M8:O8"/>
    <mergeCell ref="M9:O9"/>
    <mergeCell ref="P5:R5"/>
    <mergeCell ref="P6:R6"/>
    <mergeCell ref="P8:R8"/>
    <mergeCell ref="P9:R9"/>
    <mergeCell ref="A1:U2"/>
    <mergeCell ref="A3:U3"/>
    <mergeCell ref="S5:U5"/>
    <mergeCell ref="S6:U6"/>
    <mergeCell ref="S8:U8"/>
    <mergeCell ref="S9:U9"/>
    <mergeCell ref="A9:C9"/>
    <mergeCell ref="D5:F5"/>
    <mergeCell ref="D6:F6"/>
    <mergeCell ref="D8:F8"/>
    <mergeCell ref="D9:F9"/>
    <mergeCell ref="G9:I9"/>
    <mergeCell ref="J5:L5"/>
    <mergeCell ref="J6:L6"/>
    <mergeCell ref="J8:L8"/>
    <mergeCell ref="J9:L9"/>
    <mergeCell ref="A5:C5"/>
    <mergeCell ref="A6:C6"/>
    <mergeCell ref="A8:C8"/>
    <mergeCell ref="G5:I5"/>
    <mergeCell ref="G6:I6"/>
    <mergeCell ref="G8:I8"/>
    <mergeCell ref="M5:O5"/>
    <mergeCell ref="M6:O6"/>
    <mergeCell ref="A110:R110"/>
    <mergeCell ref="A111:R111"/>
    <mergeCell ref="B112:C112"/>
    <mergeCell ref="D112:E112"/>
    <mergeCell ref="F112:G112"/>
    <mergeCell ref="I112:L112"/>
    <mergeCell ref="B113:C113"/>
    <mergeCell ref="D113:E113"/>
    <mergeCell ref="F113:G113"/>
    <mergeCell ref="I113:L113"/>
    <mergeCell ref="B114:C114"/>
    <mergeCell ref="D114:E114"/>
    <mergeCell ref="F114:G114"/>
    <mergeCell ref="I114:L114"/>
    <mergeCell ref="B115:C115"/>
    <mergeCell ref="D115:E115"/>
    <mergeCell ref="F115:G115"/>
    <mergeCell ref="I115:L115"/>
    <mergeCell ref="B116:C116"/>
    <mergeCell ref="D116:E116"/>
    <mergeCell ref="F116:G116"/>
    <mergeCell ref="I116:L116"/>
    <mergeCell ref="B117:C117"/>
    <mergeCell ref="D117:E117"/>
    <mergeCell ref="F117:G117"/>
    <mergeCell ref="I117:L117"/>
    <mergeCell ref="B118:C118"/>
    <mergeCell ref="D118:E118"/>
    <mergeCell ref="F118:G118"/>
    <mergeCell ref="I118:L118"/>
    <mergeCell ref="B119:C119"/>
    <mergeCell ref="D119:E119"/>
    <mergeCell ref="F119:G119"/>
    <mergeCell ref="I119:L119"/>
    <mergeCell ref="B120:C120"/>
    <mergeCell ref="D120:E120"/>
    <mergeCell ref="F120:G120"/>
    <mergeCell ref="I120:L120"/>
    <mergeCell ref="B121:C121"/>
    <mergeCell ref="D121:E121"/>
    <mergeCell ref="F121:G121"/>
    <mergeCell ref="I121:L121"/>
    <mergeCell ref="B122:C122"/>
    <mergeCell ref="D122:E122"/>
    <mergeCell ref="F122:G122"/>
    <mergeCell ref="I122:L122"/>
    <mergeCell ref="B123:C123"/>
    <mergeCell ref="D123:E123"/>
    <mergeCell ref="F123:G123"/>
    <mergeCell ref="I123:L123"/>
    <mergeCell ref="B124:C124"/>
    <mergeCell ref="D124:E124"/>
    <mergeCell ref="F124:G124"/>
    <mergeCell ref="I124:L124"/>
    <mergeCell ref="B125:C125"/>
    <mergeCell ref="D125:E125"/>
    <mergeCell ref="F125:G125"/>
    <mergeCell ref="I125:L125"/>
    <mergeCell ref="B126:C126"/>
    <mergeCell ref="D126:E126"/>
    <mergeCell ref="F126:G126"/>
    <mergeCell ref="I126:L126"/>
    <mergeCell ref="B127:C127"/>
    <mergeCell ref="D127:E127"/>
    <mergeCell ref="F127:G127"/>
    <mergeCell ref="I127:L127"/>
    <mergeCell ref="B128:C128"/>
    <mergeCell ref="D128:E128"/>
    <mergeCell ref="F128:G128"/>
    <mergeCell ref="I128:L128"/>
    <mergeCell ref="B129:C129"/>
    <mergeCell ref="D129:E129"/>
    <mergeCell ref="F129:G129"/>
    <mergeCell ref="I129:L129"/>
    <mergeCell ref="B130:C130"/>
    <mergeCell ref="D130:E130"/>
    <mergeCell ref="F130:G130"/>
    <mergeCell ref="I130:L130"/>
    <mergeCell ref="B131:C131"/>
    <mergeCell ref="D131:E131"/>
    <mergeCell ref="F131:G131"/>
    <mergeCell ref="I131:L131"/>
    <mergeCell ref="B132:C132"/>
    <mergeCell ref="D132:E132"/>
    <mergeCell ref="F132:G132"/>
    <mergeCell ref="I132:L132"/>
    <mergeCell ref="B133:C133"/>
    <mergeCell ref="D133:E133"/>
    <mergeCell ref="F133:G133"/>
    <mergeCell ref="I133:L133"/>
    <mergeCell ref="B134:C134"/>
    <mergeCell ref="D134:E134"/>
    <mergeCell ref="F134:G134"/>
    <mergeCell ref="I134:L134"/>
    <mergeCell ref="B135:C135"/>
    <mergeCell ref="D135:E135"/>
    <mergeCell ref="F135:G135"/>
    <mergeCell ref="I135:L135"/>
    <mergeCell ref="B136:C136"/>
    <mergeCell ref="D136:E136"/>
    <mergeCell ref="F136:G136"/>
    <mergeCell ref="I136:L136"/>
    <mergeCell ref="B137:C137"/>
    <mergeCell ref="D137:E137"/>
    <mergeCell ref="F137:G137"/>
    <mergeCell ref="I137:L137"/>
    <mergeCell ref="B138:C138"/>
    <mergeCell ref="D138:E138"/>
    <mergeCell ref="F138:G138"/>
    <mergeCell ref="I138:L138"/>
    <mergeCell ref="B139:C139"/>
    <mergeCell ref="D139:E139"/>
    <mergeCell ref="F139:G139"/>
    <mergeCell ref="I139:L139"/>
    <mergeCell ref="B140:C140"/>
    <mergeCell ref="D140:E140"/>
    <mergeCell ref="F140:G140"/>
    <mergeCell ref="I140:L140"/>
    <mergeCell ref="B141:C141"/>
    <mergeCell ref="D141:E141"/>
    <mergeCell ref="F141:G141"/>
    <mergeCell ref="I141:L141"/>
    <mergeCell ref="B142:C142"/>
    <mergeCell ref="D142:E142"/>
    <mergeCell ref="F142:G142"/>
    <mergeCell ref="I142:L142"/>
    <mergeCell ref="B143:C143"/>
    <mergeCell ref="D143:E143"/>
    <mergeCell ref="F143:G143"/>
    <mergeCell ref="I143:L143"/>
    <mergeCell ref="B144:C144"/>
    <mergeCell ref="D144:E144"/>
    <mergeCell ref="F144:G144"/>
    <mergeCell ref="I144:L144"/>
    <mergeCell ref="B145:C145"/>
    <mergeCell ref="D145:E145"/>
    <mergeCell ref="F145:G145"/>
    <mergeCell ref="I145:L145"/>
    <mergeCell ref="B146:C146"/>
    <mergeCell ref="D146:E146"/>
    <mergeCell ref="F146:G146"/>
    <mergeCell ref="I146:L146"/>
    <mergeCell ref="B150:C150"/>
    <mergeCell ref="D150:E150"/>
    <mergeCell ref="F150:G150"/>
    <mergeCell ref="I150:L150"/>
    <mergeCell ref="B147:C147"/>
    <mergeCell ref="D147:E147"/>
    <mergeCell ref="F147:G147"/>
    <mergeCell ref="I147:L147"/>
    <mergeCell ref="B148:C148"/>
    <mergeCell ref="D148:E148"/>
    <mergeCell ref="F148:G148"/>
    <mergeCell ref="I148:L148"/>
    <mergeCell ref="B149:C149"/>
    <mergeCell ref="D149:E149"/>
    <mergeCell ref="F149:G149"/>
    <mergeCell ref="I149:L1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8.796875" defaultRowHeight="13.8"/>
  <cols>
    <col min="1" max="1" width="14" customWidth="1"/>
    <col min="2" max="2" width="9" customWidth="1"/>
    <col min="3" max="3" width="13" customWidth="1"/>
    <col min="4" max="4" width="14" customWidth="1"/>
    <col min="5" max="6" width="16" customWidth="1"/>
    <col min="7" max="7" width="14" customWidth="1"/>
    <col min="8" max="8" width="15" customWidth="1"/>
    <col min="9" max="11" width="32" customWidth="1"/>
    <col min="12" max="12" width="72" customWidth="1"/>
    <col min="13" max="13" width="17" customWidth="1"/>
    <col min="14" max="14" width="55" customWidth="1"/>
  </cols>
  <sheetData>
    <row r="1" spans="1:14" ht="27" customHeight="1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7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4" customHeight="1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>
      <c r="A4" s="57" t="s">
        <v>25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ht="31.95" customHeight="1">
      <c r="A5" s="1" t="s">
        <v>26</v>
      </c>
      <c r="B5" s="1" t="s">
        <v>14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20</v>
      </c>
      <c r="N5" s="1" t="s">
        <v>37</v>
      </c>
    </row>
    <row r="6" spans="1:14" ht="36" customHeight="1">
      <c r="A6" s="22">
        <v>46266</v>
      </c>
      <c r="B6" s="21" t="s">
        <v>18</v>
      </c>
      <c r="C6" s="21" t="s">
        <v>62</v>
      </c>
      <c r="D6" s="21" t="s">
        <v>63</v>
      </c>
      <c r="E6" s="21" t="s">
        <v>64</v>
      </c>
      <c r="F6" s="21">
        <v>1</v>
      </c>
      <c r="G6" s="21" t="s">
        <v>65</v>
      </c>
      <c r="H6" s="21"/>
      <c r="I6" s="21" t="s">
        <v>66</v>
      </c>
      <c r="J6" s="21"/>
      <c r="K6" s="21" t="s">
        <v>67</v>
      </c>
      <c r="L6" s="21" t="s">
        <v>68</v>
      </c>
      <c r="M6" s="21" t="s">
        <v>69</v>
      </c>
      <c r="N6" s="21" t="s">
        <v>70</v>
      </c>
    </row>
    <row r="7" spans="1:14" ht="36" customHeight="1">
      <c r="A7" s="22">
        <v>46266</v>
      </c>
      <c r="B7" s="21" t="s">
        <v>18</v>
      </c>
      <c r="C7" s="21" t="s">
        <v>62</v>
      </c>
      <c r="D7" s="21" t="s">
        <v>63</v>
      </c>
      <c r="E7" s="21" t="s">
        <v>71</v>
      </c>
      <c r="F7" s="21">
        <v>1</v>
      </c>
      <c r="G7" s="21" t="s">
        <v>65</v>
      </c>
      <c r="H7" s="21"/>
      <c r="I7" s="21" t="s">
        <v>66</v>
      </c>
      <c r="J7" s="21"/>
      <c r="K7" s="21" t="s">
        <v>67</v>
      </c>
      <c r="L7" s="21" t="s">
        <v>68</v>
      </c>
      <c r="M7" s="21" t="s">
        <v>69</v>
      </c>
      <c r="N7" s="21" t="s">
        <v>70</v>
      </c>
    </row>
    <row r="8" spans="1:14" ht="36" customHeight="1">
      <c r="A8" s="22">
        <v>46266</v>
      </c>
      <c r="B8" s="21" t="s">
        <v>18</v>
      </c>
      <c r="C8" s="21" t="s">
        <v>62</v>
      </c>
      <c r="D8" s="21" t="s">
        <v>63</v>
      </c>
      <c r="E8" s="21" t="s">
        <v>72</v>
      </c>
      <c r="F8" s="21">
        <v>1</v>
      </c>
      <c r="G8" s="21" t="s">
        <v>65</v>
      </c>
      <c r="H8" s="21"/>
      <c r="I8" s="21" t="s">
        <v>66</v>
      </c>
      <c r="J8" s="21"/>
      <c r="K8" s="21" t="s">
        <v>67</v>
      </c>
      <c r="L8" s="21" t="s">
        <v>68</v>
      </c>
      <c r="M8" s="21" t="s">
        <v>69</v>
      </c>
      <c r="N8" s="21" t="s">
        <v>70</v>
      </c>
    </row>
    <row r="9" spans="1:14" ht="36" customHeight="1">
      <c r="A9" s="22">
        <v>46266</v>
      </c>
      <c r="B9" s="21" t="s">
        <v>18</v>
      </c>
      <c r="C9" s="21" t="s">
        <v>62</v>
      </c>
      <c r="D9" s="21" t="s">
        <v>63</v>
      </c>
      <c r="E9" s="21" t="s">
        <v>73</v>
      </c>
      <c r="F9" s="21">
        <v>1</v>
      </c>
      <c r="G9" s="21" t="s">
        <v>65</v>
      </c>
      <c r="H9" s="21"/>
      <c r="I9" s="21" t="s">
        <v>66</v>
      </c>
      <c r="J9" s="21"/>
      <c r="K9" s="21" t="s">
        <v>67</v>
      </c>
      <c r="L9" s="21" t="s">
        <v>68</v>
      </c>
      <c r="M9" s="21" t="s">
        <v>69</v>
      </c>
      <c r="N9" s="21" t="s">
        <v>70</v>
      </c>
    </row>
    <row r="10" spans="1:14" ht="36" customHeight="1">
      <c r="A10" s="22">
        <v>46267</v>
      </c>
      <c r="B10" s="21" t="s">
        <v>18</v>
      </c>
      <c r="C10" s="21" t="s">
        <v>74</v>
      </c>
      <c r="D10" s="21" t="s">
        <v>75</v>
      </c>
      <c r="E10" s="21" t="s">
        <v>76</v>
      </c>
      <c r="F10" s="21">
        <v>1</v>
      </c>
      <c r="G10" s="21" t="s">
        <v>77</v>
      </c>
      <c r="H10" s="21"/>
      <c r="I10" s="21" t="s">
        <v>78</v>
      </c>
      <c r="J10" s="21"/>
      <c r="K10" s="21" t="s">
        <v>78</v>
      </c>
      <c r="L10" s="21" t="s">
        <v>79</v>
      </c>
      <c r="M10" s="21" t="s">
        <v>69</v>
      </c>
      <c r="N10" s="21" t="s">
        <v>80</v>
      </c>
    </row>
    <row r="11" spans="1:14" ht="36" customHeight="1">
      <c r="A11" s="22">
        <v>46267</v>
      </c>
      <c r="B11" s="21" t="s">
        <v>18</v>
      </c>
      <c r="C11" s="21" t="s">
        <v>81</v>
      </c>
      <c r="D11" s="21" t="s">
        <v>82</v>
      </c>
      <c r="E11" s="21" t="s">
        <v>83</v>
      </c>
      <c r="F11" s="21">
        <v>1</v>
      </c>
      <c r="G11" s="21" t="s">
        <v>84</v>
      </c>
      <c r="H11" s="21"/>
      <c r="I11" s="21" t="s">
        <v>85</v>
      </c>
      <c r="J11" s="21"/>
      <c r="K11" s="21"/>
      <c r="L11" s="21" t="s">
        <v>86</v>
      </c>
      <c r="M11" s="21" t="s">
        <v>69</v>
      </c>
      <c r="N11" s="21" t="s">
        <v>70</v>
      </c>
    </row>
    <row r="12" spans="1:14" ht="36" customHeight="1">
      <c r="A12" s="22">
        <v>46267</v>
      </c>
      <c r="B12" s="21" t="s">
        <v>18</v>
      </c>
      <c r="C12" s="21" t="s">
        <v>87</v>
      </c>
      <c r="D12" s="21" t="s">
        <v>88</v>
      </c>
      <c r="E12" s="21" t="s">
        <v>89</v>
      </c>
      <c r="F12" s="21">
        <v>1</v>
      </c>
      <c r="G12" s="21" t="s">
        <v>39</v>
      </c>
      <c r="H12" s="21"/>
      <c r="I12" s="21" t="s">
        <v>90</v>
      </c>
      <c r="J12" s="21"/>
      <c r="K12" s="21" t="s">
        <v>90</v>
      </c>
      <c r="L12" s="21" t="s">
        <v>91</v>
      </c>
      <c r="M12" s="21" t="s">
        <v>92</v>
      </c>
      <c r="N12" s="21"/>
    </row>
    <row r="13" spans="1:14" ht="36" customHeight="1">
      <c r="A13" s="22">
        <v>46267</v>
      </c>
      <c r="B13" s="21" t="s">
        <v>18</v>
      </c>
      <c r="C13" s="21" t="s">
        <v>87</v>
      </c>
      <c r="D13" s="21" t="s">
        <v>88</v>
      </c>
      <c r="E13" s="21" t="s">
        <v>93</v>
      </c>
      <c r="F13" s="21">
        <v>1</v>
      </c>
      <c r="G13" s="21" t="s">
        <v>39</v>
      </c>
      <c r="H13" s="21"/>
      <c r="I13" s="21" t="s">
        <v>90</v>
      </c>
      <c r="J13" s="21"/>
      <c r="K13" s="21" t="s">
        <v>94</v>
      </c>
      <c r="L13" s="21" t="s">
        <v>95</v>
      </c>
      <c r="M13" s="21" t="s">
        <v>69</v>
      </c>
      <c r="N13" s="21" t="s">
        <v>96</v>
      </c>
    </row>
    <row r="14" spans="1:14" ht="36" customHeight="1">
      <c r="A14" s="22">
        <v>46267</v>
      </c>
      <c r="B14" s="21" t="s">
        <v>18</v>
      </c>
      <c r="C14" s="21" t="s">
        <v>97</v>
      </c>
      <c r="D14" s="21" t="s">
        <v>98</v>
      </c>
      <c r="E14" s="21" t="s">
        <v>99</v>
      </c>
      <c r="F14" s="21">
        <v>1</v>
      </c>
      <c r="G14" s="21" t="s">
        <v>65</v>
      </c>
      <c r="H14" s="21"/>
      <c r="I14" s="21" t="s">
        <v>78</v>
      </c>
      <c r="J14" s="21" t="s">
        <v>100</v>
      </c>
      <c r="K14" s="21" t="s">
        <v>67</v>
      </c>
      <c r="L14" s="21" t="s">
        <v>101</v>
      </c>
      <c r="M14" s="21" t="s">
        <v>92</v>
      </c>
      <c r="N14" s="21"/>
    </row>
    <row r="15" spans="1:14" ht="36" customHeight="1">
      <c r="A15" s="22">
        <v>46268</v>
      </c>
      <c r="B15" s="21" t="s">
        <v>18</v>
      </c>
      <c r="C15" s="21" t="s">
        <v>102</v>
      </c>
      <c r="D15" s="21" t="s">
        <v>103</v>
      </c>
      <c r="E15" s="21" t="s">
        <v>104</v>
      </c>
      <c r="F15" s="21">
        <v>1</v>
      </c>
      <c r="G15" s="21" t="s">
        <v>39</v>
      </c>
      <c r="H15" s="21"/>
      <c r="I15" s="21" t="s">
        <v>105</v>
      </c>
      <c r="J15" s="21"/>
      <c r="K15" s="21" t="s">
        <v>106</v>
      </c>
      <c r="L15" s="21" t="s">
        <v>107</v>
      </c>
      <c r="M15" s="21" t="s">
        <v>69</v>
      </c>
      <c r="N15" s="21" t="s">
        <v>108</v>
      </c>
    </row>
    <row r="16" spans="1:14" ht="36" customHeight="1">
      <c r="A16" s="22">
        <v>46268</v>
      </c>
      <c r="B16" s="21" t="s">
        <v>18</v>
      </c>
      <c r="C16" s="21" t="s">
        <v>102</v>
      </c>
      <c r="D16" s="21" t="s">
        <v>103</v>
      </c>
      <c r="E16" s="21" t="s">
        <v>109</v>
      </c>
      <c r="F16" s="21">
        <v>1</v>
      </c>
      <c r="G16" s="21" t="s">
        <v>39</v>
      </c>
      <c r="H16" s="21"/>
      <c r="I16" s="21" t="s">
        <v>110</v>
      </c>
      <c r="J16" s="21"/>
      <c r="K16" s="21"/>
      <c r="L16" s="21" t="s">
        <v>111</v>
      </c>
      <c r="M16" s="21" t="s">
        <v>69</v>
      </c>
      <c r="N16" s="21" t="s">
        <v>108</v>
      </c>
    </row>
    <row r="17" spans="1:14" ht="36" customHeight="1">
      <c r="A17" s="22">
        <v>46268</v>
      </c>
      <c r="B17" s="21" t="s">
        <v>18</v>
      </c>
      <c r="C17" s="21" t="s">
        <v>102</v>
      </c>
      <c r="D17" s="21" t="s">
        <v>103</v>
      </c>
      <c r="E17" s="21" t="s">
        <v>112</v>
      </c>
      <c r="F17" s="21">
        <v>1</v>
      </c>
      <c r="G17" s="21" t="s">
        <v>113</v>
      </c>
      <c r="H17" s="21" t="s">
        <v>114</v>
      </c>
      <c r="I17" s="21" t="s">
        <v>110</v>
      </c>
      <c r="J17" s="21"/>
      <c r="K17" s="21" t="s">
        <v>115</v>
      </c>
      <c r="L17" s="21" t="s">
        <v>116</v>
      </c>
      <c r="M17" s="21" t="s">
        <v>69</v>
      </c>
      <c r="N17" s="21" t="s">
        <v>108</v>
      </c>
    </row>
    <row r="18" spans="1:14" ht="36" customHeight="1">
      <c r="A18" s="22">
        <v>46268</v>
      </c>
      <c r="B18" s="21" t="s">
        <v>18</v>
      </c>
      <c r="C18" s="21" t="s">
        <v>81</v>
      </c>
      <c r="D18" s="21" t="s">
        <v>82</v>
      </c>
      <c r="E18" s="21" t="s">
        <v>117</v>
      </c>
      <c r="F18" s="21">
        <v>1</v>
      </c>
      <c r="G18" s="21" t="s">
        <v>39</v>
      </c>
      <c r="H18" s="21"/>
      <c r="I18" s="21" t="s">
        <v>118</v>
      </c>
      <c r="J18" s="21"/>
      <c r="K18" s="21"/>
      <c r="L18" s="21" t="s">
        <v>119</v>
      </c>
      <c r="M18" s="21" t="s">
        <v>69</v>
      </c>
      <c r="N18" s="21" t="s">
        <v>96</v>
      </c>
    </row>
    <row r="19" spans="1:14" ht="36" customHeight="1">
      <c r="A19" s="22">
        <v>46268</v>
      </c>
      <c r="B19" s="21" t="s">
        <v>18</v>
      </c>
      <c r="C19" s="21" t="s">
        <v>81</v>
      </c>
      <c r="D19" s="21" t="s">
        <v>82</v>
      </c>
      <c r="E19" s="21" t="s">
        <v>120</v>
      </c>
      <c r="F19" s="21">
        <v>1</v>
      </c>
      <c r="G19" s="21" t="s">
        <v>39</v>
      </c>
      <c r="H19" s="21"/>
      <c r="I19" s="21" t="s">
        <v>121</v>
      </c>
      <c r="J19" s="21"/>
      <c r="K19" s="21" t="s">
        <v>122</v>
      </c>
      <c r="L19" s="21" t="s">
        <v>123</v>
      </c>
      <c r="M19" s="21" t="s">
        <v>69</v>
      </c>
      <c r="N19" s="21" t="s">
        <v>96</v>
      </c>
    </row>
    <row r="20" spans="1:14" ht="36" customHeight="1">
      <c r="A20" s="22">
        <v>46268</v>
      </c>
      <c r="B20" s="21" t="s">
        <v>18</v>
      </c>
      <c r="C20" s="21" t="s">
        <v>81</v>
      </c>
      <c r="D20" s="21" t="s">
        <v>82</v>
      </c>
      <c r="E20" s="21" t="s">
        <v>124</v>
      </c>
      <c r="F20" s="21">
        <v>1</v>
      </c>
      <c r="G20" s="21" t="s">
        <v>125</v>
      </c>
      <c r="H20" s="21" t="s">
        <v>126</v>
      </c>
      <c r="I20" s="21" t="s">
        <v>127</v>
      </c>
      <c r="J20" s="21"/>
      <c r="K20" s="21" t="s">
        <v>122</v>
      </c>
      <c r="L20" s="21" t="s">
        <v>128</v>
      </c>
      <c r="M20" s="21" t="s">
        <v>69</v>
      </c>
      <c r="N20" s="21" t="s">
        <v>96</v>
      </c>
    </row>
    <row r="21" spans="1:14" ht="36" customHeight="1">
      <c r="A21" s="22">
        <v>46268</v>
      </c>
      <c r="B21" s="21" t="s">
        <v>18</v>
      </c>
      <c r="C21" s="21" t="s">
        <v>81</v>
      </c>
      <c r="D21" s="21" t="s">
        <v>82</v>
      </c>
      <c r="E21" s="21" t="s">
        <v>129</v>
      </c>
      <c r="F21" s="21">
        <v>1</v>
      </c>
      <c r="G21" s="21" t="s">
        <v>125</v>
      </c>
      <c r="H21" s="21" t="s">
        <v>126</v>
      </c>
      <c r="I21" s="21" t="s">
        <v>130</v>
      </c>
      <c r="J21" s="21"/>
      <c r="K21" s="21" t="s">
        <v>122</v>
      </c>
      <c r="L21" s="21" t="s">
        <v>128</v>
      </c>
      <c r="M21" s="21" t="s">
        <v>69</v>
      </c>
      <c r="N21" s="21" t="s">
        <v>96</v>
      </c>
    </row>
    <row r="22" spans="1:14" ht="36" customHeight="1">
      <c r="A22" s="22">
        <v>46268</v>
      </c>
      <c r="B22" s="21" t="s">
        <v>18</v>
      </c>
      <c r="C22" s="21" t="s">
        <v>81</v>
      </c>
      <c r="D22" s="21" t="s">
        <v>82</v>
      </c>
      <c r="E22" s="21" t="s">
        <v>131</v>
      </c>
      <c r="F22" s="21">
        <v>1</v>
      </c>
      <c r="G22" s="21" t="s">
        <v>125</v>
      </c>
      <c r="H22" s="21" t="s">
        <v>126</v>
      </c>
      <c r="I22" s="21" t="s">
        <v>127</v>
      </c>
      <c r="J22" s="21"/>
      <c r="K22" s="21" t="s">
        <v>122</v>
      </c>
      <c r="L22" s="21" t="s">
        <v>128</v>
      </c>
      <c r="M22" s="21" t="s">
        <v>69</v>
      </c>
      <c r="N22" s="21" t="s">
        <v>96</v>
      </c>
    </row>
    <row r="23" spans="1:14" ht="36" customHeight="1">
      <c r="A23" s="22">
        <v>46268</v>
      </c>
      <c r="B23" s="21" t="s">
        <v>18</v>
      </c>
      <c r="C23" s="21" t="s">
        <v>81</v>
      </c>
      <c r="D23" s="21" t="s">
        <v>82</v>
      </c>
      <c r="E23" s="21" t="s">
        <v>132</v>
      </c>
      <c r="F23" s="21">
        <v>1</v>
      </c>
      <c r="G23" s="21" t="s">
        <v>113</v>
      </c>
      <c r="H23" s="21" t="s">
        <v>114</v>
      </c>
      <c r="I23" s="21" t="s">
        <v>133</v>
      </c>
      <c r="J23" s="21"/>
      <c r="K23" s="21" t="s">
        <v>122</v>
      </c>
      <c r="L23" s="21" t="s">
        <v>134</v>
      </c>
      <c r="M23" s="21" t="s">
        <v>69</v>
      </c>
      <c r="N23" s="21" t="s">
        <v>96</v>
      </c>
    </row>
    <row r="24" spans="1:14" ht="36" customHeight="1">
      <c r="A24" s="22">
        <v>46268</v>
      </c>
      <c r="B24" s="21" t="s">
        <v>18</v>
      </c>
      <c r="C24" s="21" t="s">
        <v>81</v>
      </c>
      <c r="D24" s="21" t="s">
        <v>82</v>
      </c>
      <c r="E24" s="21" t="s">
        <v>135</v>
      </c>
      <c r="F24" s="21">
        <v>1</v>
      </c>
      <c r="G24" s="21" t="s">
        <v>113</v>
      </c>
      <c r="H24" s="21" t="s">
        <v>114</v>
      </c>
      <c r="I24" s="21" t="s">
        <v>136</v>
      </c>
      <c r="J24" s="21"/>
      <c r="K24" s="21" t="s">
        <v>122</v>
      </c>
      <c r="L24" s="21" t="s">
        <v>134</v>
      </c>
      <c r="M24" s="21" t="s">
        <v>69</v>
      </c>
      <c r="N24" s="21" t="s">
        <v>96</v>
      </c>
    </row>
    <row r="25" spans="1:14" ht="36" customHeight="1">
      <c r="A25" s="22">
        <v>46268</v>
      </c>
      <c r="B25" s="21" t="s">
        <v>18</v>
      </c>
      <c r="C25" s="21" t="s">
        <v>81</v>
      </c>
      <c r="D25" s="21" t="s">
        <v>82</v>
      </c>
      <c r="E25" s="21" t="s">
        <v>137</v>
      </c>
      <c r="F25" s="21">
        <v>1</v>
      </c>
      <c r="G25" s="21" t="s">
        <v>113</v>
      </c>
      <c r="H25" s="21" t="s">
        <v>114</v>
      </c>
      <c r="I25" s="21" t="s">
        <v>136</v>
      </c>
      <c r="J25" s="21"/>
      <c r="K25" s="21" t="s">
        <v>122</v>
      </c>
      <c r="L25" s="21" t="s">
        <v>134</v>
      </c>
      <c r="M25" s="21" t="s">
        <v>69</v>
      </c>
      <c r="N25" s="21" t="s">
        <v>96</v>
      </c>
    </row>
    <row r="26" spans="1:14" ht="36" customHeight="1">
      <c r="A26" s="22">
        <v>46268</v>
      </c>
      <c r="B26" s="21" t="s">
        <v>18</v>
      </c>
      <c r="C26" s="21" t="s">
        <v>81</v>
      </c>
      <c r="D26" s="21" t="s">
        <v>82</v>
      </c>
      <c r="E26" s="21" t="s">
        <v>138</v>
      </c>
      <c r="F26" s="21">
        <v>1</v>
      </c>
      <c r="G26" s="21" t="s">
        <v>113</v>
      </c>
      <c r="H26" s="21" t="s">
        <v>114</v>
      </c>
      <c r="I26" s="21" t="s">
        <v>136</v>
      </c>
      <c r="J26" s="21"/>
      <c r="K26" s="21" t="s">
        <v>122</v>
      </c>
      <c r="L26" s="21" t="s">
        <v>134</v>
      </c>
      <c r="M26" s="21" t="s">
        <v>69</v>
      </c>
      <c r="N26" s="21" t="s">
        <v>96</v>
      </c>
    </row>
    <row r="27" spans="1:14" ht="36" customHeight="1">
      <c r="A27" s="22">
        <v>46268</v>
      </c>
      <c r="B27" s="21" t="s">
        <v>18</v>
      </c>
      <c r="C27" s="21" t="s">
        <v>81</v>
      </c>
      <c r="D27" s="21" t="s">
        <v>82</v>
      </c>
      <c r="E27" s="21" t="s">
        <v>139</v>
      </c>
      <c r="F27" s="21">
        <v>1</v>
      </c>
      <c r="G27" s="21" t="s">
        <v>113</v>
      </c>
      <c r="H27" s="21" t="s">
        <v>114</v>
      </c>
      <c r="I27" s="21" t="s">
        <v>67</v>
      </c>
      <c r="J27" s="21"/>
      <c r="K27" s="21" t="s">
        <v>78</v>
      </c>
      <c r="L27" s="21" t="s">
        <v>134</v>
      </c>
      <c r="M27" s="21" t="s">
        <v>69</v>
      </c>
      <c r="N27" s="21" t="s">
        <v>96</v>
      </c>
    </row>
    <row r="28" spans="1:14" ht="36" customHeight="1">
      <c r="A28" s="22">
        <v>46268</v>
      </c>
      <c r="B28" s="21" t="s">
        <v>18</v>
      </c>
      <c r="C28" s="21" t="s">
        <v>81</v>
      </c>
      <c r="D28" s="21" t="s">
        <v>82</v>
      </c>
      <c r="E28" s="21" t="s">
        <v>140</v>
      </c>
      <c r="F28" s="21">
        <v>1</v>
      </c>
      <c r="G28" s="21" t="s">
        <v>39</v>
      </c>
      <c r="H28" s="21"/>
      <c r="I28" s="21" t="s">
        <v>141</v>
      </c>
      <c r="J28" s="21"/>
      <c r="K28" s="21" t="s">
        <v>122</v>
      </c>
      <c r="L28" s="21" t="s">
        <v>142</v>
      </c>
      <c r="M28" s="21" t="s">
        <v>69</v>
      </c>
      <c r="N28" s="21" t="s">
        <v>143</v>
      </c>
    </row>
    <row r="29" spans="1:14" ht="36" customHeight="1">
      <c r="A29" s="22">
        <v>46268</v>
      </c>
      <c r="B29" s="21" t="s">
        <v>18</v>
      </c>
      <c r="C29" s="21" t="s">
        <v>81</v>
      </c>
      <c r="D29" s="21" t="s">
        <v>82</v>
      </c>
      <c r="E29" s="21" t="s">
        <v>144</v>
      </c>
      <c r="F29" s="21">
        <v>1</v>
      </c>
      <c r="G29" s="21" t="s">
        <v>145</v>
      </c>
      <c r="H29" s="21" t="s">
        <v>146</v>
      </c>
      <c r="I29" s="21" t="s">
        <v>147</v>
      </c>
      <c r="J29" s="21"/>
      <c r="K29" s="21" t="s">
        <v>122</v>
      </c>
      <c r="L29" s="21" t="s">
        <v>148</v>
      </c>
      <c r="M29" s="21" t="s">
        <v>69</v>
      </c>
      <c r="N29" s="21" t="s">
        <v>143</v>
      </c>
    </row>
    <row r="30" spans="1:14" ht="36" customHeight="1">
      <c r="A30" s="22">
        <v>46268</v>
      </c>
      <c r="B30" s="21" t="s">
        <v>18</v>
      </c>
      <c r="C30" s="21" t="s">
        <v>81</v>
      </c>
      <c r="D30" s="21" t="s">
        <v>82</v>
      </c>
      <c r="E30" s="21" t="s">
        <v>149</v>
      </c>
      <c r="F30" s="21">
        <v>1</v>
      </c>
      <c r="G30" s="21" t="s">
        <v>125</v>
      </c>
      <c r="H30" s="21" t="s">
        <v>126</v>
      </c>
      <c r="I30" s="21" t="s">
        <v>67</v>
      </c>
      <c r="J30" s="21"/>
      <c r="K30" s="21" t="s">
        <v>78</v>
      </c>
      <c r="L30" s="21" t="s">
        <v>150</v>
      </c>
      <c r="M30" s="21" t="s">
        <v>69</v>
      </c>
      <c r="N30" s="21" t="s">
        <v>80</v>
      </c>
    </row>
    <row r="31" spans="1:14" ht="36" customHeight="1">
      <c r="A31" s="22">
        <v>46268</v>
      </c>
      <c r="B31" s="21" t="s">
        <v>18</v>
      </c>
      <c r="C31" s="21" t="s">
        <v>81</v>
      </c>
      <c r="D31" s="21" t="s">
        <v>82</v>
      </c>
      <c r="E31" s="21" t="s">
        <v>151</v>
      </c>
      <c r="F31" s="21">
        <v>1</v>
      </c>
      <c r="G31" s="21" t="s">
        <v>113</v>
      </c>
      <c r="H31" s="21" t="s">
        <v>114</v>
      </c>
      <c r="I31" s="21" t="s">
        <v>67</v>
      </c>
      <c r="J31" s="21"/>
      <c r="K31" s="21" t="s">
        <v>78</v>
      </c>
      <c r="L31" s="21" t="s">
        <v>152</v>
      </c>
      <c r="M31" s="21" t="s">
        <v>69</v>
      </c>
      <c r="N31" s="21" t="s">
        <v>96</v>
      </c>
    </row>
    <row r="32" spans="1:14" ht="36" customHeight="1">
      <c r="A32" s="22">
        <v>46268</v>
      </c>
      <c r="B32" s="21" t="s">
        <v>18</v>
      </c>
      <c r="C32" s="21" t="s">
        <v>81</v>
      </c>
      <c r="D32" s="21" t="s">
        <v>82</v>
      </c>
      <c r="E32" s="21" t="s">
        <v>153</v>
      </c>
      <c r="F32" s="21">
        <v>1</v>
      </c>
      <c r="G32" s="21" t="s">
        <v>125</v>
      </c>
      <c r="H32" s="21" t="s">
        <v>126</v>
      </c>
      <c r="I32" s="21" t="s">
        <v>67</v>
      </c>
      <c r="J32" s="21" t="s">
        <v>154</v>
      </c>
      <c r="K32" s="21" t="s">
        <v>78</v>
      </c>
      <c r="L32" s="21" t="s">
        <v>155</v>
      </c>
      <c r="M32" s="21" t="s">
        <v>92</v>
      </c>
      <c r="N32" s="21"/>
    </row>
    <row r="33" spans="1:14" ht="36" customHeight="1">
      <c r="A33" s="22">
        <v>46268</v>
      </c>
      <c r="B33" s="21" t="s">
        <v>18</v>
      </c>
      <c r="C33" s="21" t="s">
        <v>81</v>
      </c>
      <c r="D33" s="21" t="s">
        <v>82</v>
      </c>
      <c r="E33" s="21" t="s">
        <v>156</v>
      </c>
      <c r="F33" s="21">
        <v>1</v>
      </c>
      <c r="G33" s="21" t="s">
        <v>125</v>
      </c>
      <c r="H33" s="21" t="s">
        <v>126</v>
      </c>
      <c r="I33" s="21" t="s">
        <v>67</v>
      </c>
      <c r="J33" s="21"/>
      <c r="K33" s="21" t="s">
        <v>78</v>
      </c>
      <c r="L33" s="21" t="s">
        <v>157</v>
      </c>
      <c r="M33" s="21" t="s">
        <v>69</v>
      </c>
      <c r="N33" s="21" t="s">
        <v>80</v>
      </c>
    </row>
    <row r="34" spans="1:14" ht="36" customHeight="1">
      <c r="A34" s="22">
        <v>46268</v>
      </c>
      <c r="B34" s="21" t="s">
        <v>18</v>
      </c>
      <c r="C34" s="21" t="s">
        <v>87</v>
      </c>
      <c r="D34" s="21" t="s">
        <v>88</v>
      </c>
      <c r="E34" s="21" t="s">
        <v>158</v>
      </c>
      <c r="F34" s="21">
        <v>1</v>
      </c>
      <c r="G34" s="21" t="s">
        <v>39</v>
      </c>
      <c r="H34" s="21"/>
      <c r="I34" s="21" t="s">
        <v>67</v>
      </c>
      <c r="J34" s="21" t="s">
        <v>159</v>
      </c>
      <c r="K34" s="21"/>
      <c r="L34" s="21" t="s">
        <v>160</v>
      </c>
      <c r="M34" s="21" t="s">
        <v>92</v>
      </c>
      <c r="N34" s="21"/>
    </row>
    <row r="35" spans="1:14" ht="36" customHeight="1">
      <c r="A35" s="22">
        <v>46268</v>
      </c>
      <c r="B35" s="21" t="s">
        <v>18</v>
      </c>
      <c r="C35" s="21" t="s">
        <v>81</v>
      </c>
      <c r="D35" s="21" t="s">
        <v>161</v>
      </c>
      <c r="E35" s="21" t="s">
        <v>162</v>
      </c>
      <c r="F35" s="21">
        <v>1</v>
      </c>
      <c r="G35" s="21" t="s">
        <v>39</v>
      </c>
      <c r="H35" s="21"/>
      <c r="I35" s="21" t="s">
        <v>67</v>
      </c>
      <c r="J35" s="21" t="s">
        <v>163</v>
      </c>
      <c r="K35" s="21" t="s">
        <v>78</v>
      </c>
      <c r="L35" s="21" t="s">
        <v>164</v>
      </c>
      <c r="M35" s="21" t="s">
        <v>38</v>
      </c>
      <c r="N35" s="21"/>
    </row>
    <row r="36" spans="1:14" ht="36" customHeight="1">
      <c r="A36" s="22">
        <v>46268</v>
      </c>
      <c r="B36" s="21" t="s">
        <v>18</v>
      </c>
      <c r="C36" s="21" t="s">
        <v>81</v>
      </c>
      <c r="D36" s="21" t="s">
        <v>98</v>
      </c>
      <c r="E36" s="21" t="s">
        <v>165</v>
      </c>
      <c r="F36" s="21">
        <v>1</v>
      </c>
      <c r="G36" s="21" t="s">
        <v>65</v>
      </c>
      <c r="H36" s="21"/>
      <c r="I36" s="21" t="s">
        <v>66</v>
      </c>
      <c r="J36" s="21"/>
      <c r="K36" s="21" t="s">
        <v>166</v>
      </c>
      <c r="L36" s="21" t="s">
        <v>167</v>
      </c>
      <c r="M36" s="21" t="s">
        <v>38</v>
      </c>
      <c r="N36" s="21"/>
    </row>
    <row r="37" spans="1:14" ht="36" customHeight="1">
      <c r="A37" s="22">
        <v>46268</v>
      </c>
      <c r="B37" s="21" t="s">
        <v>18</v>
      </c>
      <c r="C37" s="21" t="s">
        <v>81</v>
      </c>
      <c r="D37" s="21" t="s">
        <v>98</v>
      </c>
      <c r="E37" s="21" t="s">
        <v>168</v>
      </c>
      <c r="F37" s="21">
        <v>1</v>
      </c>
      <c r="G37" s="21" t="s">
        <v>65</v>
      </c>
      <c r="H37" s="21"/>
      <c r="I37" s="21" t="s">
        <v>169</v>
      </c>
      <c r="J37" s="21"/>
      <c r="K37" s="21" t="s">
        <v>40</v>
      </c>
      <c r="L37" s="21" t="s">
        <v>170</v>
      </c>
      <c r="M37" s="21" t="s">
        <v>38</v>
      </c>
      <c r="N37" s="21"/>
    </row>
    <row r="38" spans="1:14" ht="36" customHeight="1">
      <c r="A38" s="22">
        <v>46269</v>
      </c>
      <c r="B38" s="21" t="s">
        <v>18</v>
      </c>
      <c r="C38" s="21" t="s">
        <v>74</v>
      </c>
      <c r="D38" s="21" t="s">
        <v>75</v>
      </c>
      <c r="E38" s="21" t="s">
        <v>171</v>
      </c>
      <c r="F38" s="21">
        <v>1</v>
      </c>
      <c r="G38" s="21" t="s">
        <v>172</v>
      </c>
      <c r="H38" s="21" t="s">
        <v>173</v>
      </c>
      <c r="I38" s="21" t="s">
        <v>174</v>
      </c>
      <c r="J38" s="21"/>
      <c r="K38" s="21" t="s">
        <v>175</v>
      </c>
      <c r="L38" s="21" t="s">
        <v>176</v>
      </c>
      <c r="M38" s="21" t="s">
        <v>38</v>
      </c>
      <c r="N38" s="21"/>
    </row>
    <row r="39" spans="1:14" ht="36" customHeight="1">
      <c r="A39" s="22">
        <v>46269</v>
      </c>
      <c r="B39" s="21" t="s">
        <v>18</v>
      </c>
      <c r="C39" s="21" t="s">
        <v>74</v>
      </c>
      <c r="D39" s="21" t="s">
        <v>75</v>
      </c>
      <c r="E39" s="21" t="s">
        <v>177</v>
      </c>
      <c r="F39" s="21">
        <v>1</v>
      </c>
      <c r="G39" s="21"/>
      <c r="H39" s="21" t="s">
        <v>173</v>
      </c>
      <c r="I39" s="21" t="s">
        <v>178</v>
      </c>
      <c r="J39" s="21"/>
      <c r="K39" s="21"/>
      <c r="L39" s="21" t="s">
        <v>179</v>
      </c>
      <c r="M39" s="21" t="s">
        <v>69</v>
      </c>
      <c r="N39" s="21" t="s">
        <v>143</v>
      </c>
    </row>
    <row r="40" spans="1:14" ht="36" customHeight="1">
      <c r="A40" s="22">
        <v>46269</v>
      </c>
      <c r="B40" s="21" t="s">
        <v>18</v>
      </c>
      <c r="C40" s="21" t="s">
        <v>74</v>
      </c>
      <c r="D40" s="21" t="s">
        <v>75</v>
      </c>
      <c r="E40" s="21" t="s">
        <v>180</v>
      </c>
      <c r="F40" s="21">
        <v>1</v>
      </c>
      <c r="G40" s="21" t="s">
        <v>172</v>
      </c>
      <c r="H40" s="21" t="s">
        <v>173</v>
      </c>
      <c r="I40" s="21" t="s">
        <v>181</v>
      </c>
      <c r="J40" s="21"/>
      <c r="K40" s="21" t="s">
        <v>175</v>
      </c>
      <c r="L40" s="21" t="s">
        <v>182</v>
      </c>
      <c r="M40" s="21" t="s">
        <v>69</v>
      </c>
      <c r="N40" s="21" t="s">
        <v>183</v>
      </c>
    </row>
    <row r="41" spans="1:14" ht="36" customHeight="1">
      <c r="A41" s="22">
        <v>46269</v>
      </c>
      <c r="B41" s="21" t="s">
        <v>18</v>
      </c>
      <c r="C41" s="21" t="s">
        <v>74</v>
      </c>
      <c r="D41" s="21" t="s">
        <v>75</v>
      </c>
      <c r="E41" s="21" t="s">
        <v>184</v>
      </c>
      <c r="F41" s="21">
        <v>1</v>
      </c>
      <c r="G41" s="21" t="s">
        <v>172</v>
      </c>
      <c r="H41" s="21" t="s">
        <v>173</v>
      </c>
      <c r="I41" s="21" t="s">
        <v>181</v>
      </c>
      <c r="J41" s="21"/>
      <c r="K41" s="21" t="s">
        <v>175</v>
      </c>
      <c r="L41" s="21" t="s">
        <v>185</v>
      </c>
      <c r="M41" s="21" t="s">
        <v>69</v>
      </c>
      <c r="N41" s="21" t="s">
        <v>183</v>
      </c>
    </row>
    <row r="42" spans="1:14" ht="36" customHeight="1">
      <c r="A42" s="22">
        <v>46269</v>
      </c>
      <c r="B42" s="21" t="s">
        <v>18</v>
      </c>
      <c r="C42" s="21" t="s">
        <v>74</v>
      </c>
      <c r="D42" s="21" t="s">
        <v>75</v>
      </c>
      <c r="E42" s="21" t="s">
        <v>186</v>
      </c>
      <c r="F42" s="21">
        <v>1</v>
      </c>
      <c r="G42" s="21" t="s">
        <v>172</v>
      </c>
      <c r="H42" s="21" t="s">
        <v>173</v>
      </c>
      <c r="I42" s="21" t="s">
        <v>187</v>
      </c>
      <c r="J42" s="21"/>
      <c r="K42" s="21" t="s">
        <v>175</v>
      </c>
      <c r="L42" s="21" t="s">
        <v>188</v>
      </c>
      <c r="M42" s="21" t="s">
        <v>69</v>
      </c>
      <c r="N42" s="21" t="s">
        <v>183</v>
      </c>
    </row>
    <row r="43" spans="1:14" ht="36" customHeight="1">
      <c r="A43" s="22">
        <v>46269</v>
      </c>
      <c r="B43" s="21" t="s">
        <v>18</v>
      </c>
      <c r="C43" s="21" t="s">
        <v>81</v>
      </c>
      <c r="D43" s="21" t="s">
        <v>82</v>
      </c>
      <c r="E43" s="21" t="s">
        <v>189</v>
      </c>
      <c r="F43" s="21">
        <v>1</v>
      </c>
      <c r="G43" s="21"/>
      <c r="H43" s="21"/>
      <c r="I43" s="21" t="s">
        <v>190</v>
      </c>
      <c r="J43" s="21"/>
      <c r="K43" s="21" t="s">
        <v>191</v>
      </c>
      <c r="L43" s="21" t="s">
        <v>192</v>
      </c>
      <c r="M43" s="21" t="s">
        <v>92</v>
      </c>
      <c r="N43" s="21"/>
    </row>
    <row r="44" spans="1:14" ht="36" customHeight="1">
      <c r="A44" s="22">
        <v>46269</v>
      </c>
      <c r="B44" s="21" t="s">
        <v>18</v>
      </c>
      <c r="C44" s="21" t="s">
        <v>62</v>
      </c>
      <c r="D44" s="21" t="s">
        <v>161</v>
      </c>
      <c r="E44" s="21" t="s">
        <v>193</v>
      </c>
      <c r="F44" s="21">
        <v>1</v>
      </c>
      <c r="G44" s="21" t="s">
        <v>65</v>
      </c>
      <c r="H44" s="21"/>
      <c r="I44" s="21" t="s">
        <v>194</v>
      </c>
      <c r="J44" s="21"/>
      <c r="K44" s="21" t="s">
        <v>122</v>
      </c>
      <c r="L44" s="21" t="s">
        <v>195</v>
      </c>
      <c r="M44" s="21" t="s">
        <v>69</v>
      </c>
      <c r="N44" s="21" t="s">
        <v>143</v>
      </c>
    </row>
    <row r="45" spans="1:14" ht="36" customHeight="1">
      <c r="A45" s="22">
        <v>46269</v>
      </c>
      <c r="B45" s="21" t="s">
        <v>18</v>
      </c>
      <c r="C45" s="21" t="s">
        <v>97</v>
      </c>
      <c r="D45" s="21" t="s">
        <v>98</v>
      </c>
      <c r="E45" s="21" t="s">
        <v>196</v>
      </c>
      <c r="F45" s="21">
        <v>1</v>
      </c>
      <c r="G45" s="21" t="s">
        <v>197</v>
      </c>
      <c r="H45" s="21" t="s">
        <v>198</v>
      </c>
      <c r="I45" s="21" t="s">
        <v>199</v>
      </c>
      <c r="J45" s="21"/>
      <c r="K45" s="21" t="s">
        <v>200</v>
      </c>
      <c r="L45" s="21" t="s">
        <v>201</v>
      </c>
      <c r="M45" s="21" t="s">
        <v>38</v>
      </c>
      <c r="N45" s="21"/>
    </row>
    <row r="46" spans="1:14" ht="36" customHeight="1">
      <c r="A46" s="22">
        <v>46269</v>
      </c>
      <c r="B46" s="21" t="s">
        <v>18</v>
      </c>
      <c r="C46" s="21" t="s">
        <v>97</v>
      </c>
      <c r="D46" s="21" t="s">
        <v>98</v>
      </c>
      <c r="E46" s="21" t="s">
        <v>202</v>
      </c>
      <c r="F46" s="21">
        <v>1</v>
      </c>
      <c r="G46" s="21" t="s">
        <v>172</v>
      </c>
      <c r="H46" s="21" t="s">
        <v>203</v>
      </c>
      <c r="I46" s="21" t="s">
        <v>204</v>
      </c>
      <c r="J46" s="21" t="s">
        <v>205</v>
      </c>
      <c r="K46" s="21" t="s">
        <v>206</v>
      </c>
      <c r="L46" s="21" t="s">
        <v>207</v>
      </c>
      <c r="M46" s="21" t="s">
        <v>69</v>
      </c>
      <c r="N46" s="21" t="s">
        <v>143</v>
      </c>
    </row>
    <row r="47" spans="1:14" ht="36" customHeight="1">
      <c r="A47" s="22">
        <v>46269</v>
      </c>
      <c r="B47" s="21" t="s">
        <v>18</v>
      </c>
      <c r="C47" s="21" t="s">
        <v>97</v>
      </c>
      <c r="D47" s="21" t="s">
        <v>98</v>
      </c>
      <c r="E47" s="21" t="s">
        <v>208</v>
      </c>
      <c r="F47" s="21">
        <v>1</v>
      </c>
      <c r="G47" s="21" t="s">
        <v>209</v>
      </c>
      <c r="H47" s="21"/>
      <c r="I47" s="21" t="s">
        <v>66</v>
      </c>
      <c r="J47" s="21"/>
      <c r="K47" s="21" t="s">
        <v>210</v>
      </c>
      <c r="L47" s="21" t="s">
        <v>211</v>
      </c>
      <c r="M47" s="21" t="s">
        <v>92</v>
      </c>
      <c r="N47" s="21"/>
    </row>
    <row r="48" spans="1:14" ht="36" customHeight="1">
      <c r="A48" s="22">
        <v>46270</v>
      </c>
      <c r="B48" s="21" t="s">
        <v>18</v>
      </c>
      <c r="C48" s="21" t="s">
        <v>74</v>
      </c>
      <c r="D48" s="21" t="s">
        <v>75</v>
      </c>
      <c r="E48" s="21" t="s">
        <v>212</v>
      </c>
      <c r="F48" s="21">
        <v>1</v>
      </c>
      <c r="G48" s="21" t="s">
        <v>213</v>
      </c>
      <c r="H48" s="21" t="s">
        <v>214</v>
      </c>
      <c r="I48" s="21" t="s">
        <v>215</v>
      </c>
      <c r="J48" s="21"/>
      <c r="K48" s="21"/>
      <c r="L48" s="21" t="s">
        <v>216</v>
      </c>
      <c r="M48" s="21" t="s">
        <v>69</v>
      </c>
      <c r="N48" s="21" t="s">
        <v>217</v>
      </c>
    </row>
    <row r="49" spans="1:14" ht="36" customHeight="1">
      <c r="A49" s="22">
        <v>46270</v>
      </c>
      <c r="B49" s="21" t="s">
        <v>18</v>
      </c>
      <c r="C49" s="21" t="s">
        <v>74</v>
      </c>
      <c r="D49" s="21" t="s">
        <v>75</v>
      </c>
      <c r="E49" s="21" t="s">
        <v>218</v>
      </c>
      <c r="F49" s="21">
        <v>1</v>
      </c>
      <c r="G49" s="21" t="s">
        <v>65</v>
      </c>
      <c r="H49" s="21"/>
      <c r="I49" s="21" t="s">
        <v>219</v>
      </c>
      <c r="J49" s="21"/>
      <c r="K49" s="21" t="s">
        <v>40</v>
      </c>
      <c r="L49" s="21" t="s">
        <v>220</v>
      </c>
      <c r="M49" s="21" t="s">
        <v>69</v>
      </c>
      <c r="N49" s="21" t="s">
        <v>143</v>
      </c>
    </row>
    <row r="50" spans="1:14" ht="36" customHeight="1">
      <c r="A50" s="22">
        <v>46270</v>
      </c>
      <c r="B50" s="21" t="s">
        <v>18</v>
      </c>
      <c r="C50" s="21" t="s">
        <v>74</v>
      </c>
      <c r="D50" s="21" t="s">
        <v>75</v>
      </c>
      <c r="E50" s="21" t="s">
        <v>221</v>
      </c>
      <c r="F50" s="21">
        <v>1</v>
      </c>
      <c r="G50" s="21" t="s">
        <v>65</v>
      </c>
      <c r="H50" s="21"/>
      <c r="I50" s="21" t="s">
        <v>222</v>
      </c>
      <c r="J50" s="21"/>
      <c r="K50" s="21"/>
      <c r="L50" s="21" t="s">
        <v>223</v>
      </c>
      <c r="M50" s="21" t="s">
        <v>69</v>
      </c>
      <c r="N50" s="21" t="s">
        <v>143</v>
      </c>
    </row>
    <row r="51" spans="1:14" ht="36" customHeight="1">
      <c r="A51" s="22">
        <v>46270</v>
      </c>
      <c r="B51" s="21" t="s">
        <v>18</v>
      </c>
      <c r="C51" s="21" t="s">
        <v>81</v>
      </c>
      <c r="D51" s="21" t="s">
        <v>82</v>
      </c>
      <c r="E51" s="21" t="s">
        <v>224</v>
      </c>
      <c r="F51" s="21">
        <v>1</v>
      </c>
      <c r="G51" s="21" t="s">
        <v>65</v>
      </c>
      <c r="H51" s="21"/>
      <c r="I51" s="21" t="s">
        <v>225</v>
      </c>
      <c r="J51" s="21"/>
      <c r="K51" s="21"/>
      <c r="L51" s="21" t="s">
        <v>226</v>
      </c>
      <c r="M51" s="21" t="s">
        <v>38</v>
      </c>
      <c r="N51" s="21"/>
    </row>
    <row r="52" spans="1:14" ht="36" customHeight="1">
      <c r="A52" s="22">
        <v>46270</v>
      </c>
      <c r="B52" s="21" t="s">
        <v>18</v>
      </c>
      <c r="C52" s="21" t="s">
        <v>81</v>
      </c>
      <c r="D52" s="21" t="s">
        <v>82</v>
      </c>
      <c r="E52" s="21" t="s">
        <v>227</v>
      </c>
      <c r="F52" s="21">
        <v>1</v>
      </c>
      <c r="G52" s="21" t="s">
        <v>39</v>
      </c>
      <c r="H52" s="21"/>
      <c r="I52" s="21" t="s">
        <v>228</v>
      </c>
      <c r="J52" s="21"/>
      <c r="K52" s="21"/>
      <c r="L52" s="21" t="s">
        <v>226</v>
      </c>
      <c r="M52" s="21" t="s">
        <v>38</v>
      </c>
      <c r="N52" s="21"/>
    </row>
    <row r="53" spans="1:14" ht="36" customHeight="1">
      <c r="A53" s="22">
        <v>46270</v>
      </c>
      <c r="B53" s="21" t="s">
        <v>18</v>
      </c>
      <c r="C53" s="21" t="s">
        <v>81</v>
      </c>
      <c r="D53" s="21" t="s">
        <v>82</v>
      </c>
      <c r="E53" s="21" t="s">
        <v>229</v>
      </c>
      <c r="F53" s="21">
        <v>1</v>
      </c>
      <c r="G53" s="21" t="s">
        <v>39</v>
      </c>
      <c r="H53" s="21"/>
      <c r="I53" s="21" t="s">
        <v>230</v>
      </c>
      <c r="J53" s="21"/>
      <c r="K53" s="21"/>
      <c r="L53" s="21" t="s">
        <v>226</v>
      </c>
      <c r="M53" s="21" t="s">
        <v>38</v>
      </c>
      <c r="N53" s="21"/>
    </row>
    <row r="54" spans="1:14" ht="36" customHeight="1">
      <c r="A54" s="22">
        <v>46270</v>
      </c>
      <c r="B54" s="21" t="s">
        <v>18</v>
      </c>
      <c r="C54" s="21" t="s">
        <v>81</v>
      </c>
      <c r="D54" s="21" t="s">
        <v>82</v>
      </c>
      <c r="E54" s="21" t="s">
        <v>231</v>
      </c>
      <c r="F54" s="21">
        <v>1</v>
      </c>
      <c r="G54" s="21" t="s">
        <v>65</v>
      </c>
      <c r="H54" s="21"/>
      <c r="I54" s="21" t="s">
        <v>232</v>
      </c>
      <c r="J54" s="21"/>
      <c r="K54" s="21"/>
      <c r="L54" s="21" t="s">
        <v>233</v>
      </c>
      <c r="M54" s="21" t="s">
        <v>38</v>
      </c>
      <c r="N54" s="21"/>
    </row>
    <row r="55" spans="1:14" ht="36" customHeight="1">
      <c r="A55" s="22">
        <v>46270</v>
      </c>
      <c r="B55" s="21" t="s">
        <v>18</v>
      </c>
      <c r="C55" s="21" t="s">
        <v>81</v>
      </c>
      <c r="D55" s="21" t="s">
        <v>82</v>
      </c>
      <c r="E55" s="21" t="s">
        <v>234</v>
      </c>
      <c r="F55" s="21">
        <v>1</v>
      </c>
      <c r="G55" s="21" t="s">
        <v>235</v>
      </c>
      <c r="H55" s="21" t="s">
        <v>236</v>
      </c>
      <c r="I55" s="21" t="s">
        <v>237</v>
      </c>
      <c r="J55" s="21"/>
      <c r="K55" s="21" t="s">
        <v>238</v>
      </c>
      <c r="L55" s="21" t="s">
        <v>239</v>
      </c>
      <c r="M55" s="21" t="s">
        <v>69</v>
      </c>
      <c r="N55" s="21" t="s">
        <v>217</v>
      </c>
    </row>
    <row r="56" spans="1:14" ht="36" customHeight="1">
      <c r="A56" s="22">
        <v>46270</v>
      </c>
      <c r="B56" s="21" t="s">
        <v>18</v>
      </c>
      <c r="C56" s="21" t="s">
        <v>81</v>
      </c>
      <c r="D56" s="21" t="s">
        <v>82</v>
      </c>
      <c r="E56" s="21" t="s">
        <v>240</v>
      </c>
      <c r="F56" s="21">
        <v>1</v>
      </c>
      <c r="G56" s="21" t="s">
        <v>235</v>
      </c>
      <c r="H56" s="21" t="s">
        <v>236</v>
      </c>
      <c r="I56" s="21" t="s">
        <v>237</v>
      </c>
      <c r="J56" s="21"/>
      <c r="K56" s="21" t="s">
        <v>238</v>
      </c>
      <c r="L56" s="21" t="s">
        <v>239</v>
      </c>
      <c r="M56" s="21" t="s">
        <v>69</v>
      </c>
      <c r="N56" s="21" t="s">
        <v>217</v>
      </c>
    </row>
    <row r="57" spans="1:14" ht="36" customHeight="1">
      <c r="A57" s="22">
        <v>46270</v>
      </c>
      <c r="B57" s="21" t="s">
        <v>18</v>
      </c>
      <c r="C57" s="21" t="s">
        <v>81</v>
      </c>
      <c r="D57" s="21" t="s">
        <v>82</v>
      </c>
      <c r="E57" s="21" t="s">
        <v>241</v>
      </c>
      <c r="F57" s="21">
        <v>1</v>
      </c>
      <c r="G57" s="21" t="s">
        <v>235</v>
      </c>
      <c r="H57" s="21" t="s">
        <v>236</v>
      </c>
      <c r="I57" s="21" t="s">
        <v>237</v>
      </c>
      <c r="J57" s="21"/>
      <c r="K57" s="21" t="s">
        <v>238</v>
      </c>
      <c r="L57" s="21" t="s">
        <v>242</v>
      </c>
      <c r="M57" s="21" t="s">
        <v>69</v>
      </c>
      <c r="N57" s="21" t="s">
        <v>217</v>
      </c>
    </row>
    <row r="58" spans="1:14" ht="36" customHeight="1">
      <c r="A58" s="22">
        <v>46270</v>
      </c>
      <c r="B58" s="21" t="s">
        <v>18</v>
      </c>
      <c r="C58" s="21" t="s">
        <v>81</v>
      </c>
      <c r="D58" s="21" t="s">
        <v>82</v>
      </c>
      <c r="E58" s="21" t="s">
        <v>243</v>
      </c>
      <c r="F58" s="21">
        <v>1</v>
      </c>
      <c r="G58" s="21" t="s">
        <v>235</v>
      </c>
      <c r="H58" s="21" t="s">
        <v>236</v>
      </c>
      <c r="I58" s="21" t="s">
        <v>244</v>
      </c>
      <c r="J58" s="21"/>
      <c r="K58" s="21" t="s">
        <v>238</v>
      </c>
      <c r="L58" s="21" t="s">
        <v>245</v>
      </c>
      <c r="M58" s="21" t="s">
        <v>69</v>
      </c>
      <c r="N58" s="21" t="s">
        <v>217</v>
      </c>
    </row>
    <row r="59" spans="1:14" ht="36" customHeight="1">
      <c r="A59" s="22">
        <v>46270</v>
      </c>
      <c r="B59" s="21" t="s">
        <v>18</v>
      </c>
      <c r="C59" s="21" t="s">
        <v>81</v>
      </c>
      <c r="D59" s="21" t="s">
        <v>82</v>
      </c>
      <c r="E59" s="21" t="s">
        <v>246</v>
      </c>
      <c r="F59" s="21">
        <v>1</v>
      </c>
      <c r="G59" s="21" t="s">
        <v>247</v>
      </c>
      <c r="H59" s="21" t="s">
        <v>214</v>
      </c>
      <c r="I59" s="21" t="s">
        <v>248</v>
      </c>
      <c r="J59" s="21"/>
      <c r="K59" s="21" t="s">
        <v>238</v>
      </c>
      <c r="L59" s="21" t="s">
        <v>249</v>
      </c>
      <c r="M59" s="21" t="s">
        <v>69</v>
      </c>
      <c r="N59" s="21" t="s">
        <v>217</v>
      </c>
    </row>
    <row r="60" spans="1:14" ht="36" customHeight="1">
      <c r="A60" s="22">
        <v>46270</v>
      </c>
      <c r="B60" s="21" t="s">
        <v>18</v>
      </c>
      <c r="C60" s="21" t="s">
        <v>87</v>
      </c>
      <c r="D60" s="21" t="s">
        <v>88</v>
      </c>
      <c r="E60" s="21" t="s">
        <v>250</v>
      </c>
      <c r="F60" s="21">
        <v>1</v>
      </c>
      <c r="G60" s="21" t="s">
        <v>65</v>
      </c>
      <c r="H60" s="21"/>
      <c r="I60" s="21" t="s">
        <v>90</v>
      </c>
      <c r="J60" s="21"/>
      <c r="K60" s="21" t="s">
        <v>40</v>
      </c>
      <c r="L60" s="21" t="s">
        <v>251</v>
      </c>
      <c r="M60" s="21" t="s">
        <v>69</v>
      </c>
      <c r="N60" s="21" t="s">
        <v>143</v>
      </c>
    </row>
    <row r="61" spans="1:14" ht="36" customHeight="1">
      <c r="A61" s="22">
        <v>46270</v>
      </c>
      <c r="B61" s="21" t="s">
        <v>18</v>
      </c>
      <c r="C61" s="21" t="s">
        <v>87</v>
      </c>
      <c r="D61" s="21" t="s">
        <v>88</v>
      </c>
      <c r="E61" s="21" t="s">
        <v>252</v>
      </c>
      <c r="F61" s="21">
        <v>1</v>
      </c>
      <c r="G61" s="21" t="s">
        <v>65</v>
      </c>
      <c r="H61" s="21"/>
      <c r="I61" s="21" t="s">
        <v>90</v>
      </c>
      <c r="J61" s="21"/>
      <c r="K61" s="21" t="s">
        <v>40</v>
      </c>
      <c r="L61" s="21" t="s">
        <v>251</v>
      </c>
      <c r="M61" s="21" t="s">
        <v>69</v>
      </c>
      <c r="N61" s="21" t="s">
        <v>143</v>
      </c>
    </row>
    <row r="62" spans="1:14" ht="36" customHeight="1">
      <c r="A62" s="22">
        <v>46270</v>
      </c>
      <c r="B62" s="21" t="s">
        <v>18</v>
      </c>
      <c r="C62" s="21" t="s">
        <v>62</v>
      </c>
      <c r="D62" s="21" t="s">
        <v>63</v>
      </c>
      <c r="E62" s="21" t="s">
        <v>253</v>
      </c>
      <c r="F62" s="21">
        <v>1</v>
      </c>
      <c r="G62" s="21" t="s">
        <v>254</v>
      </c>
      <c r="H62" s="21"/>
      <c r="I62" s="21" t="s">
        <v>78</v>
      </c>
      <c r="J62" s="21"/>
      <c r="K62" s="21"/>
      <c r="L62" s="21" t="s">
        <v>255</v>
      </c>
      <c r="M62" s="21" t="s">
        <v>69</v>
      </c>
      <c r="N62" s="21" t="s">
        <v>217</v>
      </c>
    </row>
    <row r="63" spans="1:14" ht="36" customHeight="1">
      <c r="A63" s="22">
        <v>46270</v>
      </c>
      <c r="B63" s="21" t="s">
        <v>18</v>
      </c>
      <c r="C63" s="21" t="s">
        <v>62</v>
      </c>
      <c r="D63" s="21" t="s">
        <v>63</v>
      </c>
      <c r="E63" s="21" t="s">
        <v>256</v>
      </c>
      <c r="F63" s="21">
        <v>1</v>
      </c>
      <c r="G63" s="21" t="s">
        <v>254</v>
      </c>
      <c r="H63" s="21" t="s">
        <v>257</v>
      </c>
      <c r="I63" s="21"/>
      <c r="J63" s="21"/>
      <c r="K63" s="21"/>
      <c r="L63" s="21" t="s">
        <v>258</v>
      </c>
      <c r="M63" s="21" t="s">
        <v>69</v>
      </c>
      <c r="N63" s="21" t="s">
        <v>217</v>
      </c>
    </row>
    <row r="64" spans="1:14" ht="36" customHeight="1">
      <c r="A64" s="22">
        <v>46270</v>
      </c>
      <c r="B64" s="21" t="s">
        <v>18</v>
      </c>
      <c r="C64" s="21" t="s">
        <v>62</v>
      </c>
      <c r="D64" s="21" t="s">
        <v>63</v>
      </c>
      <c r="E64" s="21" t="s">
        <v>259</v>
      </c>
      <c r="F64" s="21">
        <v>1</v>
      </c>
      <c r="G64" s="21" t="s">
        <v>254</v>
      </c>
      <c r="H64" s="21" t="s">
        <v>257</v>
      </c>
      <c r="I64" s="21"/>
      <c r="J64" s="21"/>
      <c r="K64" s="21"/>
      <c r="L64" s="21" t="s">
        <v>260</v>
      </c>
      <c r="M64" s="21" t="s">
        <v>69</v>
      </c>
      <c r="N64" s="21" t="s">
        <v>217</v>
      </c>
    </row>
    <row r="65" spans="1:14" ht="36" customHeight="1">
      <c r="A65" s="22">
        <v>46270</v>
      </c>
      <c r="B65" s="21" t="s">
        <v>18</v>
      </c>
      <c r="C65" s="21" t="s">
        <v>62</v>
      </c>
      <c r="D65" s="21" t="s">
        <v>63</v>
      </c>
      <c r="E65" s="21" t="s">
        <v>261</v>
      </c>
      <c r="F65" s="21">
        <v>1</v>
      </c>
      <c r="G65" s="21" t="s">
        <v>254</v>
      </c>
      <c r="H65" s="21" t="s">
        <v>257</v>
      </c>
      <c r="I65" s="21"/>
      <c r="J65" s="21"/>
      <c r="K65" s="21"/>
      <c r="L65" s="21" t="s">
        <v>262</v>
      </c>
      <c r="M65" s="21" t="s">
        <v>69</v>
      </c>
      <c r="N65" s="21" t="s">
        <v>217</v>
      </c>
    </row>
    <row r="66" spans="1:14" ht="36" customHeight="1">
      <c r="A66" s="22">
        <v>46270</v>
      </c>
      <c r="B66" s="21" t="s">
        <v>18</v>
      </c>
      <c r="C66" s="21" t="s">
        <v>62</v>
      </c>
      <c r="D66" s="21" t="s">
        <v>63</v>
      </c>
      <c r="E66" s="21" t="s">
        <v>263</v>
      </c>
      <c r="F66" s="21">
        <v>1</v>
      </c>
      <c r="G66" s="21" t="s">
        <v>254</v>
      </c>
      <c r="H66" s="21" t="s">
        <v>257</v>
      </c>
      <c r="I66" s="21"/>
      <c r="J66" s="21"/>
      <c r="K66" s="21"/>
      <c r="L66" s="21" t="s">
        <v>262</v>
      </c>
      <c r="M66" s="21" t="s">
        <v>69</v>
      </c>
      <c r="N66" s="21" t="s">
        <v>217</v>
      </c>
    </row>
    <row r="67" spans="1:14" ht="36" customHeight="1">
      <c r="A67" s="22">
        <v>46270</v>
      </c>
      <c r="B67" s="21" t="s">
        <v>18</v>
      </c>
      <c r="C67" s="21" t="s">
        <v>62</v>
      </c>
      <c r="D67" s="21" t="s">
        <v>63</v>
      </c>
      <c r="E67" s="21" t="s">
        <v>264</v>
      </c>
      <c r="F67" s="21">
        <v>1</v>
      </c>
      <c r="G67" s="21" t="s">
        <v>254</v>
      </c>
      <c r="H67" s="21" t="s">
        <v>257</v>
      </c>
      <c r="I67" s="21"/>
      <c r="J67" s="21"/>
      <c r="K67" s="21"/>
      <c r="L67" s="21" t="s">
        <v>262</v>
      </c>
      <c r="M67" s="21" t="s">
        <v>69</v>
      </c>
      <c r="N67" s="21" t="s">
        <v>217</v>
      </c>
    </row>
    <row r="68" spans="1:14" ht="36" customHeight="1">
      <c r="A68" s="22">
        <v>46270</v>
      </c>
      <c r="B68" s="21" t="s">
        <v>18</v>
      </c>
      <c r="C68" s="21" t="s">
        <v>62</v>
      </c>
      <c r="D68" s="21" t="s">
        <v>63</v>
      </c>
      <c r="E68" s="21" t="s">
        <v>265</v>
      </c>
      <c r="F68" s="21">
        <v>1</v>
      </c>
      <c r="G68" s="21" t="s">
        <v>254</v>
      </c>
      <c r="H68" s="21" t="s">
        <v>257</v>
      </c>
      <c r="I68" s="21"/>
      <c r="J68" s="21"/>
      <c r="K68" s="21"/>
      <c r="L68" s="21" t="s">
        <v>258</v>
      </c>
      <c r="M68" s="21" t="s">
        <v>69</v>
      </c>
      <c r="N68" s="21" t="s">
        <v>217</v>
      </c>
    </row>
    <row r="69" spans="1:14" ht="36" customHeight="1">
      <c r="A69" s="22">
        <v>46270</v>
      </c>
      <c r="B69" s="21" t="s">
        <v>18</v>
      </c>
      <c r="C69" s="21" t="s">
        <v>62</v>
      </c>
      <c r="D69" s="21" t="s">
        <v>63</v>
      </c>
      <c r="E69" s="21" t="s">
        <v>266</v>
      </c>
      <c r="F69" s="21">
        <v>1</v>
      </c>
      <c r="G69" s="21" t="s">
        <v>39</v>
      </c>
      <c r="H69" s="21"/>
      <c r="I69" s="21"/>
      <c r="J69" s="21"/>
      <c r="K69" s="21"/>
      <c r="L69" s="21" t="s">
        <v>267</v>
      </c>
      <c r="M69" s="21" t="s">
        <v>92</v>
      </c>
      <c r="N69" s="21"/>
    </row>
    <row r="70" spans="1:14" ht="36" customHeight="1">
      <c r="A70" s="22">
        <v>46270</v>
      </c>
      <c r="B70" s="21" t="s">
        <v>18</v>
      </c>
      <c r="C70" s="21" t="s">
        <v>62</v>
      </c>
      <c r="D70" s="21" t="s">
        <v>63</v>
      </c>
      <c r="E70" s="21" t="s">
        <v>268</v>
      </c>
      <c r="F70" s="21">
        <v>1</v>
      </c>
      <c r="G70" s="21" t="s">
        <v>254</v>
      </c>
      <c r="H70" s="21" t="s">
        <v>257</v>
      </c>
      <c r="I70" s="21" t="s">
        <v>78</v>
      </c>
      <c r="J70" s="21"/>
      <c r="K70" s="21"/>
      <c r="L70" s="21" t="s">
        <v>269</v>
      </c>
      <c r="M70" s="21" t="s">
        <v>69</v>
      </c>
      <c r="N70" s="21" t="s">
        <v>217</v>
      </c>
    </row>
    <row r="71" spans="1:14" ht="36" customHeight="1">
      <c r="A71" s="22">
        <v>46271</v>
      </c>
      <c r="B71" s="21" t="s">
        <v>18</v>
      </c>
      <c r="C71" s="21" t="s">
        <v>102</v>
      </c>
      <c r="D71" s="21" t="s">
        <v>103</v>
      </c>
      <c r="E71" s="21" t="s">
        <v>270</v>
      </c>
      <c r="F71" s="21">
        <v>1</v>
      </c>
      <c r="G71" s="21" t="s">
        <v>65</v>
      </c>
      <c r="H71" s="21"/>
      <c r="I71" s="21" t="s">
        <v>271</v>
      </c>
      <c r="J71" s="21"/>
      <c r="K71" s="21"/>
      <c r="L71" s="21" t="s">
        <v>272</v>
      </c>
      <c r="M71" s="21" t="s">
        <v>69</v>
      </c>
      <c r="N71" s="21" t="s">
        <v>143</v>
      </c>
    </row>
    <row r="72" spans="1:14" ht="36" customHeight="1">
      <c r="A72" s="22">
        <v>46271</v>
      </c>
      <c r="B72" s="21" t="s">
        <v>18</v>
      </c>
      <c r="C72" s="21" t="s">
        <v>102</v>
      </c>
      <c r="D72" s="21" t="s">
        <v>103</v>
      </c>
      <c r="E72" s="21" t="s">
        <v>273</v>
      </c>
      <c r="F72" s="21">
        <v>1</v>
      </c>
      <c r="G72" s="21" t="s">
        <v>39</v>
      </c>
      <c r="H72" s="21"/>
      <c r="I72" s="21"/>
      <c r="J72" s="21"/>
      <c r="K72" s="21"/>
      <c r="L72" s="21" t="s">
        <v>274</v>
      </c>
      <c r="M72" s="21" t="s">
        <v>92</v>
      </c>
      <c r="N72" s="21"/>
    </row>
    <row r="73" spans="1:14" ht="36" customHeight="1">
      <c r="A73" s="22">
        <v>46271</v>
      </c>
      <c r="B73" s="21" t="s">
        <v>18</v>
      </c>
      <c r="C73" s="21" t="s">
        <v>81</v>
      </c>
      <c r="D73" s="21" t="s">
        <v>82</v>
      </c>
      <c r="E73" s="21" t="s">
        <v>275</v>
      </c>
      <c r="F73" s="21">
        <v>1</v>
      </c>
      <c r="G73" s="21"/>
      <c r="H73" s="21"/>
      <c r="I73" s="21" t="s">
        <v>276</v>
      </c>
      <c r="J73" s="21"/>
      <c r="K73" s="21" t="s">
        <v>277</v>
      </c>
      <c r="L73" s="21" t="s">
        <v>278</v>
      </c>
      <c r="M73" s="21" t="s">
        <v>69</v>
      </c>
      <c r="N73" s="21" t="s">
        <v>279</v>
      </c>
    </row>
    <row r="74" spans="1:14" ht="36" customHeight="1">
      <c r="A74" s="22">
        <v>46271</v>
      </c>
      <c r="B74" s="21" t="s">
        <v>18</v>
      </c>
      <c r="C74" s="21" t="s">
        <v>81</v>
      </c>
      <c r="D74" s="21" t="s">
        <v>82</v>
      </c>
      <c r="E74" s="21" t="s">
        <v>280</v>
      </c>
      <c r="F74" s="21">
        <v>1</v>
      </c>
      <c r="G74" s="21"/>
      <c r="H74" s="21"/>
      <c r="I74" s="21" t="s">
        <v>276</v>
      </c>
      <c r="J74" s="21"/>
      <c r="K74" s="21" t="s">
        <v>277</v>
      </c>
      <c r="L74" s="21" t="s">
        <v>281</v>
      </c>
      <c r="M74" s="21" t="s">
        <v>69</v>
      </c>
      <c r="N74" s="21" t="s">
        <v>279</v>
      </c>
    </row>
    <row r="75" spans="1:14" ht="36" customHeight="1">
      <c r="A75" s="22">
        <v>46271</v>
      </c>
      <c r="B75" s="21" t="s">
        <v>18</v>
      </c>
      <c r="C75" s="21" t="s">
        <v>81</v>
      </c>
      <c r="D75" s="21" t="s">
        <v>82</v>
      </c>
      <c r="E75" s="21" t="s">
        <v>282</v>
      </c>
      <c r="F75" s="21">
        <v>1</v>
      </c>
      <c r="G75" s="21"/>
      <c r="H75" s="21"/>
      <c r="I75" s="21" t="s">
        <v>283</v>
      </c>
      <c r="J75" s="21"/>
      <c r="K75" s="21" t="s">
        <v>284</v>
      </c>
      <c r="L75" s="21" t="s">
        <v>285</v>
      </c>
      <c r="M75" s="21" t="s">
        <v>69</v>
      </c>
      <c r="N75" s="21" t="s">
        <v>279</v>
      </c>
    </row>
    <row r="76" spans="1:14" ht="36" customHeight="1">
      <c r="A76" s="22">
        <v>46271</v>
      </c>
      <c r="B76" s="21" t="s">
        <v>18</v>
      </c>
      <c r="C76" s="21" t="s">
        <v>81</v>
      </c>
      <c r="D76" s="21" t="s">
        <v>82</v>
      </c>
      <c r="E76" s="21" t="s">
        <v>286</v>
      </c>
      <c r="F76" s="21">
        <v>1</v>
      </c>
      <c r="G76" s="21"/>
      <c r="H76" s="21"/>
      <c r="I76" s="21" t="s">
        <v>283</v>
      </c>
      <c r="J76" s="21"/>
      <c r="K76" s="21" t="s">
        <v>284</v>
      </c>
      <c r="L76" s="21" t="s">
        <v>287</v>
      </c>
      <c r="M76" s="21" t="s">
        <v>69</v>
      </c>
      <c r="N76" s="21" t="s">
        <v>279</v>
      </c>
    </row>
    <row r="77" spans="1:14" ht="36" customHeight="1">
      <c r="A77" s="22">
        <v>46271</v>
      </c>
      <c r="B77" s="21" t="s">
        <v>18</v>
      </c>
      <c r="C77" s="21" t="s">
        <v>81</v>
      </c>
      <c r="D77" s="21" t="s">
        <v>82</v>
      </c>
      <c r="E77" s="21" t="s">
        <v>288</v>
      </c>
      <c r="F77" s="21">
        <v>1</v>
      </c>
      <c r="G77" s="21" t="s">
        <v>39</v>
      </c>
      <c r="H77" s="21"/>
      <c r="I77" s="21" t="s">
        <v>289</v>
      </c>
      <c r="J77" s="21"/>
      <c r="K77" s="21" t="s">
        <v>40</v>
      </c>
      <c r="L77" s="21" t="s">
        <v>290</v>
      </c>
      <c r="M77" s="21" t="s">
        <v>92</v>
      </c>
      <c r="N77" s="21"/>
    </row>
    <row r="78" spans="1:14" ht="36" customHeight="1">
      <c r="A78" s="22">
        <v>46271</v>
      </c>
      <c r="B78" s="21" t="s">
        <v>18</v>
      </c>
      <c r="C78" s="21" t="s">
        <v>87</v>
      </c>
      <c r="D78" s="21" t="s">
        <v>88</v>
      </c>
      <c r="E78" s="21" t="s">
        <v>291</v>
      </c>
      <c r="F78" s="21">
        <v>1</v>
      </c>
      <c r="G78" s="21" t="s">
        <v>65</v>
      </c>
      <c r="H78" s="21"/>
      <c r="I78" s="21" t="s">
        <v>292</v>
      </c>
      <c r="J78" s="21"/>
      <c r="K78" s="21" t="s">
        <v>115</v>
      </c>
      <c r="L78" s="21" t="s">
        <v>293</v>
      </c>
      <c r="M78" s="21" t="s">
        <v>69</v>
      </c>
      <c r="N78" s="21" t="s">
        <v>143</v>
      </c>
    </row>
    <row r="79" spans="1:14" ht="36" customHeight="1">
      <c r="A79" s="22">
        <v>46271</v>
      </c>
      <c r="B79" s="21" t="s">
        <v>18</v>
      </c>
      <c r="C79" s="21" t="s">
        <v>97</v>
      </c>
      <c r="D79" s="21" t="s">
        <v>98</v>
      </c>
      <c r="E79" s="21" t="s">
        <v>294</v>
      </c>
      <c r="F79" s="21">
        <v>1</v>
      </c>
      <c r="G79" s="21" t="s">
        <v>65</v>
      </c>
      <c r="H79" s="21"/>
      <c r="I79" s="21" t="s">
        <v>78</v>
      </c>
      <c r="J79" s="21"/>
      <c r="K79" s="21" t="s">
        <v>78</v>
      </c>
      <c r="L79" s="21" t="s">
        <v>295</v>
      </c>
      <c r="M79" s="21" t="s">
        <v>69</v>
      </c>
      <c r="N79" s="21" t="s">
        <v>143</v>
      </c>
    </row>
    <row r="80" spans="1:14" ht="36" customHeight="1">
      <c r="A80" s="22">
        <v>46271</v>
      </c>
      <c r="B80" s="21" t="s">
        <v>18</v>
      </c>
      <c r="C80" s="21" t="s">
        <v>97</v>
      </c>
      <c r="D80" s="21" t="s">
        <v>98</v>
      </c>
      <c r="E80" s="21" t="s">
        <v>296</v>
      </c>
      <c r="F80" s="21">
        <v>1</v>
      </c>
      <c r="G80" s="21" t="s">
        <v>65</v>
      </c>
      <c r="H80" s="21"/>
      <c r="I80" s="21" t="s">
        <v>78</v>
      </c>
      <c r="J80" s="21"/>
      <c r="K80" s="21" t="s">
        <v>78</v>
      </c>
      <c r="L80" s="21" t="s">
        <v>295</v>
      </c>
      <c r="M80" s="21" t="s">
        <v>69</v>
      </c>
      <c r="N80" s="21" t="s">
        <v>143</v>
      </c>
    </row>
    <row r="81" spans="1:14" ht="36" customHeight="1">
      <c r="A81" s="22">
        <v>46271</v>
      </c>
      <c r="B81" s="21" t="s">
        <v>18</v>
      </c>
      <c r="C81" s="21" t="s">
        <v>97</v>
      </c>
      <c r="D81" s="21" t="s">
        <v>98</v>
      </c>
      <c r="E81" s="21" t="s">
        <v>297</v>
      </c>
      <c r="F81" s="21">
        <v>1</v>
      </c>
      <c r="G81" s="21" t="s">
        <v>65</v>
      </c>
      <c r="H81" s="21"/>
      <c r="I81" s="21" t="s">
        <v>78</v>
      </c>
      <c r="J81" s="21"/>
      <c r="K81" s="21" t="s">
        <v>78</v>
      </c>
      <c r="L81" s="21" t="s">
        <v>298</v>
      </c>
      <c r="M81" s="21" t="s">
        <v>69</v>
      </c>
      <c r="N81" s="21" t="s">
        <v>143</v>
      </c>
    </row>
    <row r="82" spans="1:14" ht="36" customHeight="1">
      <c r="A82" s="22">
        <v>46271</v>
      </c>
      <c r="B82" s="21" t="s">
        <v>18</v>
      </c>
      <c r="C82" s="21" t="s">
        <v>97</v>
      </c>
      <c r="D82" s="21" t="s">
        <v>98</v>
      </c>
      <c r="E82" s="21" t="s">
        <v>299</v>
      </c>
      <c r="F82" s="21">
        <v>1</v>
      </c>
      <c r="G82" s="21" t="s">
        <v>65</v>
      </c>
      <c r="H82" s="21"/>
      <c r="I82" s="21" t="s">
        <v>78</v>
      </c>
      <c r="J82" s="21"/>
      <c r="K82" s="21" t="s">
        <v>78</v>
      </c>
      <c r="L82" s="21" t="s">
        <v>300</v>
      </c>
      <c r="M82" s="21" t="s">
        <v>69</v>
      </c>
      <c r="N82" s="21" t="s">
        <v>143</v>
      </c>
    </row>
    <row r="83" spans="1:14" ht="36" customHeight="1">
      <c r="A83" s="22">
        <v>46272</v>
      </c>
      <c r="B83" s="21" t="s">
        <v>18</v>
      </c>
      <c r="C83" s="21" t="s">
        <v>74</v>
      </c>
      <c r="D83" s="21" t="s">
        <v>75</v>
      </c>
      <c r="E83" s="21" t="s">
        <v>301</v>
      </c>
      <c r="F83" s="21">
        <v>1</v>
      </c>
      <c r="G83" s="21" t="s">
        <v>302</v>
      </c>
      <c r="H83" s="21" t="s">
        <v>303</v>
      </c>
      <c r="I83" s="21" t="s">
        <v>304</v>
      </c>
      <c r="J83" s="21"/>
      <c r="K83" s="21" t="s">
        <v>305</v>
      </c>
      <c r="L83" s="21" t="s">
        <v>306</v>
      </c>
      <c r="M83" s="21" t="s">
        <v>69</v>
      </c>
      <c r="N83" s="21" t="s">
        <v>217</v>
      </c>
    </row>
    <row r="84" spans="1:14" ht="36" customHeight="1">
      <c r="A84" s="22">
        <v>46272</v>
      </c>
      <c r="B84" s="21" t="s">
        <v>18</v>
      </c>
      <c r="C84" s="21" t="s">
        <v>74</v>
      </c>
      <c r="D84" s="21" t="s">
        <v>75</v>
      </c>
      <c r="E84" s="21" t="s">
        <v>307</v>
      </c>
      <c r="F84" s="21">
        <v>1</v>
      </c>
      <c r="G84" s="21" t="s">
        <v>302</v>
      </c>
      <c r="H84" s="21" t="s">
        <v>303</v>
      </c>
      <c r="I84" s="21" t="s">
        <v>304</v>
      </c>
      <c r="J84" s="21"/>
      <c r="K84" s="21" t="s">
        <v>305</v>
      </c>
      <c r="L84" s="21" t="s">
        <v>308</v>
      </c>
      <c r="M84" s="21" t="s">
        <v>69</v>
      </c>
      <c r="N84" s="21" t="s">
        <v>309</v>
      </c>
    </row>
    <row r="85" spans="1:14" ht="36" customHeight="1">
      <c r="A85" s="22">
        <v>46272</v>
      </c>
      <c r="B85" s="21" t="s">
        <v>18</v>
      </c>
      <c r="C85" s="21" t="s">
        <v>74</v>
      </c>
      <c r="D85" s="21" t="s">
        <v>75</v>
      </c>
      <c r="E85" s="21" t="s">
        <v>310</v>
      </c>
      <c r="F85" s="21">
        <v>1</v>
      </c>
      <c r="G85" s="21" t="s">
        <v>302</v>
      </c>
      <c r="H85" s="21" t="s">
        <v>303</v>
      </c>
      <c r="I85" s="21" t="s">
        <v>304</v>
      </c>
      <c r="J85" s="21"/>
      <c r="K85" s="21" t="s">
        <v>305</v>
      </c>
      <c r="L85" s="21" t="s">
        <v>311</v>
      </c>
      <c r="M85" s="21" t="s">
        <v>69</v>
      </c>
      <c r="N85" s="21" t="s">
        <v>309</v>
      </c>
    </row>
    <row r="86" spans="1:14" ht="36" customHeight="1">
      <c r="A86" s="22">
        <v>46272</v>
      </c>
      <c r="B86" s="21" t="s">
        <v>18</v>
      </c>
      <c r="C86" s="21" t="s">
        <v>74</v>
      </c>
      <c r="D86" s="21" t="s">
        <v>75</v>
      </c>
      <c r="E86" s="21" t="s">
        <v>312</v>
      </c>
      <c r="F86" s="21">
        <v>1</v>
      </c>
      <c r="G86" s="21" t="s">
        <v>39</v>
      </c>
      <c r="H86" s="21"/>
      <c r="I86" s="21" t="s">
        <v>313</v>
      </c>
      <c r="J86" s="21" t="s">
        <v>100</v>
      </c>
      <c r="K86" s="21" t="s">
        <v>40</v>
      </c>
      <c r="L86" s="21" t="s">
        <v>314</v>
      </c>
      <c r="M86" s="21" t="s">
        <v>92</v>
      </c>
      <c r="N86" s="21"/>
    </row>
    <row r="87" spans="1:14" ht="36" customHeight="1">
      <c r="A87" s="22">
        <v>46272</v>
      </c>
      <c r="B87" s="21" t="s">
        <v>18</v>
      </c>
      <c r="C87" s="21" t="s">
        <v>87</v>
      </c>
      <c r="D87" s="21" t="s">
        <v>88</v>
      </c>
      <c r="E87" s="21" t="s">
        <v>315</v>
      </c>
      <c r="F87" s="21">
        <v>1</v>
      </c>
      <c r="G87" s="21" t="s">
        <v>316</v>
      </c>
      <c r="H87" s="21"/>
      <c r="I87" s="21" t="s">
        <v>317</v>
      </c>
      <c r="J87" s="21"/>
      <c r="K87" s="21" t="s">
        <v>318</v>
      </c>
      <c r="L87" s="21" t="s">
        <v>319</v>
      </c>
      <c r="M87" s="21" t="s">
        <v>92</v>
      </c>
      <c r="N87" s="21"/>
    </row>
    <row r="88" spans="1:14" ht="36" customHeight="1">
      <c r="A88" s="22">
        <v>46272</v>
      </c>
      <c r="B88" s="21" t="s">
        <v>18</v>
      </c>
      <c r="C88" s="21" t="s">
        <v>62</v>
      </c>
      <c r="D88" s="21" t="s">
        <v>161</v>
      </c>
      <c r="E88" s="21" t="s">
        <v>320</v>
      </c>
      <c r="F88" s="21">
        <v>1</v>
      </c>
      <c r="G88" s="21" t="s">
        <v>39</v>
      </c>
      <c r="H88" s="21"/>
      <c r="I88" s="21" t="s">
        <v>66</v>
      </c>
      <c r="J88" s="21" t="s">
        <v>154</v>
      </c>
      <c r="K88" s="21" t="s">
        <v>40</v>
      </c>
      <c r="L88" s="21" t="s">
        <v>321</v>
      </c>
      <c r="M88" s="21" t="s">
        <v>92</v>
      </c>
      <c r="N88" s="21"/>
    </row>
    <row r="89" spans="1:14" ht="36" customHeight="1">
      <c r="A89" s="22">
        <v>46272</v>
      </c>
      <c r="B89" s="21" t="s">
        <v>18</v>
      </c>
      <c r="C89" s="21" t="s">
        <v>97</v>
      </c>
      <c r="D89" s="21" t="s">
        <v>98</v>
      </c>
      <c r="E89" s="21" t="s">
        <v>322</v>
      </c>
      <c r="F89" s="21">
        <v>1</v>
      </c>
      <c r="G89" s="21" t="s">
        <v>65</v>
      </c>
      <c r="H89" s="21"/>
      <c r="I89" s="21" t="s">
        <v>66</v>
      </c>
      <c r="J89" s="21"/>
      <c r="K89" s="21" t="s">
        <v>323</v>
      </c>
      <c r="L89" s="21" t="s">
        <v>324</v>
      </c>
      <c r="M89" s="21" t="s">
        <v>69</v>
      </c>
      <c r="N89" s="21" t="s">
        <v>70</v>
      </c>
    </row>
    <row r="90" spans="1:14" ht="36" customHeight="1">
      <c r="A90" s="22">
        <v>46273</v>
      </c>
      <c r="B90" s="21" t="s">
        <v>18</v>
      </c>
      <c r="C90" s="21" t="s">
        <v>74</v>
      </c>
      <c r="D90" s="21" t="s">
        <v>75</v>
      </c>
      <c r="E90" s="21" t="s">
        <v>325</v>
      </c>
      <c r="F90" s="21">
        <v>1</v>
      </c>
      <c r="G90" s="21" t="s">
        <v>326</v>
      </c>
      <c r="H90" s="21" t="s">
        <v>327</v>
      </c>
      <c r="I90" s="21" t="s">
        <v>90</v>
      </c>
      <c r="J90" s="21"/>
      <c r="K90" s="21" t="s">
        <v>40</v>
      </c>
      <c r="L90" s="21" t="s">
        <v>328</v>
      </c>
      <c r="M90" s="21" t="s">
        <v>92</v>
      </c>
      <c r="N90" s="21"/>
    </row>
    <row r="91" spans="1:14" ht="36" customHeight="1">
      <c r="A91" s="22">
        <v>46273</v>
      </c>
      <c r="B91" s="21" t="s">
        <v>18</v>
      </c>
      <c r="C91" s="21" t="s">
        <v>74</v>
      </c>
      <c r="D91" s="21" t="s">
        <v>75</v>
      </c>
      <c r="E91" s="21" t="s">
        <v>329</v>
      </c>
      <c r="F91" s="21">
        <v>1</v>
      </c>
      <c r="G91" s="21" t="s">
        <v>330</v>
      </c>
      <c r="H91" s="21" t="s">
        <v>331</v>
      </c>
      <c r="I91" s="21" t="s">
        <v>90</v>
      </c>
      <c r="J91" s="21"/>
      <c r="K91" s="21" t="s">
        <v>40</v>
      </c>
      <c r="L91" s="21" t="s">
        <v>332</v>
      </c>
      <c r="M91" s="21" t="s">
        <v>38</v>
      </c>
      <c r="N91" s="21"/>
    </row>
    <row r="92" spans="1:14" ht="36" customHeight="1">
      <c r="A92" s="22">
        <v>46273</v>
      </c>
      <c r="B92" s="21" t="s">
        <v>18</v>
      </c>
      <c r="C92" s="21" t="s">
        <v>74</v>
      </c>
      <c r="D92" s="21" t="s">
        <v>75</v>
      </c>
      <c r="E92" s="21" t="s">
        <v>333</v>
      </c>
      <c r="F92" s="21">
        <v>1</v>
      </c>
      <c r="G92" s="21"/>
      <c r="H92" s="21"/>
      <c r="I92" s="21" t="s">
        <v>334</v>
      </c>
      <c r="J92" s="21"/>
      <c r="K92" s="21" t="s">
        <v>40</v>
      </c>
      <c r="L92" s="21" t="s">
        <v>335</v>
      </c>
      <c r="M92" s="21" t="s">
        <v>38</v>
      </c>
      <c r="N92" s="21"/>
    </row>
    <row r="93" spans="1:14" ht="36" customHeight="1">
      <c r="A93" s="22">
        <v>46273</v>
      </c>
      <c r="B93" s="21" t="s">
        <v>18</v>
      </c>
      <c r="C93" s="21" t="s">
        <v>74</v>
      </c>
      <c r="D93" s="21" t="s">
        <v>75</v>
      </c>
      <c r="E93" s="21" t="s">
        <v>336</v>
      </c>
      <c r="F93" s="21">
        <v>1</v>
      </c>
      <c r="G93" s="21" t="s">
        <v>65</v>
      </c>
      <c r="H93" s="21"/>
      <c r="I93" s="21" t="s">
        <v>337</v>
      </c>
      <c r="J93" s="21"/>
      <c r="K93" s="21" t="s">
        <v>40</v>
      </c>
      <c r="L93" s="21" t="s">
        <v>338</v>
      </c>
      <c r="M93" s="21" t="s">
        <v>69</v>
      </c>
      <c r="N93" s="21"/>
    </row>
    <row r="94" spans="1:14" ht="36" customHeight="1">
      <c r="A94" s="22">
        <v>46273</v>
      </c>
      <c r="B94" s="21" t="s">
        <v>18</v>
      </c>
      <c r="C94" s="21" t="s">
        <v>74</v>
      </c>
      <c r="D94" s="21" t="s">
        <v>75</v>
      </c>
      <c r="E94" s="21" t="s">
        <v>339</v>
      </c>
      <c r="F94" s="21">
        <v>1</v>
      </c>
      <c r="G94" s="21" t="s">
        <v>39</v>
      </c>
      <c r="H94" s="21"/>
      <c r="I94" s="21" t="s">
        <v>340</v>
      </c>
      <c r="J94" s="21"/>
      <c r="K94" s="21" t="s">
        <v>40</v>
      </c>
      <c r="L94" s="21" t="s">
        <v>341</v>
      </c>
      <c r="M94" s="21" t="s">
        <v>69</v>
      </c>
      <c r="N94" s="21" t="s">
        <v>96</v>
      </c>
    </row>
    <row r="95" spans="1:14" ht="36" customHeight="1">
      <c r="A95" s="22">
        <v>46273</v>
      </c>
      <c r="B95" s="21" t="s">
        <v>18</v>
      </c>
      <c r="C95" s="21" t="s">
        <v>74</v>
      </c>
      <c r="D95" s="21" t="s">
        <v>75</v>
      </c>
      <c r="E95" s="21" t="s">
        <v>342</v>
      </c>
      <c r="F95" s="21">
        <v>1</v>
      </c>
      <c r="G95" s="21" t="s">
        <v>39</v>
      </c>
      <c r="H95" s="21"/>
      <c r="I95" s="21" t="s">
        <v>343</v>
      </c>
      <c r="J95" s="21" t="s">
        <v>159</v>
      </c>
      <c r="K95" s="21" t="s">
        <v>40</v>
      </c>
      <c r="L95" s="21" t="s">
        <v>344</v>
      </c>
      <c r="M95" s="21" t="s">
        <v>92</v>
      </c>
      <c r="N95" s="21"/>
    </row>
    <row r="96" spans="1:14" ht="36" customHeight="1">
      <c r="A96" s="22">
        <v>46273</v>
      </c>
      <c r="B96" s="21" t="s">
        <v>18</v>
      </c>
      <c r="C96" s="21" t="s">
        <v>74</v>
      </c>
      <c r="D96" s="21" t="s">
        <v>75</v>
      </c>
      <c r="E96" s="21" t="s">
        <v>345</v>
      </c>
      <c r="F96" s="21">
        <v>1</v>
      </c>
      <c r="G96" s="21" t="s">
        <v>39</v>
      </c>
      <c r="H96" s="21"/>
      <c r="I96" s="21" t="s">
        <v>346</v>
      </c>
      <c r="J96" s="21" t="s">
        <v>154</v>
      </c>
      <c r="K96" s="21" t="s">
        <v>40</v>
      </c>
      <c r="L96" s="21" t="s">
        <v>347</v>
      </c>
      <c r="M96" s="21" t="s">
        <v>92</v>
      </c>
      <c r="N96" s="21"/>
    </row>
    <row r="97" spans="1:14" ht="36" customHeight="1">
      <c r="A97" s="22">
        <v>46274</v>
      </c>
      <c r="B97" s="21" t="s">
        <v>18</v>
      </c>
      <c r="C97" s="21" t="s">
        <v>74</v>
      </c>
      <c r="D97" s="21" t="s">
        <v>75</v>
      </c>
      <c r="E97" s="21" t="s">
        <v>348</v>
      </c>
      <c r="F97" s="21">
        <v>1</v>
      </c>
      <c r="G97" s="21" t="s">
        <v>349</v>
      </c>
      <c r="H97" s="21" t="s">
        <v>350</v>
      </c>
      <c r="I97" s="21" t="s">
        <v>351</v>
      </c>
      <c r="J97" s="21"/>
      <c r="K97" s="21" t="s">
        <v>352</v>
      </c>
      <c r="L97" s="21" t="s">
        <v>353</v>
      </c>
      <c r="M97" s="21" t="s">
        <v>69</v>
      </c>
      <c r="N97" s="21" t="s">
        <v>217</v>
      </c>
    </row>
    <row r="98" spans="1:14" ht="36" customHeight="1">
      <c r="A98" s="22">
        <v>46274</v>
      </c>
      <c r="B98" s="21" t="s">
        <v>18</v>
      </c>
      <c r="C98" s="21" t="s">
        <v>74</v>
      </c>
      <c r="D98" s="21" t="s">
        <v>75</v>
      </c>
      <c r="E98" s="21" t="s">
        <v>354</v>
      </c>
      <c r="F98" s="21">
        <v>1</v>
      </c>
      <c r="G98" s="21" t="s">
        <v>349</v>
      </c>
      <c r="H98" s="21" t="s">
        <v>350</v>
      </c>
      <c r="I98" s="21" t="s">
        <v>351</v>
      </c>
      <c r="J98" s="21"/>
      <c r="K98" s="21" t="s">
        <v>352</v>
      </c>
      <c r="L98" s="21" t="s">
        <v>355</v>
      </c>
      <c r="M98" s="21" t="s">
        <v>69</v>
      </c>
      <c r="N98" s="21" t="s">
        <v>217</v>
      </c>
    </row>
    <row r="99" spans="1:14" ht="36" customHeight="1">
      <c r="A99" s="22">
        <v>46274</v>
      </c>
      <c r="B99" s="21" t="s">
        <v>18</v>
      </c>
      <c r="C99" s="21" t="s">
        <v>74</v>
      </c>
      <c r="D99" s="21" t="s">
        <v>75</v>
      </c>
      <c r="E99" s="21" t="s">
        <v>356</v>
      </c>
      <c r="F99" s="21">
        <v>1</v>
      </c>
      <c r="G99" s="21" t="s">
        <v>349</v>
      </c>
      <c r="H99" s="21" t="s">
        <v>350</v>
      </c>
      <c r="I99" s="21" t="s">
        <v>357</v>
      </c>
      <c r="J99" s="21"/>
      <c r="K99" s="21" t="s">
        <v>78</v>
      </c>
      <c r="L99" s="21" t="s">
        <v>358</v>
      </c>
      <c r="M99" s="21" t="s">
        <v>69</v>
      </c>
      <c r="N99" s="21" t="s">
        <v>217</v>
      </c>
    </row>
    <row r="100" spans="1:14" ht="36" customHeight="1">
      <c r="A100" s="22">
        <v>46274</v>
      </c>
      <c r="B100" s="21" t="s">
        <v>18</v>
      </c>
      <c r="C100" s="21" t="s">
        <v>74</v>
      </c>
      <c r="D100" s="21" t="s">
        <v>75</v>
      </c>
      <c r="E100" s="21" t="s">
        <v>359</v>
      </c>
      <c r="F100" s="21">
        <v>1</v>
      </c>
      <c r="G100" s="21" t="s">
        <v>65</v>
      </c>
      <c r="H100" s="21"/>
      <c r="I100" s="21" t="s">
        <v>360</v>
      </c>
      <c r="J100" s="21"/>
      <c r="K100" s="21" t="s">
        <v>78</v>
      </c>
      <c r="L100" s="21" t="s">
        <v>361</v>
      </c>
      <c r="M100" s="21" t="s">
        <v>69</v>
      </c>
      <c r="N100" s="21" t="s">
        <v>70</v>
      </c>
    </row>
    <row r="101" spans="1:14" ht="36" customHeight="1">
      <c r="A101" s="22">
        <v>46274</v>
      </c>
      <c r="B101" s="21" t="s">
        <v>18</v>
      </c>
      <c r="C101" s="21" t="s">
        <v>74</v>
      </c>
      <c r="D101" s="21" t="s">
        <v>75</v>
      </c>
      <c r="E101" s="21" t="s">
        <v>362</v>
      </c>
      <c r="F101" s="21">
        <v>1</v>
      </c>
      <c r="G101" s="21" t="s">
        <v>39</v>
      </c>
      <c r="H101" s="21"/>
      <c r="I101" s="21" t="s">
        <v>360</v>
      </c>
      <c r="J101" s="21" t="s">
        <v>154</v>
      </c>
      <c r="K101" s="21" t="s">
        <v>78</v>
      </c>
      <c r="L101" s="21" t="s">
        <v>363</v>
      </c>
      <c r="M101" s="21" t="s">
        <v>92</v>
      </c>
      <c r="N101" s="21"/>
    </row>
    <row r="102" spans="1:14" ht="36" customHeight="1">
      <c r="A102" s="22">
        <v>46274</v>
      </c>
      <c r="B102" s="21" t="s">
        <v>18</v>
      </c>
      <c r="C102" s="21" t="s">
        <v>74</v>
      </c>
      <c r="D102" s="21" t="s">
        <v>75</v>
      </c>
      <c r="E102" s="21" t="s">
        <v>364</v>
      </c>
      <c r="F102" s="21">
        <v>1</v>
      </c>
      <c r="G102" s="21" t="s">
        <v>39</v>
      </c>
      <c r="H102" s="21"/>
      <c r="I102" s="21" t="s">
        <v>360</v>
      </c>
      <c r="J102" s="21" t="s">
        <v>159</v>
      </c>
      <c r="K102" s="21" t="s">
        <v>78</v>
      </c>
      <c r="L102" s="21" t="s">
        <v>365</v>
      </c>
      <c r="M102" s="21" t="s">
        <v>92</v>
      </c>
      <c r="N102" s="21"/>
    </row>
    <row r="103" spans="1:14" ht="36" customHeight="1">
      <c r="A103" s="22">
        <v>46274</v>
      </c>
      <c r="B103" s="21" t="s">
        <v>18</v>
      </c>
      <c r="C103" s="21" t="s">
        <v>81</v>
      </c>
      <c r="D103" s="21" t="s">
        <v>82</v>
      </c>
      <c r="E103" s="21" t="s">
        <v>366</v>
      </c>
      <c r="F103" s="21">
        <v>1</v>
      </c>
      <c r="G103" s="21" t="s">
        <v>65</v>
      </c>
      <c r="H103" s="21"/>
      <c r="I103" s="21" t="s">
        <v>360</v>
      </c>
      <c r="J103" s="21"/>
      <c r="K103" s="21" t="s">
        <v>367</v>
      </c>
      <c r="L103" s="21" t="s">
        <v>368</v>
      </c>
      <c r="M103" s="21" t="s">
        <v>69</v>
      </c>
      <c r="N103" s="21" t="s">
        <v>70</v>
      </c>
    </row>
    <row r="104" spans="1:14" ht="36" customHeight="1">
      <c r="A104" s="22">
        <v>46274</v>
      </c>
      <c r="B104" s="21" t="s">
        <v>18</v>
      </c>
      <c r="C104" s="21" t="s">
        <v>81</v>
      </c>
      <c r="D104" s="21" t="s">
        <v>82</v>
      </c>
      <c r="E104" s="21" t="s">
        <v>369</v>
      </c>
      <c r="F104" s="21">
        <v>1</v>
      </c>
      <c r="G104" s="21" t="s">
        <v>65</v>
      </c>
      <c r="H104" s="21"/>
      <c r="I104" s="21" t="s">
        <v>360</v>
      </c>
      <c r="J104" s="21"/>
      <c r="K104" s="21" t="s">
        <v>367</v>
      </c>
      <c r="L104" s="21" t="s">
        <v>368</v>
      </c>
      <c r="M104" s="21" t="s">
        <v>69</v>
      </c>
      <c r="N104" s="21" t="s">
        <v>70</v>
      </c>
    </row>
    <row r="105" spans="1:14" ht="36" customHeight="1">
      <c r="A105" s="22">
        <v>46274</v>
      </c>
      <c r="B105" s="21" t="s">
        <v>18</v>
      </c>
      <c r="C105" s="21" t="s">
        <v>81</v>
      </c>
      <c r="D105" s="21" t="s">
        <v>82</v>
      </c>
      <c r="E105" s="21" t="s">
        <v>370</v>
      </c>
      <c r="F105" s="21">
        <v>1</v>
      </c>
      <c r="G105" s="21" t="s">
        <v>65</v>
      </c>
      <c r="H105" s="21"/>
      <c r="I105" s="21" t="s">
        <v>360</v>
      </c>
      <c r="J105" s="21"/>
      <c r="K105" s="21" t="s">
        <v>367</v>
      </c>
      <c r="L105" s="21" t="s">
        <v>368</v>
      </c>
      <c r="M105" s="21" t="s">
        <v>69</v>
      </c>
      <c r="N105" s="21" t="s">
        <v>70</v>
      </c>
    </row>
    <row r="106" spans="1:14" ht="36" customHeight="1">
      <c r="A106" s="22">
        <v>46274</v>
      </c>
      <c r="B106" s="21" t="s">
        <v>18</v>
      </c>
      <c r="C106" s="21" t="s">
        <v>81</v>
      </c>
      <c r="D106" s="21" t="s">
        <v>82</v>
      </c>
      <c r="E106" s="21" t="s">
        <v>371</v>
      </c>
      <c r="F106" s="21">
        <v>1</v>
      </c>
      <c r="G106" s="21" t="s">
        <v>65</v>
      </c>
      <c r="H106" s="21"/>
      <c r="I106" s="21" t="s">
        <v>360</v>
      </c>
      <c r="J106" s="21"/>
      <c r="K106" s="21" t="s">
        <v>367</v>
      </c>
      <c r="L106" s="21" t="s">
        <v>368</v>
      </c>
      <c r="M106" s="21" t="s">
        <v>69</v>
      </c>
      <c r="N106" s="21" t="s">
        <v>70</v>
      </c>
    </row>
    <row r="107" spans="1:14" ht="36" customHeight="1">
      <c r="A107" s="22">
        <v>46274</v>
      </c>
      <c r="B107" s="21" t="s">
        <v>18</v>
      </c>
      <c r="C107" s="21" t="s">
        <v>81</v>
      </c>
      <c r="D107" s="21" t="s">
        <v>82</v>
      </c>
      <c r="E107" s="21" t="s">
        <v>372</v>
      </c>
      <c r="F107" s="21">
        <v>1</v>
      </c>
      <c r="G107" s="21" t="s">
        <v>65</v>
      </c>
      <c r="H107" s="21"/>
      <c r="I107" s="21" t="s">
        <v>360</v>
      </c>
      <c r="J107" s="21"/>
      <c r="K107" s="21" t="s">
        <v>367</v>
      </c>
      <c r="L107" s="21" t="s">
        <v>368</v>
      </c>
      <c r="M107" s="21" t="s">
        <v>69</v>
      </c>
      <c r="N107" s="21" t="s">
        <v>70</v>
      </c>
    </row>
    <row r="108" spans="1:14" ht="36" customHeight="1">
      <c r="A108" s="22">
        <v>46274</v>
      </c>
      <c r="B108" s="21" t="s">
        <v>18</v>
      </c>
      <c r="C108" s="21" t="s">
        <v>81</v>
      </c>
      <c r="D108" s="21" t="s">
        <v>82</v>
      </c>
      <c r="E108" s="21" t="s">
        <v>373</v>
      </c>
      <c r="F108" s="21">
        <v>1</v>
      </c>
      <c r="G108" s="21" t="s">
        <v>374</v>
      </c>
      <c r="H108" s="21"/>
      <c r="I108" s="21" t="s">
        <v>360</v>
      </c>
      <c r="J108" s="21"/>
      <c r="K108" s="21" t="s">
        <v>78</v>
      </c>
      <c r="L108" s="21" t="s">
        <v>375</v>
      </c>
      <c r="M108" s="21" t="s">
        <v>92</v>
      </c>
      <c r="N108" s="21"/>
    </row>
    <row r="109" spans="1:14" ht="36" customHeight="1">
      <c r="A109" s="22">
        <v>46274</v>
      </c>
      <c r="B109" s="21" t="s">
        <v>18</v>
      </c>
      <c r="C109" s="21" t="s">
        <v>81</v>
      </c>
      <c r="D109" s="21" t="s">
        <v>82</v>
      </c>
      <c r="E109" s="21" t="s">
        <v>376</v>
      </c>
      <c r="F109" s="21">
        <v>1</v>
      </c>
      <c r="G109" s="21" t="s">
        <v>377</v>
      </c>
      <c r="H109" s="21"/>
      <c r="I109" s="21" t="s">
        <v>378</v>
      </c>
      <c r="J109" s="21" t="s">
        <v>205</v>
      </c>
      <c r="K109" s="21" t="s">
        <v>379</v>
      </c>
      <c r="L109" s="21" t="s">
        <v>380</v>
      </c>
      <c r="M109" s="21" t="s">
        <v>69</v>
      </c>
      <c r="N109" s="21" t="s">
        <v>279</v>
      </c>
    </row>
    <row r="110" spans="1:14" ht="36" customHeight="1">
      <c r="A110" s="22">
        <v>46274</v>
      </c>
      <c r="B110" s="21" t="s">
        <v>18</v>
      </c>
      <c r="C110" s="21" t="s">
        <v>81</v>
      </c>
      <c r="D110" s="21" t="s">
        <v>82</v>
      </c>
      <c r="E110" s="21" t="s">
        <v>381</v>
      </c>
      <c r="F110" s="21">
        <v>1</v>
      </c>
      <c r="G110" s="21" t="s">
        <v>377</v>
      </c>
      <c r="H110" s="21"/>
      <c r="I110" s="21" t="s">
        <v>382</v>
      </c>
      <c r="J110" s="21" t="s">
        <v>205</v>
      </c>
      <c r="K110" s="21" t="s">
        <v>383</v>
      </c>
      <c r="L110" s="21" t="s">
        <v>380</v>
      </c>
      <c r="M110" s="21" t="s">
        <v>69</v>
      </c>
      <c r="N110" s="21" t="s">
        <v>279</v>
      </c>
    </row>
    <row r="111" spans="1:14" ht="36" customHeight="1">
      <c r="A111" s="22">
        <v>46274</v>
      </c>
      <c r="B111" s="21" t="s">
        <v>18</v>
      </c>
      <c r="C111" s="21" t="s">
        <v>81</v>
      </c>
      <c r="D111" s="21" t="s">
        <v>82</v>
      </c>
      <c r="E111" s="21" t="s">
        <v>384</v>
      </c>
      <c r="F111" s="21">
        <v>1</v>
      </c>
      <c r="G111" s="21" t="s">
        <v>39</v>
      </c>
      <c r="H111" s="21"/>
      <c r="I111" s="21" t="s">
        <v>385</v>
      </c>
      <c r="J111" s="21" t="s">
        <v>100</v>
      </c>
      <c r="K111" s="21" t="s">
        <v>386</v>
      </c>
      <c r="L111" s="21" t="s">
        <v>387</v>
      </c>
      <c r="M111" s="21" t="s">
        <v>92</v>
      </c>
      <c r="N111" s="21"/>
    </row>
    <row r="112" spans="1:14" ht="36" customHeight="1">
      <c r="A112" s="22">
        <v>46274</v>
      </c>
      <c r="B112" s="21" t="s">
        <v>18</v>
      </c>
      <c r="C112" s="21" t="s">
        <v>87</v>
      </c>
      <c r="D112" s="21" t="s">
        <v>88</v>
      </c>
      <c r="E112" s="21" t="s">
        <v>388</v>
      </c>
      <c r="F112" s="21">
        <v>1</v>
      </c>
      <c r="G112" s="21" t="s">
        <v>65</v>
      </c>
      <c r="H112" s="21"/>
      <c r="I112" s="21" t="s">
        <v>389</v>
      </c>
      <c r="J112" s="21"/>
      <c r="K112" s="21" t="s">
        <v>66</v>
      </c>
      <c r="L112" s="21" t="s">
        <v>390</v>
      </c>
      <c r="M112" s="21" t="s">
        <v>69</v>
      </c>
      <c r="N112" s="21" t="s">
        <v>70</v>
      </c>
    </row>
    <row r="113" spans="1:14" ht="36" customHeight="1">
      <c r="A113" s="22">
        <v>46274</v>
      </c>
      <c r="B113" s="21" t="s">
        <v>18</v>
      </c>
      <c r="C113" s="21" t="s">
        <v>62</v>
      </c>
      <c r="D113" s="21" t="s">
        <v>161</v>
      </c>
      <c r="E113" s="21" t="s">
        <v>391</v>
      </c>
      <c r="F113" s="21">
        <v>1</v>
      </c>
      <c r="G113" s="21" t="s">
        <v>392</v>
      </c>
      <c r="H113" s="21" t="s">
        <v>393</v>
      </c>
      <c r="I113" s="21" t="s">
        <v>394</v>
      </c>
      <c r="J113" s="21"/>
      <c r="K113" s="21" t="s">
        <v>395</v>
      </c>
      <c r="L113" s="21" t="s">
        <v>396</v>
      </c>
      <c r="M113" s="21" t="s">
        <v>69</v>
      </c>
      <c r="N113" s="21" t="s">
        <v>70</v>
      </c>
    </row>
    <row r="114" spans="1:14" ht="36" customHeight="1">
      <c r="A114" s="22">
        <v>46274</v>
      </c>
      <c r="B114" s="21" t="s">
        <v>18</v>
      </c>
      <c r="C114" s="21" t="s">
        <v>62</v>
      </c>
      <c r="D114" s="21" t="s">
        <v>161</v>
      </c>
      <c r="E114" s="21" t="s">
        <v>397</v>
      </c>
      <c r="F114" s="21">
        <v>1</v>
      </c>
      <c r="G114" s="21" t="s">
        <v>398</v>
      </c>
      <c r="H114" s="21" t="s">
        <v>399</v>
      </c>
      <c r="I114" s="21" t="s">
        <v>90</v>
      </c>
      <c r="J114" s="21"/>
      <c r="K114" s="21"/>
      <c r="L114" s="21" t="s">
        <v>400</v>
      </c>
      <c r="M114" s="21" t="s">
        <v>69</v>
      </c>
      <c r="N114" s="21" t="s">
        <v>70</v>
      </c>
    </row>
    <row r="115" spans="1:14" ht="36" customHeight="1">
      <c r="A115" s="22">
        <v>46274</v>
      </c>
      <c r="B115" s="21" t="s">
        <v>18</v>
      </c>
      <c r="C115" s="21" t="s">
        <v>97</v>
      </c>
      <c r="D115" s="21" t="s">
        <v>98</v>
      </c>
      <c r="E115" s="21" t="s">
        <v>401</v>
      </c>
      <c r="F115" s="21">
        <v>1</v>
      </c>
      <c r="G115" s="21" t="s">
        <v>39</v>
      </c>
      <c r="H115" s="21"/>
      <c r="I115" s="21" t="s">
        <v>402</v>
      </c>
      <c r="J115" s="21"/>
      <c r="K115" s="21" t="s">
        <v>403</v>
      </c>
      <c r="L115" s="21" t="s">
        <v>404</v>
      </c>
      <c r="M115" s="21" t="s">
        <v>38</v>
      </c>
      <c r="N115" s="21"/>
    </row>
    <row r="116" spans="1:14" ht="36" customHeight="1">
      <c r="A116" s="22">
        <v>46274</v>
      </c>
      <c r="B116" s="21" t="s">
        <v>18</v>
      </c>
      <c r="C116" s="21" t="s">
        <v>97</v>
      </c>
      <c r="D116" s="21" t="s">
        <v>98</v>
      </c>
      <c r="E116" s="21" t="s">
        <v>405</v>
      </c>
      <c r="F116" s="21">
        <v>1</v>
      </c>
      <c r="G116" s="21" t="s">
        <v>39</v>
      </c>
      <c r="H116" s="21"/>
      <c r="I116" s="21" t="s">
        <v>406</v>
      </c>
      <c r="J116" s="21"/>
      <c r="K116" s="21" t="s">
        <v>403</v>
      </c>
      <c r="L116" s="21" t="s">
        <v>404</v>
      </c>
      <c r="M116" s="21" t="s">
        <v>38</v>
      </c>
      <c r="N116" s="21"/>
    </row>
    <row r="117" spans="1:14" ht="36" customHeight="1">
      <c r="A117" s="22">
        <v>46275</v>
      </c>
      <c r="B117" s="21" t="s">
        <v>18</v>
      </c>
      <c r="C117" s="21" t="s">
        <v>87</v>
      </c>
      <c r="D117" s="21" t="s">
        <v>88</v>
      </c>
      <c r="E117" s="21" t="s">
        <v>407</v>
      </c>
      <c r="F117" s="21">
        <v>1</v>
      </c>
      <c r="G117" s="21" t="s">
        <v>408</v>
      </c>
      <c r="H117" s="21" t="s">
        <v>409</v>
      </c>
      <c r="I117" s="21"/>
      <c r="J117" s="21"/>
      <c r="K117" s="21" t="s">
        <v>410</v>
      </c>
      <c r="L117" s="21" t="s">
        <v>411</v>
      </c>
      <c r="M117" s="21" t="s">
        <v>69</v>
      </c>
      <c r="N117" s="21" t="s">
        <v>217</v>
      </c>
    </row>
    <row r="118" spans="1:14" ht="36" customHeight="1">
      <c r="A118" s="22">
        <v>46275</v>
      </c>
      <c r="B118" s="21" t="s">
        <v>18</v>
      </c>
      <c r="C118" s="21" t="s">
        <v>87</v>
      </c>
      <c r="D118" s="21" t="s">
        <v>88</v>
      </c>
      <c r="E118" s="21" t="s">
        <v>412</v>
      </c>
      <c r="F118" s="21">
        <v>1</v>
      </c>
      <c r="G118" s="21" t="s">
        <v>408</v>
      </c>
      <c r="H118" s="21" t="s">
        <v>409</v>
      </c>
      <c r="I118" s="21"/>
      <c r="J118" s="21"/>
      <c r="K118" s="21" t="s">
        <v>410</v>
      </c>
      <c r="L118" s="21" t="s">
        <v>411</v>
      </c>
      <c r="M118" s="21" t="s">
        <v>69</v>
      </c>
      <c r="N118" s="21" t="s">
        <v>217</v>
      </c>
    </row>
    <row r="119" spans="1:14" ht="36" customHeight="1">
      <c r="A119" s="22">
        <v>46275</v>
      </c>
      <c r="B119" s="21" t="s">
        <v>18</v>
      </c>
      <c r="C119" s="21" t="s">
        <v>87</v>
      </c>
      <c r="D119" s="21" t="s">
        <v>88</v>
      </c>
      <c r="E119" s="21" t="s">
        <v>413</v>
      </c>
      <c r="F119" s="21">
        <v>1</v>
      </c>
      <c r="G119" s="21" t="s">
        <v>408</v>
      </c>
      <c r="H119" s="21" t="s">
        <v>409</v>
      </c>
      <c r="I119" s="21"/>
      <c r="J119" s="21"/>
      <c r="K119" s="21" t="s">
        <v>410</v>
      </c>
      <c r="L119" s="21" t="s">
        <v>411</v>
      </c>
      <c r="M119" s="21" t="s">
        <v>69</v>
      </c>
      <c r="N119" s="21" t="s">
        <v>217</v>
      </c>
    </row>
    <row r="120" spans="1:14" ht="36" customHeight="1">
      <c r="A120" s="22">
        <v>46275</v>
      </c>
      <c r="B120" s="21" t="s">
        <v>18</v>
      </c>
      <c r="C120" s="21" t="s">
        <v>87</v>
      </c>
      <c r="D120" s="21" t="s">
        <v>88</v>
      </c>
      <c r="E120" s="21" t="s">
        <v>414</v>
      </c>
      <c r="F120" s="21">
        <v>1</v>
      </c>
      <c r="G120" s="21" t="s">
        <v>415</v>
      </c>
      <c r="H120" s="21" t="s">
        <v>416</v>
      </c>
      <c r="I120" s="21"/>
      <c r="J120" s="21"/>
      <c r="K120" s="21" t="s">
        <v>40</v>
      </c>
      <c r="L120" s="21" t="s">
        <v>417</v>
      </c>
      <c r="M120" s="21" t="s">
        <v>69</v>
      </c>
      <c r="N120" s="21" t="s">
        <v>418</v>
      </c>
    </row>
    <row r="121" spans="1:14" ht="36" customHeight="1">
      <c r="A121" s="22">
        <v>46275</v>
      </c>
      <c r="B121" s="21" t="s">
        <v>18</v>
      </c>
      <c r="C121" s="21" t="s">
        <v>87</v>
      </c>
      <c r="D121" s="21" t="s">
        <v>88</v>
      </c>
      <c r="E121" s="21" t="s">
        <v>419</v>
      </c>
      <c r="F121" s="21">
        <v>1</v>
      </c>
      <c r="G121" s="21" t="s">
        <v>39</v>
      </c>
      <c r="H121" s="21"/>
      <c r="I121" s="21"/>
      <c r="J121" s="21"/>
      <c r="K121" s="21"/>
      <c r="L121" s="21" t="s">
        <v>420</v>
      </c>
      <c r="M121" s="21" t="s">
        <v>69</v>
      </c>
      <c r="N121" s="21" t="s">
        <v>70</v>
      </c>
    </row>
    <row r="122" spans="1:14" ht="36" customHeight="1">
      <c r="A122" s="22">
        <v>46275</v>
      </c>
      <c r="B122" s="21" t="s">
        <v>18</v>
      </c>
      <c r="C122" s="21" t="s">
        <v>87</v>
      </c>
      <c r="D122" s="21" t="s">
        <v>88</v>
      </c>
      <c r="E122" s="21" t="s">
        <v>421</v>
      </c>
      <c r="F122" s="21">
        <v>1</v>
      </c>
      <c r="G122" s="21" t="s">
        <v>422</v>
      </c>
      <c r="H122" s="21" t="s">
        <v>423</v>
      </c>
      <c r="I122" s="21"/>
      <c r="J122" s="21"/>
      <c r="K122" s="21"/>
      <c r="L122" s="21" t="s">
        <v>424</v>
      </c>
      <c r="M122" s="21" t="s">
        <v>69</v>
      </c>
      <c r="N122" s="21" t="s">
        <v>418</v>
      </c>
    </row>
    <row r="123" spans="1:14" ht="36" customHeight="1">
      <c r="A123" s="22">
        <v>46275</v>
      </c>
      <c r="B123" s="21" t="s">
        <v>18</v>
      </c>
      <c r="C123" s="21" t="s">
        <v>62</v>
      </c>
      <c r="D123" s="21" t="s">
        <v>161</v>
      </c>
      <c r="E123" s="21" t="s">
        <v>425</v>
      </c>
      <c r="F123" s="21">
        <v>1</v>
      </c>
      <c r="G123" s="21" t="s">
        <v>426</v>
      </c>
      <c r="H123" s="21"/>
      <c r="I123" s="21" t="s">
        <v>427</v>
      </c>
      <c r="J123" s="21"/>
      <c r="K123" s="21" t="s">
        <v>78</v>
      </c>
      <c r="L123" s="21" t="s">
        <v>428</v>
      </c>
      <c r="M123" s="21" t="s">
        <v>38</v>
      </c>
      <c r="N123" s="21"/>
    </row>
    <row r="124" spans="1:14" ht="36" customHeight="1">
      <c r="A124" s="22">
        <v>46275</v>
      </c>
      <c r="B124" s="21" t="s">
        <v>18</v>
      </c>
      <c r="C124" s="21" t="s">
        <v>62</v>
      </c>
      <c r="D124" s="21" t="s">
        <v>161</v>
      </c>
      <c r="E124" s="21" t="s">
        <v>429</v>
      </c>
      <c r="F124" s="21">
        <v>1</v>
      </c>
      <c r="G124" s="21" t="s">
        <v>426</v>
      </c>
      <c r="H124" s="21"/>
      <c r="I124" s="21" t="s">
        <v>427</v>
      </c>
      <c r="J124" s="21"/>
      <c r="K124" s="21" t="s">
        <v>78</v>
      </c>
      <c r="L124" s="21" t="s">
        <v>428</v>
      </c>
      <c r="M124" s="21" t="s">
        <v>38</v>
      </c>
      <c r="N124" s="21"/>
    </row>
    <row r="125" spans="1:14" ht="36" customHeight="1">
      <c r="A125" s="22">
        <v>46275</v>
      </c>
      <c r="B125" s="21" t="s">
        <v>18</v>
      </c>
      <c r="C125" s="21" t="s">
        <v>62</v>
      </c>
      <c r="D125" s="21" t="s">
        <v>161</v>
      </c>
      <c r="E125" s="21" t="s">
        <v>430</v>
      </c>
      <c r="F125" s="21">
        <v>1</v>
      </c>
      <c r="G125" s="21" t="s">
        <v>426</v>
      </c>
      <c r="H125" s="21"/>
      <c r="I125" s="21" t="s">
        <v>427</v>
      </c>
      <c r="J125" s="21"/>
      <c r="K125" s="21" t="s">
        <v>78</v>
      </c>
      <c r="L125" s="21" t="s">
        <v>431</v>
      </c>
      <c r="M125" s="21" t="s">
        <v>38</v>
      </c>
      <c r="N125" s="21"/>
    </row>
    <row r="126" spans="1:14" ht="36" customHeight="1">
      <c r="A126" s="22">
        <v>46275</v>
      </c>
      <c r="B126" s="21" t="s">
        <v>18</v>
      </c>
      <c r="C126" s="21" t="s">
        <v>62</v>
      </c>
      <c r="D126" s="21" t="s">
        <v>161</v>
      </c>
      <c r="E126" s="21" t="s">
        <v>432</v>
      </c>
      <c r="F126" s="21">
        <v>1</v>
      </c>
      <c r="G126" s="21" t="s">
        <v>426</v>
      </c>
      <c r="H126" s="21"/>
      <c r="I126" s="21" t="s">
        <v>433</v>
      </c>
      <c r="J126" s="21"/>
      <c r="K126" s="21" t="s">
        <v>40</v>
      </c>
      <c r="L126" s="21" t="s">
        <v>434</v>
      </c>
      <c r="M126" s="21" t="s">
        <v>38</v>
      </c>
      <c r="N126" s="21"/>
    </row>
    <row r="127" spans="1:14" ht="36" customHeight="1">
      <c r="A127" s="22">
        <v>46275</v>
      </c>
      <c r="B127" s="21" t="s">
        <v>18</v>
      </c>
      <c r="C127" s="21" t="s">
        <v>62</v>
      </c>
      <c r="D127" s="21" t="s">
        <v>161</v>
      </c>
      <c r="E127" s="21" t="s">
        <v>435</v>
      </c>
      <c r="F127" s="21">
        <v>1</v>
      </c>
      <c r="G127" s="21" t="s">
        <v>39</v>
      </c>
      <c r="H127" s="21"/>
      <c r="I127" s="21" t="s">
        <v>436</v>
      </c>
      <c r="J127" s="21" t="s">
        <v>159</v>
      </c>
      <c r="K127" s="21"/>
      <c r="L127" s="21" t="s">
        <v>437</v>
      </c>
      <c r="M127" s="21" t="s">
        <v>92</v>
      </c>
      <c r="N127" s="21"/>
    </row>
    <row r="128" spans="1:14" ht="36" customHeight="1">
      <c r="A128" s="22">
        <v>46275</v>
      </c>
      <c r="B128" s="21" t="s">
        <v>18</v>
      </c>
      <c r="C128" s="21" t="s">
        <v>62</v>
      </c>
      <c r="D128" s="21" t="s">
        <v>161</v>
      </c>
      <c r="E128" s="21" t="s">
        <v>438</v>
      </c>
      <c r="F128" s="21">
        <v>1</v>
      </c>
      <c r="G128" s="21" t="s">
        <v>39</v>
      </c>
      <c r="H128" s="21"/>
      <c r="I128" s="21" t="s">
        <v>439</v>
      </c>
      <c r="J128" s="21" t="s">
        <v>154</v>
      </c>
      <c r="K128" s="21"/>
      <c r="L128" s="21" t="s">
        <v>440</v>
      </c>
      <c r="M128" s="21" t="s">
        <v>92</v>
      </c>
      <c r="N128" s="21"/>
    </row>
    <row r="129" spans="1:14" ht="36" customHeight="1">
      <c r="A129" s="22">
        <v>46275</v>
      </c>
      <c r="B129" s="21" t="s">
        <v>18</v>
      </c>
      <c r="C129" s="21" t="s">
        <v>97</v>
      </c>
      <c r="D129" s="21" t="s">
        <v>98</v>
      </c>
      <c r="E129" s="21" t="s">
        <v>441</v>
      </c>
      <c r="F129" s="21">
        <v>1</v>
      </c>
      <c r="G129" s="21"/>
      <c r="H129" s="21"/>
      <c r="I129" s="21" t="s">
        <v>442</v>
      </c>
      <c r="J129" s="21"/>
      <c r="K129" s="21" t="s">
        <v>115</v>
      </c>
      <c r="L129" s="21" t="s">
        <v>443</v>
      </c>
      <c r="M129" s="21" t="s">
        <v>69</v>
      </c>
      <c r="N129" s="21" t="s">
        <v>96</v>
      </c>
    </row>
    <row r="130" spans="1:14" ht="36" customHeight="1">
      <c r="A130" s="22">
        <v>46276</v>
      </c>
      <c r="B130" s="21" t="s">
        <v>18</v>
      </c>
      <c r="C130" s="21" t="s">
        <v>74</v>
      </c>
      <c r="D130" s="21" t="s">
        <v>75</v>
      </c>
      <c r="E130" s="21" t="s">
        <v>444</v>
      </c>
      <c r="F130" s="21">
        <v>1</v>
      </c>
      <c r="G130" s="21"/>
      <c r="H130" s="21"/>
      <c r="I130" s="21" t="s">
        <v>445</v>
      </c>
      <c r="J130" s="21"/>
      <c r="K130" s="21" t="s">
        <v>446</v>
      </c>
      <c r="L130" s="21" t="s">
        <v>447</v>
      </c>
      <c r="M130" s="21" t="s">
        <v>69</v>
      </c>
      <c r="N130" s="21"/>
    </row>
    <row r="131" spans="1:14" ht="36" customHeight="1">
      <c r="A131" s="22">
        <v>46276</v>
      </c>
      <c r="B131" s="21" t="s">
        <v>18</v>
      </c>
      <c r="C131" s="21" t="s">
        <v>87</v>
      </c>
      <c r="D131" s="21" t="s">
        <v>88</v>
      </c>
      <c r="E131" s="21" t="s">
        <v>448</v>
      </c>
      <c r="F131" s="21">
        <v>1</v>
      </c>
      <c r="G131" s="21" t="s">
        <v>449</v>
      </c>
      <c r="H131" s="21" t="s">
        <v>450</v>
      </c>
      <c r="I131" s="21" t="s">
        <v>451</v>
      </c>
      <c r="J131" s="21"/>
      <c r="K131" s="21" t="s">
        <v>40</v>
      </c>
      <c r="L131" s="21" t="s">
        <v>452</v>
      </c>
      <c r="M131" s="21" t="s">
        <v>69</v>
      </c>
      <c r="N131" s="21" t="s">
        <v>217</v>
      </c>
    </row>
    <row r="132" spans="1:14" ht="36" customHeight="1">
      <c r="A132" s="22">
        <v>46276</v>
      </c>
      <c r="B132" s="21" t="s">
        <v>18</v>
      </c>
      <c r="C132" s="21" t="s">
        <v>97</v>
      </c>
      <c r="D132" s="21" t="s">
        <v>98</v>
      </c>
      <c r="E132" s="21" t="s">
        <v>453</v>
      </c>
      <c r="F132" s="21">
        <v>1</v>
      </c>
      <c r="G132" s="21" t="s">
        <v>65</v>
      </c>
      <c r="H132" s="21"/>
      <c r="I132" s="21"/>
      <c r="J132" s="21"/>
      <c r="K132" s="21"/>
      <c r="L132" s="21" t="s">
        <v>454</v>
      </c>
      <c r="M132" s="21" t="s">
        <v>69</v>
      </c>
      <c r="N132" s="21" t="s">
        <v>143</v>
      </c>
    </row>
    <row r="133" spans="1:14" ht="36" customHeight="1">
      <c r="A133" s="22">
        <v>46276</v>
      </c>
      <c r="B133" s="21" t="s">
        <v>18</v>
      </c>
      <c r="C133" s="21" t="s">
        <v>97</v>
      </c>
      <c r="D133" s="21" t="s">
        <v>98</v>
      </c>
      <c r="E133" s="21" t="s">
        <v>455</v>
      </c>
      <c r="F133" s="21">
        <v>1</v>
      </c>
      <c r="G133" s="21" t="s">
        <v>39</v>
      </c>
      <c r="H133" s="21"/>
      <c r="I133" s="21"/>
      <c r="J133" s="21" t="s">
        <v>154</v>
      </c>
      <c r="K133" s="21"/>
      <c r="L133" s="21" t="s">
        <v>456</v>
      </c>
      <c r="M133" s="21" t="s">
        <v>92</v>
      </c>
      <c r="N133" s="21"/>
    </row>
    <row r="134" spans="1:14" ht="36" customHeight="1">
      <c r="A134" s="22">
        <v>46277</v>
      </c>
      <c r="B134" s="21" t="s">
        <v>18</v>
      </c>
      <c r="C134" s="21" t="s">
        <v>74</v>
      </c>
      <c r="D134" s="21" t="s">
        <v>75</v>
      </c>
      <c r="E134" s="21" t="s">
        <v>457</v>
      </c>
      <c r="F134" s="21">
        <v>1</v>
      </c>
      <c r="G134" s="21" t="s">
        <v>458</v>
      </c>
      <c r="H134" s="21"/>
      <c r="I134" s="21" t="s">
        <v>78</v>
      </c>
      <c r="J134" s="21"/>
      <c r="K134" s="21" t="s">
        <v>78</v>
      </c>
      <c r="L134" s="21" t="s">
        <v>459</v>
      </c>
      <c r="M134" s="21" t="s">
        <v>69</v>
      </c>
      <c r="N134" s="21" t="s">
        <v>70</v>
      </c>
    </row>
    <row r="135" spans="1:14" ht="36" customHeight="1">
      <c r="A135" s="22">
        <v>46277</v>
      </c>
      <c r="B135" s="21" t="s">
        <v>18</v>
      </c>
      <c r="C135" s="21" t="s">
        <v>74</v>
      </c>
      <c r="D135" s="21" t="s">
        <v>75</v>
      </c>
      <c r="E135" s="21" t="s">
        <v>460</v>
      </c>
      <c r="F135" s="21">
        <v>1</v>
      </c>
      <c r="G135" s="21" t="s">
        <v>458</v>
      </c>
      <c r="H135" s="21"/>
      <c r="I135" s="21" t="s">
        <v>78</v>
      </c>
      <c r="J135" s="21"/>
      <c r="K135" s="21" t="s">
        <v>78</v>
      </c>
      <c r="L135" s="21" t="s">
        <v>461</v>
      </c>
      <c r="M135" s="21" t="s">
        <v>69</v>
      </c>
      <c r="N135" s="21" t="s">
        <v>70</v>
      </c>
    </row>
    <row r="136" spans="1:14" ht="36" customHeight="1">
      <c r="A136" s="22">
        <v>46277</v>
      </c>
      <c r="B136" s="21" t="s">
        <v>18</v>
      </c>
      <c r="C136" s="21" t="s">
        <v>74</v>
      </c>
      <c r="D136" s="21" t="s">
        <v>75</v>
      </c>
      <c r="E136" s="21" t="s">
        <v>462</v>
      </c>
      <c r="F136" s="21">
        <v>1</v>
      </c>
      <c r="G136" s="21" t="s">
        <v>458</v>
      </c>
      <c r="H136" s="21"/>
      <c r="I136" s="21" t="s">
        <v>78</v>
      </c>
      <c r="J136" s="21"/>
      <c r="K136" s="21" t="s">
        <v>78</v>
      </c>
      <c r="L136" s="21" t="s">
        <v>459</v>
      </c>
      <c r="M136" s="21" t="s">
        <v>69</v>
      </c>
      <c r="N136" s="21" t="s">
        <v>70</v>
      </c>
    </row>
    <row r="137" spans="1:14" ht="36" customHeight="1">
      <c r="A137" s="22">
        <v>46277</v>
      </c>
      <c r="B137" s="21" t="s">
        <v>18</v>
      </c>
      <c r="C137" s="21" t="s">
        <v>74</v>
      </c>
      <c r="D137" s="21" t="s">
        <v>75</v>
      </c>
      <c r="E137" s="21" t="s">
        <v>463</v>
      </c>
      <c r="F137" s="21">
        <v>1</v>
      </c>
      <c r="G137" s="21" t="s">
        <v>458</v>
      </c>
      <c r="H137" s="21"/>
      <c r="I137" s="21" t="s">
        <v>78</v>
      </c>
      <c r="J137" s="21"/>
      <c r="K137" s="21" t="s">
        <v>78</v>
      </c>
      <c r="L137" s="21" t="s">
        <v>459</v>
      </c>
      <c r="M137" s="21" t="s">
        <v>69</v>
      </c>
      <c r="N137" s="21" t="s">
        <v>70</v>
      </c>
    </row>
    <row r="138" spans="1:14" ht="36" customHeight="1">
      <c r="A138" s="22">
        <v>46277</v>
      </c>
      <c r="B138" s="21" t="s">
        <v>18</v>
      </c>
      <c r="C138" s="21" t="s">
        <v>74</v>
      </c>
      <c r="D138" s="21" t="s">
        <v>75</v>
      </c>
      <c r="E138" s="21" t="s">
        <v>464</v>
      </c>
      <c r="F138" s="21">
        <v>1</v>
      </c>
      <c r="G138" s="21" t="s">
        <v>39</v>
      </c>
      <c r="H138" s="21"/>
      <c r="I138" s="21" t="s">
        <v>465</v>
      </c>
      <c r="J138" s="21"/>
      <c r="K138" s="21" t="s">
        <v>40</v>
      </c>
      <c r="L138" s="21" t="s">
        <v>466</v>
      </c>
      <c r="M138" s="21" t="s">
        <v>69</v>
      </c>
      <c r="N138" s="21" t="s">
        <v>70</v>
      </c>
    </row>
    <row r="139" spans="1:14" ht="36" customHeight="1">
      <c r="A139" s="22">
        <v>46277</v>
      </c>
      <c r="B139" s="21" t="s">
        <v>18</v>
      </c>
      <c r="C139" s="21" t="s">
        <v>81</v>
      </c>
      <c r="D139" s="21" t="s">
        <v>82</v>
      </c>
      <c r="E139" s="21" t="s">
        <v>467</v>
      </c>
      <c r="F139" s="21">
        <v>1</v>
      </c>
      <c r="G139" s="21" t="s">
        <v>39</v>
      </c>
      <c r="H139" s="21"/>
      <c r="I139" s="21" t="s">
        <v>78</v>
      </c>
      <c r="J139" s="21"/>
      <c r="K139" s="21" t="s">
        <v>40</v>
      </c>
      <c r="L139" s="21" t="s">
        <v>468</v>
      </c>
      <c r="M139" s="21" t="s">
        <v>92</v>
      </c>
      <c r="N139" s="21"/>
    </row>
    <row r="140" spans="1:14" ht="36" customHeight="1">
      <c r="A140" s="22">
        <v>46277</v>
      </c>
      <c r="B140" s="21" t="s">
        <v>18</v>
      </c>
      <c r="C140" s="21" t="s">
        <v>62</v>
      </c>
      <c r="D140" s="21" t="s">
        <v>63</v>
      </c>
      <c r="E140" s="21" t="s">
        <v>469</v>
      </c>
      <c r="F140" s="21">
        <v>1</v>
      </c>
      <c r="G140" s="21" t="s">
        <v>470</v>
      </c>
      <c r="H140" s="21" t="s">
        <v>409</v>
      </c>
      <c r="I140" s="21" t="s">
        <v>471</v>
      </c>
      <c r="J140" s="21"/>
      <c r="K140" s="21" t="s">
        <v>472</v>
      </c>
      <c r="L140" s="21" t="s">
        <v>473</v>
      </c>
      <c r="M140" s="21" t="s">
        <v>38</v>
      </c>
      <c r="N140" s="21"/>
    </row>
    <row r="141" spans="1:14" ht="36" customHeight="1">
      <c r="A141" s="22">
        <v>46278</v>
      </c>
      <c r="B141" s="21" t="s">
        <v>18</v>
      </c>
      <c r="C141" s="21" t="s">
        <v>74</v>
      </c>
      <c r="D141" s="21" t="s">
        <v>75</v>
      </c>
      <c r="E141" s="21" t="s">
        <v>474</v>
      </c>
      <c r="F141" s="21">
        <v>1</v>
      </c>
      <c r="G141" s="21" t="s">
        <v>475</v>
      </c>
      <c r="H141" s="21" t="s">
        <v>476</v>
      </c>
      <c r="I141" s="21" t="s">
        <v>66</v>
      </c>
      <c r="J141" s="21"/>
      <c r="K141" s="21" t="s">
        <v>40</v>
      </c>
      <c r="L141" s="21" t="s">
        <v>477</v>
      </c>
      <c r="M141" s="21" t="s">
        <v>69</v>
      </c>
      <c r="N141" s="21" t="s">
        <v>478</v>
      </c>
    </row>
    <row r="142" spans="1:14" ht="36" customHeight="1">
      <c r="A142" s="22">
        <v>46278</v>
      </c>
      <c r="B142" s="21" t="s">
        <v>18</v>
      </c>
      <c r="C142" s="21" t="s">
        <v>74</v>
      </c>
      <c r="D142" s="21" t="s">
        <v>75</v>
      </c>
      <c r="E142" s="21" t="s">
        <v>479</v>
      </c>
      <c r="F142" s="21">
        <v>1</v>
      </c>
      <c r="G142" s="21" t="s">
        <v>39</v>
      </c>
      <c r="H142" s="21"/>
      <c r="I142" s="21" t="s">
        <v>78</v>
      </c>
      <c r="J142" s="21"/>
      <c r="K142" s="21"/>
      <c r="L142" s="21" t="s">
        <v>480</v>
      </c>
      <c r="M142" s="21" t="s">
        <v>92</v>
      </c>
      <c r="N142" s="21"/>
    </row>
    <row r="143" spans="1:14" ht="36" customHeight="1">
      <c r="A143" s="22">
        <v>46278</v>
      </c>
      <c r="B143" s="21" t="s">
        <v>18</v>
      </c>
      <c r="C143" s="21" t="s">
        <v>87</v>
      </c>
      <c r="D143" s="21" t="s">
        <v>88</v>
      </c>
      <c r="E143" s="21" t="s">
        <v>481</v>
      </c>
      <c r="F143" s="21">
        <v>1</v>
      </c>
      <c r="G143" s="21" t="s">
        <v>482</v>
      </c>
      <c r="H143" s="21" t="s">
        <v>483</v>
      </c>
      <c r="I143" s="21" t="s">
        <v>484</v>
      </c>
      <c r="J143" s="21"/>
      <c r="K143" s="21" t="s">
        <v>352</v>
      </c>
      <c r="L143" s="21" t="s">
        <v>485</v>
      </c>
      <c r="M143" s="21" t="s">
        <v>69</v>
      </c>
      <c r="N143" s="21" t="s">
        <v>217</v>
      </c>
    </row>
    <row r="144" spans="1:14" ht="36" customHeight="1">
      <c r="A144" s="22">
        <v>46278</v>
      </c>
      <c r="B144" s="21" t="s">
        <v>18</v>
      </c>
      <c r="C144" s="21" t="s">
        <v>87</v>
      </c>
      <c r="D144" s="21" t="s">
        <v>88</v>
      </c>
      <c r="E144" s="21" t="s">
        <v>486</v>
      </c>
      <c r="F144" s="21">
        <v>1</v>
      </c>
      <c r="G144" s="21" t="s">
        <v>482</v>
      </c>
      <c r="H144" s="21" t="s">
        <v>483</v>
      </c>
      <c r="I144" s="21" t="s">
        <v>484</v>
      </c>
      <c r="J144" s="21"/>
      <c r="K144" s="21" t="s">
        <v>352</v>
      </c>
      <c r="L144" s="21" t="s">
        <v>485</v>
      </c>
      <c r="M144" s="21" t="s">
        <v>69</v>
      </c>
      <c r="N144" s="21" t="s">
        <v>217</v>
      </c>
    </row>
    <row r="145" spans="1:14" ht="36" customHeight="1">
      <c r="A145" s="22">
        <v>46278</v>
      </c>
      <c r="B145" s="21" t="s">
        <v>18</v>
      </c>
      <c r="C145" s="21" t="s">
        <v>87</v>
      </c>
      <c r="D145" s="21" t="s">
        <v>88</v>
      </c>
      <c r="E145" s="21" t="s">
        <v>487</v>
      </c>
      <c r="F145" s="21">
        <v>1</v>
      </c>
      <c r="G145" s="21" t="s">
        <v>488</v>
      </c>
      <c r="H145" s="21" t="s">
        <v>489</v>
      </c>
      <c r="I145" s="21" t="s">
        <v>490</v>
      </c>
      <c r="J145" s="21"/>
      <c r="K145" s="21" t="s">
        <v>40</v>
      </c>
      <c r="L145" s="21" t="s">
        <v>491</v>
      </c>
      <c r="M145" s="21" t="s">
        <v>69</v>
      </c>
      <c r="N145" s="21" t="s">
        <v>70</v>
      </c>
    </row>
    <row r="146" spans="1:14" ht="36" customHeight="1">
      <c r="A146" s="22">
        <v>46278</v>
      </c>
      <c r="B146" s="21" t="s">
        <v>18</v>
      </c>
      <c r="C146" s="21" t="s">
        <v>87</v>
      </c>
      <c r="D146" s="21" t="s">
        <v>88</v>
      </c>
      <c r="E146" s="21" t="s">
        <v>492</v>
      </c>
      <c r="F146" s="21">
        <v>1</v>
      </c>
      <c r="G146" s="21" t="s">
        <v>488</v>
      </c>
      <c r="H146" s="21" t="s">
        <v>489</v>
      </c>
      <c r="I146" s="21" t="s">
        <v>490</v>
      </c>
      <c r="J146" s="21"/>
      <c r="K146" s="21" t="s">
        <v>40</v>
      </c>
      <c r="L146" s="21" t="s">
        <v>493</v>
      </c>
      <c r="M146" s="21" t="s">
        <v>69</v>
      </c>
      <c r="N146" s="21" t="s">
        <v>70</v>
      </c>
    </row>
    <row r="147" spans="1:14" ht="36" customHeight="1">
      <c r="A147" s="22">
        <v>46278</v>
      </c>
      <c r="B147" s="21" t="s">
        <v>18</v>
      </c>
      <c r="C147" s="21" t="s">
        <v>87</v>
      </c>
      <c r="D147" s="21" t="s">
        <v>88</v>
      </c>
      <c r="E147" s="21" t="s">
        <v>494</v>
      </c>
      <c r="F147" s="21">
        <v>1</v>
      </c>
      <c r="G147" s="21" t="s">
        <v>488</v>
      </c>
      <c r="H147" s="21" t="s">
        <v>489</v>
      </c>
      <c r="I147" s="21" t="s">
        <v>495</v>
      </c>
      <c r="J147" s="21"/>
      <c r="K147" s="21" t="s">
        <v>40</v>
      </c>
      <c r="L147" s="21" t="s">
        <v>491</v>
      </c>
      <c r="M147" s="21" t="s">
        <v>69</v>
      </c>
      <c r="N147" s="21" t="s">
        <v>70</v>
      </c>
    </row>
    <row r="148" spans="1:14" ht="36" customHeight="1">
      <c r="A148" s="22">
        <v>46278</v>
      </c>
      <c r="B148" s="21" t="s">
        <v>18</v>
      </c>
      <c r="C148" s="21" t="s">
        <v>62</v>
      </c>
      <c r="D148" s="21" t="s">
        <v>161</v>
      </c>
      <c r="E148" s="21" t="s">
        <v>496</v>
      </c>
      <c r="F148" s="21">
        <v>1</v>
      </c>
      <c r="G148" s="21" t="s">
        <v>65</v>
      </c>
      <c r="H148" s="21"/>
      <c r="I148" s="21" t="s">
        <v>497</v>
      </c>
      <c r="J148" s="21" t="s">
        <v>100</v>
      </c>
      <c r="K148" s="21" t="s">
        <v>40</v>
      </c>
      <c r="L148" s="21" t="s">
        <v>498</v>
      </c>
      <c r="M148" s="21" t="s">
        <v>92</v>
      </c>
      <c r="N148" s="21"/>
    </row>
    <row r="149" spans="1:14" ht="36" customHeight="1">
      <c r="A149" s="22">
        <v>46278</v>
      </c>
      <c r="B149" s="21" t="s">
        <v>18</v>
      </c>
      <c r="C149" s="21" t="s">
        <v>97</v>
      </c>
      <c r="D149" s="21" t="s">
        <v>98</v>
      </c>
      <c r="E149" s="21" t="s">
        <v>499</v>
      </c>
      <c r="F149" s="21">
        <v>1</v>
      </c>
      <c r="G149" s="21" t="s">
        <v>65</v>
      </c>
      <c r="H149" s="21"/>
      <c r="I149" s="21" t="s">
        <v>500</v>
      </c>
      <c r="J149" s="21"/>
      <c r="K149" s="21" t="s">
        <v>501</v>
      </c>
      <c r="L149" s="21" t="s">
        <v>502</v>
      </c>
      <c r="M149" s="21" t="s">
        <v>38</v>
      </c>
      <c r="N149" s="21"/>
    </row>
    <row r="150" spans="1:14" ht="36" customHeight="1">
      <c r="A150" s="22">
        <v>46278</v>
      </c>
      <c r="B150" s="21" t="s">
        <v>18</v>
      </c>
      <c r="C150" s="21" t="s">
        <v>97</v>
      </c>
      <c r="D150" s="21" t="s">
        <v>98</v>
      </c>
      <c r="E150" s="21" t="s">
        <v>503</v>
      </c>
      <c r="F150" s="21">
        <v>1</v>
      </c>
      <c r="G150" s="21" t="s">
        <v>39</v>
      </c>
      <c r="H150" s="21"/>
      <c r="I150" s="21" t="s">
        <v>504</v>
      </c>
      <c r="J150" s="21"/>
      <c r="K150" s="21" t="s">
        <v>505</v>
      </c>
      <c r="L150" s="21" t="s">
        <v>506</v>
      </c>
      <c r="M150" s="21" t="s">
        <v>38</v>
      </c>
      <c r="N150" s="21"/>
    </row>
    <row r="151" spans="1:14" ht="36" customHeight="1">
      <c r="A151" s="22">
        <v>46278</v>
      </c>
      <c r="B151" s="21" t="s">
        <v>18</v>
      </c>
      <c r="C151" s="21" t="s">
        <v>97</v>
      </c>
      <c r="D151" s="21" t="s">
        <v>98</v>
      </c>
      <c r="E151" s="21" t="s">
        <v>507</v>
      </c>
      <c r="F151" s="21">
        <v>1</v>
      </c>
      <c r="G151" s="21" t="s">
        <v>39</v>
      </c>
      <c r="H151" s="21"/>
      <c r="I151" s="21" t="s">
        <v>508</v>
      </c>
      <c r="J151" s="21"/>
      <c r="K151" s="21" t="s">
        <v>505</v>
      </c>
      <c r="L151" s="21" t="s">
        <v>506</v>
      </c>
      <c r="M151" s="21" t="s">
        <v>38</v>
      </c>
      <c r="N151" s="21"/>
    </row>
    <row r="152" spans="1:14" ht="36" customHeight="1">
      <c r="A152" s="22">
        <v>46278</v>
      </c>
      <c r="B152" s="21" t="s">
        <v>18</v>
      </c>
      <c r="C152" s="21" t="s">
        <v>97</v>
      </c>
      <c r="D152" s="21" t="s">
        <v>98</v>
      </c>
      <c r="E152" s="21" t="s">
        <v>509</v>
      </c>
      <c r="F152" s="21">
        <v>1</v>
      </c>
      <c r="G152" s="21" t="s">
        <v>39</v>
      </c>
      <c r="H152" s="21"/>
      <c r="I152" s="21" t="s">
        <v>510</v>
      </c>
      <c r="J152" s="21"/>
      <c r="K152" s="21" t="s">
        <v>505</v>
      </c>
      <c r="L152" s="21" t="s">
        <v>506</v>
      </c>
      <c r="M152" s="21" t="s">
        <v>38</v>
      </c>
      <c r="N152" s="21"/>
    </row>
    <row r="153" spans="1:14" ht="36" customHeight="1">
      <c r="A153" s="22">
        <v>46279</v>
      </c>
      <c r="B153" s="21" t="s">
        <v>18</v>
      </c>
      <c r="C153" s="21" t="s">
        <v>74</v>
      </c>
      <c r="D153" s="21" t="s">
        <v>75</v>
      </c>
      <c r="E153" s="21" t="s">
        <v>511</v>
      </c>
      <c r="F153" s="21">
        <v>1</v>
      </c>
      <c r="G153" s="21" t="s">
        <v>512</v>
      </c>
      <c r="H153" s="21" t="s">
        <v>513</v>
      </c>
      <c r="I153" s="21" t="s">
        <v>514</v>
      </c>
      <c r="J153" s="21"/>
      <c r="K153" s="21" t="s">
        <v>515</v>
      </c>
      <c r="L153" s="21" t="s">
        <v>516</v>
      </c>
      <c r="M153" s="21" t="s">
        <v>69</v>
      </c>
      <c r="N153" s="21" t="s">
        <v>517</v>
      </c>
    </row>
    <row r="154" spans="1:14" ht="36" customHeight="1">
      <c r="A154" s="22">
        <v>46279</v>
      </c>
      <c r="B154" s="21" t="s">
        <v>18</v>
      </c>
      <c r="C154" s="21" t="s">
        <v>74</v>
      </c>
      <c r="D154" s="21" t="s">
        <v>75</v>
      </c>
      <c r="E154" s="21" t="s">
        <v>518</v>
      </c>
      <c r="F154" s="21">
        <v>1</v>
      </c>
      <c r="G154" s="21" t="s">
        <v>512</v>
      </c>
      <c r="H154" s="21" t="s">
        <v>513</v>
      </c>
      <c r="I154" s="21" t="s">
        <v>519</v>
      </c>
      <c r="J154" s="21"/>
      <c r="K154" s="21" t="s">
        <v>515</v>
      </c>
      <c r="L154" s="21" t="s">
        <v>520</v>
      </c>
      <c r="M154" s="21" t="s">
        <v>69</v>
      </c>
      <c r="N154" s="21" t="s">
        <v>217</v>
      </c>
    </row>
    <row r="155" spans="1:14" ht="36" customHeight="1">
      <c r="A155" s="22">
        <v>46279</v>
      </c>
      <c r="B155" s="21" t="s">
        <v>18</v>
      </c>
      <c r="C155" s="21" t="s">
        <v>74</v>
      </c>
      <c r="D155" s="21" t="s">
        <v>75</v>
      </c>
      <c r="E155" s="21" t="s">
        <v>521</v>
      </c>
      <c r="F155" s="21">
        <v>1</v>
      </c>
      <c r="G155" s="21" t="s">
        <v>522</v>
      </c>
      <c r="H155" s="21" t="s">
        <v>173</v>
      </c>
      <c r="I155" s="21" t="s">
        <v>523</v>
      </c>
      <c r="J155" s="21"/>
      <c r="K155" s="21" t="s">
        <v>352</v>
      </c>
      <c r="L155" s="21" t="s">
        <v>524</v>
      </c>
      <c r="M155" s="21" t="s">
        <v>69</v>
      </c>
      <c r="N155" s="21" t="s">
        <v>183</v>
      </c>
    </row>
    <row r="156" spans="1:14" ht="36" customHeight="1">
      <c r="A156" s="22">
        <v>46279</v>
      </c>
      <c r="B156" s="21" t="s">
        <v>18</v>
      </c>
      <c r="C156" s="21" t="s">
        <v>74</v>
      </c>
      <c r="D156" s="21" t="s">
        <v>75</v>
      </c>
      <c r="E156" s="21" t="s">
        <v>525</v>
      </c>
      <c r="F156" s="21">
        <v>1</v>
      </c>
      <c r="G156" s="21" t="s">
        <v>522</v>
      </c>
      <c r="H156" s="21" t="s">
        <v>173</v>
      </c>
      <c r="I156" s="21" t="s">
        <v>526</v>
      </c>
      <c r="J156" s="21"/>
      <c r="K156" s="21" t="s">
        <v>352</v>
      </c>
      <c r="L156" s="21" t="s">
        <v>524</v>
      </c>
      <c r="M156" s="21" t="s">
        <v>69</v>
      </c>
      <c r="N156" s="21" t="s">
        <v>183</v>
      </c>
    </row>
    <row r="157" spans="1:14" ht="36" customHeight="1">
      <c r="A157" s="22">
        <v>46279</v>
      </c>
      <c r="B157" s="21" t="s">
        <v>18</v>
      </c>
      <c r="C157" s="21" t="s">
        <v>74</v>
      </c>
      <c r="D157" s="21" t="s">
        <v>75</v>
      </c>
      <c r="E157" s="21" t="s">
        <v>527</v>
      </c>
      <c r="F157" s="21">
        <v>1</v>
      </c>
      <c r="G157" s="21" t="s">
        <v>522</v>
      </c>
      <c r="H157" s="21" t="s">
        <v>173</v>
      </c>
      <c r="I157" s="21" t="s">
        <v>528</v>
      </c>
      <c r="J157" s="21"/>
      <c r="K157" s="21" t="s">
        <v>352</v>
      </c>
      <c r="L157" s="21" t="s">
        <v>524</v>
      </c>
      <c r="M157" s="21" t="s">
        <v>69</v>
      </c>
      <c r="N157" s="21" t="s">
        <v>183</v>
      </c>
    </row>
    <row r="158" spans="1:14" ht="36" customHeight="1">
      <c r="A158" s="22">
        <v>46279</v>
      </c>
      <c r="B158" s="21" t="s">
        <v>18</v>
      </c>
      <c r="C158" s="21" t="s">
        <v>81</v>
      </c>
      <c r="D158" s="21" t="s">
        <v>82</v>
      </c>
      <c r="E158" s="21" t="s">
        <v>529</v>
      </c>
      <c r="F158" s="21">
        <v>1</v>
      </c>
      <c r="G158" s="21" t="s">
        <v>530</v>
      </c>
      <c r="H158" s="21" t="s">
        <v>531</v>
      </c>
      <c r="I158" s="21" t="s">
        <v>532</v>
      </c>
      <c r="J158" s="21"/>
      <c r="K158" s="21" t="s">
        <v>352</v>
      </c>
      <c r="L158" s="21" t="s">
        <v>533</v>
      </c>
      <c r="M158" s="21" t="s">
        <v>38</v>
      </c>
      <c r="N158" s="21"/>
    </row>
    <row r="159" spans="1:14" ht="36" customHeight="1">
      <c r="A159" s="22">
        <v>46279</v>
      </c>
      <c r="B159" s="21" t="s">
        <v>18</v>
      </c>
      <c r="C159" s="21" t="s">
        <v>81</v>
      </c>
      <c r="D159" s="21" t="s">
        <v>82</v>
      </c>
      <c r="E159" s="21" t="s">
        <v>534</v>
      </c>
      <c r="F159" s="21">
        <v>1</v>
      </c>
      <c r="G159" s="21" t="s">
        <v>39</v>
      </c>
      <c r="H159" s="21"/>
      <c r="I159" s="21" t="s">
        <v>535</v>
      </c>
      <c r="J159" s="21" t="s">
        <v>154</v>
      </c>
      <c r="K159" s="21" t="s">
        <v>66</v>
      </c>
      <c r="L159" s="21" t="s">
        <v>536</v>
      </c>
      <c r="M159" s="21" t="s">
        <v>92</v>
      </c>
      <c r="N159" s="21"/>
    </row>
    <row r="160" spans="1:14" ht="36" customHeight="1">
      <c r="A160" s="22">
        <v>46279</v>
      </c>
      <c r="B160" s="21" t="s">
        <v>18</v>
      </c>
      <c r="C160" s="21" t="s">
        <v>81</v>
      </c>
      <c r="D160" s="21" t="s">
        <v>82</v>
      </c>
      <c r="E160" s="21" t="s">
        <v>537</v>
      </c>
      <c r="F160" s="21">
        <v>1</v>
      </c>
      <c r="G160" s="21" t="s">
        <v>39</v>
      </c>
      <c r="H160" s="21"/>
      <c r="I160" s="21" t="s">
        <v>538</v>
      </c>
      <c r="J160" s="21" t="s">
        <v>154</v>
      </c>
      <c r="K160" s="21" t="s">
        <v>66</v>
      </c>
      <c r="L160" s="21" t="s">
        <v>539</v>
      </c>
      <c r="M160" s="21" t="s">
        <v>92</v>
      </c>
      <c r="N160" s="21"/>
    </row>
    <row r="161" spans="1:14" ht="36" customHeight="1">
      <c r="A161" s="22">
        <v>46279</v>
      </c>
      <c r="B161" s="21" t="s">
        <v>18</v>
      </c>
      <c r="C161" s="21" t="s">
        <v>87</v>
      </c>
      <c r="D161" s="21" t="s">
        <v>88</v>
      </c>
      <c r="E161" s="21" t="s">
        <v>540</v>
      </c>
      <c r="F161" s="21">
        <v>1</v>
      </c>
      <c r="G161" s="21" t="s">
        <v>541</v>
      </c>
      <c r="H161" s="21"/>
      <c r="I161" s="21" t="s">
        <v>542</v>
      </c>
      <c r="J161" s="21"/>
      <c r="K161" s="21" t="s">
        <v>542</v>
      </c>
      <c r="L161" s="21" t="s">
        <v>543</v>
      </c>
      <c r="M161" s="21" t="s">
        <v>69</v>
      </c>
      <c r="N161" s="21" t="s">
        <v>544</v>
      </c>
    </row>
    <row r="162" spans="1:14" ht="36" customHeight="1">
      <c r="A162" s="22">
        <v>46279</v>
      </c>
      <c r="B162" s="21" t="s">
        <v>18</v>
      </c>
      <c r="C162" s="21" t="s">
        <v>87</v>
      </c>
      <c r="D162" s="21" t="s">
        <v>88</v>
      </c>
      <c r="E162" s="21" t="s">
        <v>545</v>
      </c>
      <c r="F162" s="21">
        <v>1</v>
      </c>
      <c r="G162" s="21" t="s">
        <v>39</v>
      </c>
      <c r="H162" s="21"/>
      <c r="I162" s="21" t="s">
        <v>546</v>
      </c>
      <c r="J162" s="21" t="s">
        <v>100</v>
      </c>
      <c r="K162" s="21" t="s">
        <v>547</v>
      </c>
      <c r="L162" s="21" t="s">
        <v>548</v>
      </c>
      <c r="M162" s="21" t="s">
        <v>92</v>
      </c>
      <c r="N162" s="21"/>
    </row>
    <row r="163" spans="1:14" ht="36" customHeight="1">
      <c r="A163" s="22">
        <v>46279</v>
      </c>
      <c r="B163" s="21" t="s">
        <v>18</v>
      </c>
      <c r="C163" s="21" t="s">
        <v>87</v>
      </c>
      <c r="D163" s="21" t="s">
        <v>88</v>
      </c>
      <c r="E163" s="21" t="s">
        <v>549</v>
      </c>
      <c r="F163" s="21">
        <v>1</v>
      </c>
      <c r="G163" s="21" t="s">
        <v>39</v>
      </c>
      <c r="H163" s="21"/>
      <c r="I163" s="21" t="s">
        <v>550</v>
      </c>
      <c r="J163" s="21"/>
      <c r="K163" s="21" t="s">
        <v>551</v>
      </c>
      <c r="L163" s="21" t="s">
        <v>552</v>
      </c>
      <c r="M163" s="21" t="s">
        <v>69</v>
      </c>
      <c r="N163" s="21" t="s">
        <v>96</v>
      </c>
    </row>
    <row r="164" spans="1:14" ht="36" customHeight="1">
      <c r="A164" s="22">
        <v>46279</v>
      </c>
      <c r="B164" s="21" t="s">
        <v>18</v>
      </c>
      <c r="C164" s="21" t="s">
        <v>62</v>
      </c>
      <c r="D164" s="21" t="s">
        <v>161</v>
      </c>
      <c r="E164" s="21" t="s">
        <v>553</v>
      </c>
      <c r="F164" s="21">
        <v>1</v>
      </c>
      <c r="G164" s="21" t="s">
        <v>77</v>
      </c>
      <c r="H164" s="21"/>
      <c r="I164" s="21" t="s">
        <v>554</v>
      </c>
      <c r="J164" s="21" t="s">
        <v>205</v>
      </c>
      <c r="K164" s="21" t="s">
        <v>555</v>
      </c>
      <c r="L164" s="21" t="s">
        <v>556</v>
      </c>
      <c r="M164" s="21" t="s">
        <v>69</v>
      </c>
      <c r="N164" s="21" t="s">
        <v>96</v>
      </c>
    </row>
    <row r="165" spans="1:14" ht="36" customHeight="1">
      <c r="A165" s="22">
        <v>46279</v>
      </c>
      <c r="B165" s="21" t="s">
        <v>18</v>
      </c>
      <c r="C165" s="21" t="s">
        <v>62</v>
      </c>
      <c r="D165" s="21" t="s">
        <v>161</v>
      </c>
      <c r="E165" s="21" t="s">
        <v>557</v>
      </c>
      <c r="F165" s="21">
        <v>1</v>
      </c>
      <c r="G165" s="21" t="s">
        <v>39</v>
      </c>
      <c r="H165" s="21"/>
      <c r="I165" s="21" t="s">
        <v>542</v>
      </c>
      <c r="J165" s="21"/>
      <c r="K165" s="21" t="s">
        <v>558</v>
      </c>
      <c r="L165" s="21" t="s">
        <v>559</v>
      </c>
      <c r="M165" s="21" t="s">
        <v>92</v>
      </c>
      <c r="N165" s="21"/>
    </row>
    <row r="166" spans="1:14" ht="36" customHeight="1">
      <c r="A166" s="22">
        <v>46280</v>
      </c>
      <c r="B166" s="21" t="s">
        <v>18</v>
      </c>
      <c r="C166" s="21" t="s">
        <v>74</v>
      </c>
      <c r="D166" s="21" t="s">
        <v>75</v>
      </c>
      <c r="E166" s="21" t="s">
        <v>560</v>
      </c>
      <c r="F166" s="21">
        <v>1</v>
      </c>
      <c r="G166" s="21" t="s">
        <v>235</v>
      </c>
      <c r="H166" s="21" t="s">
        <v>236</v>
      </c>
      <c r="I166" s="21" t="s">
        <v>67</v>
      </c>
      <c r="J166" s="21"/>
      <c r="K166" s="21"/>
      <c r="L166" s="21" t="s">
        <v>561</v>
      </c>
      <c r="M166" s="21" t="s">
        <v>69</v>
      </c>
      <c r="N166" s="21" t="s">
        <v>217</v>
      </c>
    </row>
    <row r="167" spans="1:14" ht="36" customHeight="1">
      <c r="A167" s="22">
        <v>46280</v>
      </c>
      <c r="B167" s="21" t="s">
        <v>18</v>
      </c>
      <c r="C167" s="21" t="s">
        <v>74</v>
      </c>
      <c r="D167" s="21" t="s">
        <v>75</v>
      </c>
      <c r="E167" s="21" t="s">
        <v>562</v>
      </c>
      <c r="F167" s="21">
        <v>1</v>
      </c>
      <c r="G167" s="21" t="s">
        <v>563</v>
      </c>
      <c r="H167" s="21"/>
      <c r="I167" s="21"/>
      <c r="J167" s="21"/>
      <c r="K167" s="21" t="s">
        <v>564</v>
      </c>
      <c r="L167" s="21" t="s">
        <v>565</v>
      </c>
      <c r="M167" s="21" t="s">
        <v>69</v>
      </c>
      <c r="N167" s="21" t="s">
        <v>566</v>
      </c>
    </row>
    <row r="168" spans="1:14" ht="36" customHeight="1">
      <c r="A168" s="22">
        <v>46280</v>
      </c>
      <c r="B168" s="21" t="s">
        <v>18</v>
      </c>
      <c r="C168" s="21" t="s">
        <v>74</v>
      </c>
      <c r="D168" s="21" t="s">
        <v>75</v>
      </c>
      <c r="E168" s="21" t="s">
        <v>567</v>
      </c>
      <c r="F168" s="21">
        <v>1</v>
      </c>
      <c r="G168" s="21" t="s">
        <v>563</v>
      </c>
      <c r="H168" s="21"/>
      <c r="I168" s="21"/>
      <c r="J168" s="21"/>
      <c r="K168" s="21" t="s">
        <v>564</v>
      </c>
      <c r="L168" s="21" t="s">
        <v>565</v>
      </c>
      <c r="M168" s="21" t="s">
        <v>69</v>
      </c>
      <c r="N168" s="21" t="s">
        <v>566</v>
      </c>
    </row>
    <row r="169" spans="1:14" ht="36" customHeight="1">
      <c r="A169" s="22">
        <v>46280</v>
      </c>
      <c r="B169" s="21" t="s">
        <v>18</v>
      </c>
      <c r="C169" s="21" t="s">
        <v>74</v>
      </c>
      <c r="D169" s="21" t="s">
        <v>75</v>
      </c>
      <c r="E169" s="21" t="s">
        <v>568</v>
      </c>
      <c r="F169" s="21">
        <v>1</v>
      </c>
      <c r="G169" s="21" t="s">
        <v>569</v>
      </c>
      <c r="H169" s="21" t="s">
        <v>570</v>
      </c>
      <c r="I169" s="21" t="s">
        <v>571</v>
      </c>
      <c r="J169" s="21"/>
      <c r="K169" s="21" t="s">
        <v>115</v>
      </c>
      <c r="L169" s="21" t="s">
        <v>572</v>
      </c>
      <c r="M169" s="21" t="s">
        <v>69</v>
      </c>
      <c r="N169" s="21" t="s">
        <v>183</v>
      </c>
    </row>
    <row r="170" spans="1:14" ht="36" customHeight="1">
      <c r="A170" s="22">
        <v>46280</v>
      </c>
      <c r="B170" s="21" t="s">
        <v>18</v>
      </c>
      <c r="C170" s="21" t="s">
        <v>74</v>
      </c>
      <c r="D170" s="21" t="s">
        <v>75</v>
      </c>
      <c r="E170" s="21" t="s">
        <v>573</v>
      </c>
      <c r="F170" s="21">
        <v>1</v>
      </c>
      <c r="G170" s="21" t="s">
        <v>569</v>
      </c>
      <c r="H170" s="21" t="s">
        <v>570</v>
      </c>
      <c r="I170" s="21" t="s">
        <v>571</v>
      </c>
      <c r="J170" s="21"/>
      <c r="K170" s="21" t="s">
        <v>115</v>
      </c>
      <c r="L170" s="21" t="s">
        <v>574</v>
      </c>
      <c r="M170" s="21" t="s">
        <v>69</v>
      </c>
      <c r="N170" s="21" t="s">
        <v>183</v>
      </c>
    </row>
    <row r="171" spans="1:14" ht="36" customHeight="1">
      <c r="A171" s="22">
        <v>46280</v>
      </c>
      <c r="B171" s="21" t="s">
        <v>18</v>
      </c>
      <c r="C171" s="21" t="s">
        <v>74</v>
      </c>
      <c r="D171" s="21" t="s">
        <v>75</v>
      </c>
      <c r="E171" s="21" t="s">
        <v>575</v>
      </c>
      <c r="F171" s="21">
        <v>1</v>
      </c>
      <c r="G171" s="21" t="s">
        <v>569</v>
      </c>
      <c r="H171" s="21" t="s">
        <v>570</v>
      </c>
      <c r="I171" s="21" t="s">
        <v>571</v>
      </c>
      <c r="J171" s="21"/>
      <c r="K171" s="21" t="s">
        <v>115</v>
      </c>
      <c r="L171" s="21" t="s">
        <v>572</v>
      </c>
      <c r="M171" s="21" t="s">
        <v>69</v>
      </c>
      <c r="N171" s="21" t="s">
        <v>183</v>
      </c>
    </row>
    <row r="172" spans="1:14" ht="36" customHeight="1">
      <c r="A172" s="22">
        <v>46280</v>
      </c>
      <c r="B172" s="21" t="s">
        <v>18</v>
      </c>
      <c r="C172" s="21" t="s">
        <v>81</v>
      </c>
      <c r="D172" s="21" t="s">
        <v>82</v>
      </c>
      <c r="E172" s="21" t="s">
        <v>576</v>
      </c>
      <c r="F172" s="21">
        <v>1</v>
      </c>
      <c r="G172" s="21" t="s">
        <v>39</v>
      </c>
      <c r="H172" s="21" t="s">
        <v>82</v>
      </c>
      <c r="I172" s="21" t="s">
        <v>577</v>
      </c>
      <c r="J172" s="21"/>
      <c r="K172" s="21"/>
      <c r="L172" s="21" t="s">
        <v>578</v>
      </c>
      <c r="M172" s="21" t="s">
        <v>69</v>
      </c>
      <c r="N172" s="21" t="s">
        <v>70</v>
      </c>
    </row>
    <row r="173" spans="1:14" ht="36" customHeight="1">
      <c r="A173" s="22">
        <v>46280</v>
      </c>
      <c r="B173" s="21" t="s">
        <v>18</v>
      </c>
      <c r="C173" s="21" t="s">
        <v>81</v>
      </c>
      <c r="D173" s="21" t="s">
        <v>82</v>
      </c>
      <c r="E173" s="21" t="s">
        <v>579</v>
      </c>
      <c r="F173" s="21">
        <v>1</v>
      </c>
      <c r="G173" s="21" t="s">
        <v>39</v>
      </c>
      <c r="H173" s="21" t="s">
        <v>82</v>
      </c>
      <c r="I173" s="21" t="s">
        <v>580</v>
      </c>
      <c r="J173" s="21"/>
      <c r="K173" s="21"/>
      <c r="L173" s="21" t="s">
        <v>581</v>
      </c>
      <c r="M173" s="21" t="s">
        <v>69</v>
      </c>
      <c r="N173" s="21" t="s">
        <v>309</v>
      </c>
    </row>
    <row r="174" spans="1:14" ht="36" customHeight="1">
      <c r="A174" s="22">
        <v>46280</v>
      </c>
      <c r="B174" s="21" t="s">
        <v>18</v>
      </c>
      <c r="C174" s="21" t="s">
        <v>87</v>
      </c>
      <c r="D174" s="21" t="s">
        <v>88</v>
      </c>
      <c r="E174" s="21" t="s">
        <v>582</v>
      </c>
      <c r="F174" s="21">
        <v>1</v>
      </c>
      <c r="G174" s="21" t="s">
        <v>39</v>
      </c>
      <c r="H174" s="21"/>
      <c r="I174" s="21" t="s">
        <v>78</v>
      </c>
      <c r="J174" s="21"/>
      <c r="K174" s="21"/>
      <c r="L174" s="21" t="s">
        <v>583</v>
      </c>
      <c r="M174" s="21" t="s">
        <v>69</v>
      </c>
      <c r="N174" s="21" t="s">
        <v>70</v>
      </c>
    </row>
    <row r="175" spans="1:14" ht="36" customHeight="1">
      <c r="A175" s="22">
        <v>46280</v>
      </c>
      <c r="B175" s="21" t="s">
        <v>18</v>
      </c>
      <c r="C175" s="21" t="s">
        <v>87</v>
      </c>
      <c r="D175" s="21" t="s">
        <v>88</v>
      </c>
      <c r="E175" s="21" t="s">
        <v>584</v>
      </c>
      <c r="F175" s="21">
        <v>1</v>
      </c>
      <c r="G175" s="21" t="s">
        <v>39</v>
      </c>
      <c r="H175" s="21"/>
      <c r="I175" s="21" t="s">
        <v>78</v>
      </c>
      <c r="J175" s="21"/>
      <c r="K175" s="21"/>
      <c r="L175" s="21" t="s">
        <v>583</v>
      </c>
      <c r="M175" s="21" t="s">
        <v>69</v>
      </c>
      <c r="N175" s="21" t="s">
        <v>70</v>
      </c>
    </row>
    <row r="176" spans="1:14" ht="36" customHeight="1">
      <c r="A176" s="22">
        <v>46280</v>
      </c>
      <c r="B176" s="21" t="s">
        <v>18</v>
      </c>
      <c r="C176" s="21" t="s">
        <v>87</v>
      </c>
      <c r="D176" s="21" t="s">
        <v>88</v>
      </c>
      <c r="E176" s="21" t="s">
        <v>585</v>
      </c>
      <c r="F176" s="21">
        <v>1</v>
      </c>
      <c r="G176" s="21" t="s">
        <v>39</v>
      </c>
      <c r="H176" s="21"/>
      <c r="I176" s="21"/>
      <c r="J176" s="21"/>
      <c r="K176" s="21"/>
      <c r="L176" s="21" t="s">
        <v>586</v>
      </c>
      <c r="M176" s="21" t="s">
        <v>69</v>
      </c>
      <c r="N176" s="21" t="s">
        <v>70</v>
      </c>
    </row>
    <row r="177" spans="1:14" ht="36" customHeight="1">
      <c r="A177" s="22">
        <v>46280</v>
      </c>
      <c r="B177" s="21" t="s">
        <v>18</v>
      </c>
      <c r="C177" s="21" t="s">
        <v>62</v>
      </c>
      <c r="D177" s="21" t="s">
        <v>63</v>
      </c>
      <c r="E177" s="21" t="s">
        <v>587</v>
      </c>
      <c r="F177" s="21">
        <v>1</v>
      </c>
      <c r="G177" s="21" t="s">
        <v>588</v>
      </c>
      <c r="H177" s="21" t="s">
        <v>589</v>
      </c>
      <c r="I177" s="21" t="s">
        <v>78</v>
      </c>
      <c r="J177" s="21"/>
      <c r="K177" s="21" t="s">
        <v>78</v>
      </c>
      <c r="L177" s="21" t="s">
        <v>590</v>
      </c>
      <c r="M177" s="21" t="s">
        <v>69</v>
      </c>
      <c r="N177" s="21" t="s">
        <v>217</v>
      </c>
    </row>
    <row r="178" spans="1:14" ht="36" customHeight="1">
      <c r="A178" s="22">
        <v>46280</v>
      </c>
      <c r="B178" s="21" t="s">
        <v>18</v>
      </c>
      <c r="C178" s="21" t="s">
        <v>62</v>
      </c>
      <c r="D178" s="21" t="s">
        <v>63</v>
      </c>
      <c r="E178" s="21" t="s">
        <v>591</v>
      </c>
      <c r="F178" s="21">
        <v>1</v>
      </c>
      <c r="G178" s="21" t="s">
        <v>592</v>
      </c>
      <c r="H178" s="21" t="s">
        <v>593</v>
      </c>
      <c r="I178" s="21" t="s">
        <v>594</v>
      </c>
      <c r="J178" s="21"/>
      <c r="K178" s="21" t="s">
        <v>410</v>
      </c>
      <c r="L178" s="21" t="s">
        <v>595</v>
      </c>
      <c r="M178" s="21" t="s">
        <v>69</v>
      </c>
      <c r="N178" s="21" t="s">
        <v>217</v>
      </c>
    </row>
    <row r="179" spans="1:14" ht="36" customHeight="1">
      <c r="A179" s="22">
        <v>46280</v>
      </c>
      <c r="B179" s="21" t="s">
        <v>18</v>
      </c>
      <c r="C179" s="21" t="s">
        <v>62</v>
      </c>
      <c r="D179" s="21" t="s">
        <v>63</v>
      </c>
      <c r="E179" s="21" t="s">
        <v>596</v>
      </c>
      <c r="F179" s="21">
        <v>1</v>
      </c>
      <c r="G179" s="21" t="s">
        <v>592</v>
      </c>
      <c r="H179" s="21" t="s">
        <v>593</v>
      </c>
      <c r="I179" s="21" t="s">
        <v>597</v>
      </c>
      <c r="J179" s="21"/>
      <c r="K179" s="21" t="s">
        <v>410</v>
      </c>
      <c r="L179" s="21" t="s">
        <v>598</v>
      </c>
      <c r="M179" s="21" t="s">
        <v>69</v>
      </c>
      <c r="N179" s="21" t="s">
        <v>217</v>
      </c>
    </row>
    <row r="180" spans="1:14" ht="36" customHeight="1">
      <c r="A180" s="22">
        <v>46280</v>
      </c>
      <c r="B180" s="21" t="s">
        <v>18</v>
      </c>
      <c r="C180" s="21" t="s">
        <v>62</v>
      </c>
      <c r="D180" s="21" t="s">
        <v>63</v>
      </c>
      <c r="E180" s="21" t="s">
        <v>599</v>
      </c>
      <c r="F180" s="21">
        <v>1</v>
      </c>
      <c r="G180" s="21" t="s">
        <v>39</v>
      </c>
      <c r="H180" s="21"/>
      <c r="I180" s="21" t="s">
        <v>600</v>
      </c>
      <c r="J180" s="21"/>
      <c r="K180" s="21" t="s">
        <v>106</v>
      </c>
      <c r="L180" s="21" t="s">
        <v>601</v>
      </c>
      <c r="M180" s="21" t="s">
        <v>92</v>
      </c>
      <c r="N180" s="21"/>
    </row>
    <row r="181" spans="1:14" ht="36" customHeight="1">
      <c r="A181" s="22">
        <v>46281</v>
      </c>
      <c r="B181" s="21" t="s">
        <v>18</v>
      </c>
      <c r="C181" s="21" t="s">
        <v>81</v>
      </c>
      <c r="D181" s="21" t="s">
        <v>82</v>
      </c>
      <c r="E181" s="21" t="s">
        <v>602</v>
      </c>
      <c r="F181" s="21">
        <v>1</v>
      </c>
      <c r="G181" s="21" t="s">
        <v>603</v>
      </c>
      <c r="H181" s="21" t="s">
        <v>604</v>
      </c>
      <c r="I181" s="21" t="s">
        <v>605</v>
      </c>
      <c r="J181" s="21"/>
      <c r="K181" s="21" t="s">
        <v>410</v>
      </c>
      <c r="L181" s="21" t="s">
        <v>606</v>
      </c>
      <c r="M181" s="21" t="s">
        <v>92</v>
      </c>
      <c r="N181" s="21"/>
    </row>
    <row r="182" spans="1:14" ht="36" customHeight="1">
      <c r="A182" s="22">
        <v>46281</v>
      </c>
      <c r="B182" s="21" t="s">
        <v>18</v>
      </c>
      <c r="C182" s="21" t="s">
        <v>81</v>
      </c>
      <c r="D182" s="21" t="s">
        <v>82</v>
      </c>
      <c r="E182" s="21" t="s">
        <v>607</v>
      </c>
      <c r="F182" s="21">
        <v>1</v>
      </c>
      <c r="G182" s="21" t="s">
        <v>603</v>
      </c>
      <c r="H182" s="21" t="s">
        <v>604</v>
      </c>
      <c r="I182" s="21" t="s">
        <v>608</v>
      </c>
      <c r="J182" s="21"/>
      <c r="K182" s="21" t="s">
        <v>410</v>
      </c>
      <c r="L182" s="21" t="s">
        <v>609</v>
      </c>
      <c r="M182" s="21" t="s">
        <v>69</v>
      </c>
      <c r="N182" s="21" t="s">
        <v>217</v>
      </c>
    </row>
    <row r="183" spans="1:14" ht="36" customHeight="1">
      <c r="A183" s="22">
        <v>46281</v>
      </c>
      <c r="B183" s="21" t="s">
        <v>18</v>
      </c>
      <c r="C183" s="21" t="s">
        <v>81</v>
      </c>
      <c r="D183" s="21" t="s">
        <v>82</v>
      </c>
      <c r="E183" s="21" t="s">
        <v>610</v>
      </c>
      <c r="F183" s="21">
        <v>1</v>
      </c>
      <c r="G183" s="21" t="s">
        <v>603</v>
      </c>
      <c r="H183" s="21" t="s">
        <v>604</v>
      </c>
      <c r="I183" s="21" t="s">
        <v>608</v>
      </c>
      <c r="J183" s="21"/>
      <c r="K183" s="21" t="s">
        <v>410</v>
      </c>
      <c r="L183" s="21" t="s">
        <v>611</v>
      </c>
      <c r="M183" s="21" t="s">
        <v>69</v>
      </c>
      <c r="N183" s="21" t="s">
        <v>217</v>
      </c>
    </row>
    <row r="184" spans="1:14" ht="36" customHeight="1">
      <c r="A184" s="22">
        <v>46282</v>
      </c>
      <c r="B184" s="21" t="s">
        <v>18</v>
      </c>
      <c r="C184" s="21" t="s">
        <v>87</v>
      </c>
      <c r="D184" s="21" t="s">
        <v>88</v>
      </c>
      <c r="E184" s="21" t="s">
        <v>612</v>
      </c>
      <c r="F184" s="21">
        <v>1</v>
      </c>
      <c r="G184" s="21" t="s">
        <v>65</v>
      </c>
      <c r="H184" s="21"/>
      <c r="I184" s="21" t="s">
        <v>78</v>
      </c>
      <c r="J184" s="21"/>
      <c r="K184" s="21" t="s">
        <v>78</v>
      </c>
      <c r="L184" s="21" t="s">
        <v>613</v>
      </c>
      <c r="M184" s="21" t="s">
        <v>69</v>
      </c>
      <c r="N184" s="21" t="s">
        <v>70</v>
      </c>
    </row>
    <row r="185" spans="1:14" ht="36" customHeight="1">
      <c r="A185" s="22">
        <v>46282</v>
      </c>
      <c r="B185" s="21" t="s">
        <v>18</v>
      </c>
      <c r="C185" s="21" t="s">
        <v>87</v>
      </c>
      <c r="D185" s="21" t="s">
        <v>88</v>
      </c>
      <c r="E185" s="21" t="s">
        <v>614</v>
      </c>
      <c r="F185" s="21">
        <v>1</v>
      </c>
      <c r="G185" s="21" t="s">
        <v>65</v>
      </c>
      <c r="H185" s="21"/>
      <c r="I185" s="21" t="s">
        <v>78</v>
      </c>
      <c r="J185" s="21"/>
      <c r="K185" s="21" t="s">
        <v>78</v>
      </c>
      <c r="L185" s="21" t="s">
        <v>615</v>
      </c>
      <c r="M185" s="21" t="s">
        <v>69</v>
      </c>
      <c r="N185" s="21" t="s">
        <v>70</v>
      </c>
    </row>
    <row r="186" spans="1:14" ht="36" customHeight="1">
      <c r="A186" s="22">
        <v>46282</v>
      </c>
      <c r="B186" s="21" t="s">
        <v>18</v>
      </c>
      <c r="C186" s="21" t="s">
        <v>87</v>
      </c>
      <c r="D186" s="21" t="s">
        <v>88</v>
      </c>
      <c r="E186" s="21" t="s">
        <v>616</v>
      </c>
      <c r="F186" s="21">
        <v>1</v>
      </c>
      <c r="G186" s="21" t="s">
        <v>65</v>
      </c>
      <c r="H186" s="21"/>
      <c r="I186" s="21" t="s">
        <v>78</v>
      </c>
      <c r="J186" s="21"/>
      <c r="K186" s="21" t="s">
        <v>78</v>
      </c>
      <c r="L186" s="21" t="s">
        <v>615</v>
      </c>
      <c r="M186" s="21" t="s">
        <v>69</v>
      </c>
      <c r="N186" s="21" t="s">
        <v>70</v>
      </c>
    </row>
    <row r="187" spans="1:14" ht="36" customHeight="1">
      <c r="A187" s="22">
        <v>46282</v>
      </c>
      <c r="B187" s="21" t="s">
        <v>18</v>
      </c>
      <c r="C187" s="21" t="s">
        <v>87</v>
      </c>
      <c r="D187" s="21" t="s">
        <v>88</v>
      </c>
      <c r="E187" s="21" t="s">
        <v>617</v>
      </c>
      <c r="F187" s="21">
        <v>1</v>
      </c>
      <c r="G187" s="21" t="s">
        <v>39</v>
      </c>
      <c r="H187" s="21"/>
      <c r="I187" s="21" t="s">
        <v>618</v>
      </c>
      <c r="J187" s="21"/>
      <c r="K187" s="21" t="s">
        <v>40</v>
      </c>
      <c r="L187" s="21" t="s">
        <v>619</v>
      </c>
      <c r="M187" s="21" t="s">
        <v>92</v>
      </c>
      <c r="N187" s="21"/>
    </row>
    <row r="188" spans="1:14" ht="36" customHeight="1">
      <c r="A188" s="22">
        <v>46282</v>
      </c>
      <c r="B188" s="21" t="s">
        <v>18</v>
      </c>
      <c r="C188" s="21" t="s">
        <v>62</v>
      </c>
      <c r="D188" s="21" t="s">
        <v>161</v>
      </c>
      <c r="E188" s="21" t="s">
        <v>620</v>
      </c>
      <c r="F188" s="21">
        <v>1</v>
      </c>
      <c r="G188" s="21" t="s">
        <v>39</v>
      </c>
      <c r="H188" s="21"/>
      <c r="I188" s="21" t="s">
        <v>621</v>
      </c>
      <c r="J188" s="21"/>
      <c r="K188" s="21" t="s">
        <v>40</v>
      </c>
      <c r="L188" s="21" t="s">
        <v>622</v>
      </c>
      <c r="M188" s="21" t="s">
        <v>92</v>
      </c>
      <c r="N188" s="21"/>
    </row>
    <row r="189" spans="1:14" ht="36" customHeight="1">
      <c r="A189" s="22">
        <v>46282</v>
      </c>
      <c r="B189" s="21" t="s">
        <v>18</v>
      </c>
      <c r="C189" s="21" t="s">
        <v>62</v>
      </c>
      <c r="D189" s="21" t="s">
        <v>161</v>
      </c>
      <c r="E189" s="21" t="s">
        <v>623</v>
      </c>
      <c r="F189" s="21">
        <v>1</v>
      </c>
      <c r="G189" s="21" t="s">
        <v>39</v>
      </c>
      <c r="H189" s="21"/>
      <c r="I189" s="21" t="s">
        <v>621</v>
      </c>
      <c r="J189" s="21"/>
      <c r="K189" s="21" t="s">
        <v>40</v>
      </c>
      <c r="L189" s="21" t="s">
        <v>622</v>
      </c>
      <c r="M189" s="21" t="s">
        <v>92</v>
      </c>
      <c r="N189" s="21"/>
    </row>
    <row r="190" spans="1:14" ht="36" customHeight="1">
      <c r="A190" s="22">
        <v>46282</v>
      </c>
      <c r="B190" s="21" t="s">
        <v>18</v>
      </c>
      <c r="C190" s="21" t="s">
        <v>62</v>
      </c>
      <c r="D190" s="21" t="s">
        <v>161</v>
      </c>
      <c r="E190" s="21" t="s">
        <v>624</v>
      </c>
      <c r="F190" s="21">
        <v>1</v>
      </c>
      <c r="G190" s="21" t="s">
        <v>39</v>
      </c>
      <c r="H190" s="21"/>
      <c r="I190" s="21" t="s">
        <v>621</v>
      </c>
      <c r="J190" s="21"/>
      <c r="K190" s="21" t="s">
        <v>40</v>
      </c>
      <c r="L190" s="21" t="s">
        <v>622</v>
      </c>
      <c r="M190" s="21" t="s">
        <v>92</v>
      </c>
      <c r="N190" s="21"/>
    </row>
    <row r="191" spans="1:14" ht="36" customHeight="1">
      <c r="A191" s="22">
        <v>46282</v>
      </c>
      <c r="B191" s="21" t="s">
        <v>18</v>
      </c>
      <c r="C191" s="21" t="s">
        <v>62</v>
      </c>
      <c r="D191" s="21" t="s">
        <v>161</v>
      </c>
      <c r="E191" s="21" t="s">
        <v>625</v>
      </c>
      <c r="F191" s="21">
        <v>1</v>
      </c>
      <c r="G191" s="21" t="s">
        <v>65</v>
      </c>
      <c r="H191" s="21"/>
      <c r="I191" s="21" t="s">
        <v>66</v>
      </c>
      <c r="J191" s="21"/>
      <c r="K191" s="21" t="s">
        <v>626</v>
      </c>
      <c r="L191" s="21" t="s">
        <v>627</v>
      </c>
      <c r="M191" s="21" t="s">
        <v>69</v>
      </c>
      <c r="N191" s="21" t="s">
        <v>70</v>
      </c>
    </row>
    <row r="192" spans="1:14" ht="36" customHeight="1">
      <c r="A192" s="22">
        <v>46282</v>
      </c>
      <c r="B192" s="21" t="s">
        <v>18</v>
      </c>
      <c r="C192" s="21" t="s">
        <v>62</v>
      </c>
      <c r="D192" s="21" t="s">
        <v>161</v>
      </c>
      <c r="E192" s="21" t="s">
        <v>628</v>
      </c>
      <c r="F192" s="21">
        <v>1</v>
      </c>
      <c r="G192" s="21" t="s">
        <v>39</v>
      </c>
      <c r="H192" s="21"/>
      <c r="I192" s="21" t="s">
        <v>66</v>
      </c>
      <c r="J192" s="21" t="s">
        <v>159</v>
      </c>
      <c r="K192" s="21" t="s">
        <v>629</v>
      </c>
      <c r="L192" s="21" t="s">
        <v>630</v>
      </c>
      <c r="M192" s="21" t="s">
        <v>92</v>
      </c>
      <c r="N192" s="21"/>
    </row>
    <row r="193" spans="1:14" ht="36" customHeight="1">
      <c r="A193" s="22">
        <v>46282</v>
      </c>
      <c r="B193" s="21" t="s">
        <v>18</v>
      </c>
      <c r="C193" s="21" t="s">
        <v>97</v>
      </c>
      <c r="D193" s="21" t="s">
        <v>98</v>
      </c>
      <c r="E193" s="21" t="s">
        <v>631</v>
      </c>
      <c r="F193" s="21">
        <v>1</v>
      </c>
      <c r="G193" s="21" t="s">
        <v>39</v>
      </c>
      <c r="H193" s="21"/>
      <c r="I193" s="21" t="s">
        <v>632</v>
      </c>
      <c r="J193" s="21"/>
      <c r="K193" s="21" t="s">
        <v>633</v>
      </c>
      <c r="L193" s="21" t="s">
        <v>634</v>
      </c>
      <c r="M193" s="21" t="s">
        <v>38</v>
      </c>
      <c r="N193" s="21"/>
    </row>
    <row r="194" spans="1:14" ht="36" customHeight="1">
      <c r="A194" s="22">
        <v>46282</v>
      </c>
      <c r="B194" s="21" t="s">
        <v>18</v>
      </c>
      <c r="C194" s="21" t="s">
        <v>97</v>
      </c>
      <c r="D194" s="21" t="s">
        <v>98</v>
      </c>
      <c r="E194" s="21" t="s">
        <v>635</v>
      </c>
      <c r="F194" s="21">
        <v>1</v>
      </c>
      <c r="G194" s="21" t="s">
        <v>39</v>
      </c>
      <c r="H194" s="21"/>
      <c r="I194" s="21" t="s">
        <v>636</v>
      </c>
      <c r="J194" s="21"/>
      <c r="K194" s="21" t="s">
        <v>633</v>
      </c>
      <c r="L194" s="21" t="s">
        <v>634</v>
      </c>
      <c r="M194" s="21" t="s">
        <v>38</v>
      </c>
      <c r="N194" s="21"/>
    </row>
    <row r="195" spans="1:14" ht="36" customHeight="1">
      <c r="A195" s="22">
        <v>46283</v>
      </c>
      <c r="B195" s="21" t="s">
        <v>18</v>
      </c>
      <c r="C195" s="21" t="s">
        <v>74</v>
      </c>
      <c r="D195" s="21" t="s">
        <v>75</v>
      </c>
      <c r="E195" s="21" t="s">
        <v>637</v>
      </c>
      <c r="F195" s="21">
        <v>1</v>
      </c>
      <c r="G195" s="21" t="s">
        <v>638</v>
      </c>
      <c r="H195" s="21" t="s">
        <v>639</v>
      </c>
      <c r="I195" s="21" t="s">
        <v>640</v>
      </c>
      <c r="J195" s="21"/>
      <c r="K195" s="21" t="s">
        <v>352</v>
      </c>
      <c r="L195" s="21" t="s">
        <v>641</v>
      </c>
      <c r="M195" s="21" t="s">
        <v>69</v>
      </c>
      <c r="N195" s="21" t="s">
        <v>183</v>
      </c>
    </row>
    <row r="196" spans="1:14" ht="36" customHeight="1">
      <c r="A196" s="22">
        <v>46283</v>
      </c>
      <c r="B196" s="21" t="s">
        <v>18</v>
      </c>
      <c r="C196" s="21" t="s">
        <v>74</v>
      </c>
      <c r="D196" s="21" t="s">
        <v>75</v>
      </c>
      <c r="E196" s="21" t="s">
        <v>642</v>
      </c>
      <c r="F196" s="21">
        <v>1</v>
      </c>
      <c r="G196" s="21" t="s">
        <v>638</v>
      </c>
      <c r="H196" s="21" t="s">
        <v>639</v>
      </c>
      <c r="I196" s="21" t="s">
        <v>640</v>
      </c>
      <c r="J196" s="21"/>
      <c r="K196" s="21" t="s">
        <v>352</v>
      </c>
      <c r="L196" s="21" t="s">
        <v>641</v>
      </c>
      <c r="M196" s="21" t="s">
        <v>69</v>
      </c>
      <c r="N196" s="21" t="s">
        <v>183</v>
      </c>
    </row>
    <row r="197" spans="1:14" ht="36" customHeight="1">
      <c r="A197" s="22">
        <v>46283</v>
      </c>
      <c r="B197" s="21" t="s">
        <v>18</v>
      </c>
      <c r="C197" s="21" t="s">
        <v>87</v>
      </c>
      <c r="D197" s="21" t="s">
        <v>88</v>
      </c>
      <c r="E197" s="21" t="s">
        <v>643</v>
      </c>
      <c r="F197" s="21">
        <v>1</v>
      </c>
      <c r="G197" s="21" t="s">
        <v>39</v>
      </c>
      <c r="H197" s="21"/>
      <c r="I197" s="21" t="s">
        <v>78</v>
      </c>
      <c r="J197" s="21" t="s">
        <v>154</v>
      </c>
      <c r="K197" s="21" t="s">
        <v>427</v>
      </c>
      <c r="L197" s="21" t="s">
        <v>644</v>
      </c>
      <c r="M197" s="21" t="s">
        <v>92</v>
      </c>
      <c r="N197" s="21"/>
    </row>
    <row r="198" spans="1:14" ht="36" customHeight="1">
      <c r="A198" s="22">
        <v>46283</v>
      </c>
      <c r="B198" s="21" t="s">
        <v>18</v>
      </c>
      <c r="C198" s="21" t="s">
        <v>87</v>
      </c>
      <c r="D198" s="21" t="s">
        <v>88</v>
      </c>
      <c r="E198" s="21" t="s">
        <v>645</v>
      </c>
      <c r="F198" s="21">
        <v>1</v>
      </c>
      <c r="G198" s="21" t="s">
        <v>39</v>
      </c>
      <c r="H198" s="21"/>
      <c r="I198" s="21" t="s">
        <v>427</v>
      </c>
      <c r="J198" s="21" t="s">
        <v>154</v>
      </c>
      <c r="K198" s="21" t="s">
        <v>78</v>
      </c>
      <c r="L198" s="21" t="s">
        <v>644</v>
      </c>
      <c r="M198" s="21" t="s">
        <v>92</v>
      </c>
      <c r="N198" s="21"/>
    </row>
    <row r="199" spans="1:14" ht="36" customHeight="1">
      <c r="A199" s="22">
        <v>46283</v>
      </c>
      <c r="B199" s="21" t="s">
        <v>18</v>
      </c>
      <c r="C199" s="21" t="s">
        <v>62</v>
      </c>
      <c r="D199" s="21" t="s">
        <v>161</v>
      </c>
      <c r="E199" s="21" t="s">
        <v>646</v>
      </c>
      <c r="F199" s="21">
        <v>1</v>
      </c>
      <c r="G199" s="21" t="s">
        <v>39</v>
      </c>
      <c r="H199" s="21"/>
      <c r="I199" s="21" t="s">
        <v>647</v>
      </c>
      <c r="J199" s="21"/>
      <c r="K199" s="21" t="s">
        <v>40</v>
      </c>
      <c r="L199" s="21" t="s">
        <v>648</v>
      </c>
      <c r="M199" s="21" t="s">
        <v>38</v>
      </c>
      <c r="N199" s="21"/>
    </row>
    <row r="200" spans="1:14" ht="36" customHeight="1">
      <c r="A200" s="22">
        <v>46283</v>
      </c>
      <c r="B200" s="21" t="s">
        <v>18</v>
      </c>
      <c r="C200" s="21" t="s">
        <v>62</v>
      </c>
      <c r="D200" s="21" t="s">
        <v>161</v>
      </c>
      <c r="E200" s="21" t="s">
        <v>649</v>
      </c>
      <c r="F200" s="21">
        <v>1</v>
      </c>
      <c r="G200" s="21" t="s">
        <v>39</v>
      </c>
      <c r="H200" s="21"/>
      <c r="I200" s="21" t="s">
        <v>647</v>
      </c>
      <c r="J200" s="21"/>
      <c r="K200" s="21" t="s">
        <v>40</v>
      </c>
      <c r="L200" s="21" t="s">
        <v>648</v>
      </c>
      <c r="M200" s="21" t="s">
        <v>38</v>
      </c>
      <c r="N200" s="21"/>
    </row>
    <row r="201" spans="1:14" ht="36" customHeight="1">
      <c r="A201" s="22">
        <v>46283</v>
      </c>
      <c r="B201" s="21" t="s">
        <v>18</v>
      </c>
      <c r="C201" s="21" t="s">
        <v>62</v>
      </c>
      <c r="D201" s="21" t="s">
        <v>161</v>
      </c>
      <c r="E201" s="21" t="s">
        <v>650</v>
      </c>
      <c r="F201" s="21">
        <v>1</v>
      </c>
      <c r="G201" s="21" t="s">
        <v>39</v>
      </c>
      <c r="H201" s="21"/>
      <c r="I201" s="21" t="s">
        <v>651</v>
      </c>
      <c r="J201" s="21"/>
      <c r="K201" s="21" t="s">
        <v>40</v>
      </c>
      <c r="L201" s="21" t="s">
        <v>648</v>
      </c>
      <c r="M201" s="21" t="s">
        <v>38</v>
      </c>
      <c r="N201" s="21"/>
    </row>
    <row r="202" spans="1:14" ht="36" customHeight="1">
      <c r="A202" s="22">
        <v>46283</v>
      </c>
      <c r="B202" s="21" t="s">
        <v>18</v>
      </c>
      <c r="C202" s="21" t="s">
        <v>62</v>
      </c>
      <c r="D202" s="21" t="s">
        <v>161</v>
      </c>
      <c r="E202" s="21" t="s">
        <v>652</v>
      </c>
      <c r="F202" s="21">
        <v>1</v>
      </c>
      <c r="G202" s="21" t="s">
        <v>39</v>
      </c>
      <c r="H202" s="21"/>
      <c r="I202" s="21" t="s">
        <v>651</v>
      </c>
      <c r="J202" s="21"/>
      <c r="K202" s="21" t="s">
        <v>40</v>
      </c>
      <c r="L202" s="21" t="s">
        <v>648</v>
      </c>
      <c r="M202" s="21" t="s">
        <v>38</v>
      </c>
      <c r="N202" s="21"/>
    </row>
    <row r="203" spans="1:14" ht="36" customHeight="1">
      <c r="A203" s="22">
        <v>46284</v>
      </c>
      <c r="B203" s="21" t="s">
        <v>18</v>
      </c>
      <c r="C203" s="21" t="s">
        <v>74</v>
      </c>
      <c r="D203" s="21" t="s">
        <v>75</v>
      </c>
      <c r="E203" s="21" t="s">
        <v>653</v>
      </c>
      <c r="F203" s="21">
        <v>1</v>
      </c>
      <c r="G203" s="21" t="s">
        <v>39</v>
      </c>
      <c r="H203" s="21"/>
      <c r="I203" s="21" t="s">
        <v>654</v>
      </c>
      <c r="J203" s="21"/>
      <c r="K203" s="21" t="s">
        <v>555</v>
      </c>
      <c r="L203" s="21" t="s">
        <v>655</v>
      </c>
      <c r="M203" s="21" t="s">
        <v>69</v>
      </c>
      <c r="N203" s="21" t="s">
        <v>96</v>
      </c>
    </row>
    <row r="204" spans="1:14" ht="36" customHeight="1">
      <c r="A204" s="22">
        <v>46284</v>
      </c>
      <c r="B204" s="21" t="s">
        <v>18</v>
      </c>
      <c r="C204" s="21" t="s">
        <v>74</v>
      </c>
      <c r="D204" s="21" t="s">
        <v>75</v>
      </c>
      <c r="E204" s="21" t="s">
        <v>656</v>
      </c>
      <c r="F204" s="21">
        <v>1</v>
      </c>
      <c r="G204" s="21" t="s">
        <v>39</v>
      </c>
      <c r="H204" s="21"/>
      <c r="I204" s="21" t="s">
        <v>657</v>
      </c>
      <c r="J204" s="21" t="s">
        <v>154</v>
      </c>
      <c r="K204" s="21" t="s">
        <v>67</v>
      </c>
      <c r="L204" s="21" t="s">
        <v>658</v>
      </c>
      <c r="M204" s="21" t="s">
        <v>92</v>
      </c>
      <c r="N204" s="21"/>
    </row>
    <row r="205" spans="1:14" ht="36" customHeight="1">
      <c r="A205" s="22">
        <v>46284</v>
      </c>
      <c r="B205" s="21" t="s">
        <v>18</v>
      </c>
      <c r="C205" s="21" t="s">
        <v>81</v>
      </c>
      <c r="D205" s="21" t="s">
        <v>82</v>
      </c>
      <c r="E205" s="21" t="s">
        <v>659</v>
      </c>
      <c r="F205" s="21">
        <v>1</v>
      </c>
      <c r="G205" s="21" t="s">
        <v>39</v>
      </c>
      <c r="H205" s="21"/>
      <c r="I205" s="21" t="s">
        <v>660</v>
      </c>
      <c r="J205" s="21"/>
      <c r="K205" s="21" t="s">
        <v>40</v>
      </c>
      <c r="L205" s="21" t="s">
        <v>661</v>
      </c>
      <c r="M205" s="21" t="s">
        <v>38</v>
      </c>
      <c r="N205" s="21"/>
    </row>
    <row r="206" spans="1:14" ht="36" customHeight="1">
      <c r="A206" s="22">
        <v>46284</v>
      </c>
      <c r="B206" s="21" t="s">
        <v>18</v>
      </c>
      <c r="C206" s="21" t="s">
        <v>81</v>
      </c>
      <c r="D206" s="21" t="s">
        <v>82</v>
      </c>
      <c r="E206" s="21" t="s">
        <v>662</v>
      </c>
      <c r="F206" s="21">
        <v>1</v>
      </c>
      <c r="G206" s="21" t="s">
        <v>39</v>
      </c>
      <c r="H206" s="21"/>
      <c r="I206" s="21" t="s">
        <v>663</v>
      </c>
      <c r="J206" s="21" t="s">
        <v>100</v>
      </c>
      <c r="K206" s="21" t="s">
        <v>40</v>
      </c>
      <c r="L206" s="21" t="s">
        <v>664</v>
      </c>
      <c r="M206" s="21" t="s">
        <v>92</v>
      </c>
      <c r="N206" s="21"/>
    </row>
    <row r="207" spans="1:14" ht="36" customHeight="1">
      <c r="A207" s="22">
        <v>46284</v>
      </c>
      <c r="B207" s="21" t="s">
        <v>18</v>
      </c>
      <c r="C207" s="21" t="s">
        <v>87</v>
      </c>
      <c r="D207" s="21" t="s">
        <v>88</v>
      </c>
      <c r="E207" s="21" t="s">
        <v>665</v>
      </c>
      <c r="F207" s="21">
        <v>1</v>
      </c>
      <c r="G207" s="21" t="s">
        <v>65</v>
      </c>
      <c r="H207" s="21"/>
      <c r="I207" s="21" t="s">
        <v>666</v>
      </c>
      <c r="J207" s="21"/>
      <c r="K207" s="21" t="s">
        <v>40</v>
      </c>
      <c r="L207" s="21" t="s">
        <v>667</v>
      </c>
      <c r="M207" s="21" t="s">
        <v>69</v>
      </c>
      <c r="N207" s="21" t="s">
        <v>70</v>
      </c>
    </row>
    <row r="208" spans="1:14" ht="36" customHeight="1">
      <c r="A208" s="22">
        <v>46284</v>
      </c>
      <c r="B208" s="21" t="s">
        <v>18</v>
      </c>
      <c r="C208" s="21" t="s">
        <v>87</v>
      </c>
      <c r="D208" s="21" t="s">
        <v>88</v>
      </c>
      <c r="E208" s="21" t="s">
        <v>668</v>
      </c>
      <c r="F208" s="21">
        <v>1</v>
      </c>
      <c r="G208" s="21" t="s">
        <v>65</v>
      </c>
      <c r="H208" s="21"/>
      <c r="I208" s="21" t="s">
        <v>666</v>
      </c>
      <c r="J208" s="21"/>
      <c r="K208" s="21" t="s">
        <v>40</v>
      </c>
      <c r="L208" s="21" t="s">
        <v>667</v>
      </c>
      <c r="M208" s="21" t="s">
        <v>69</v>
      </c>
      <c r="N208" s="21" t="s">
        <v>70</v>
      </c>
    </row>
    <row r="209" spans="1:14" ht="36" customHeight="1">
      <c r="A209" s="22">
        <v>46284</v>
      </c>
      <c r="B209" s="21" t="s">
        <v>18</v>
      </c>
      <c r="C209" s="21" t="s">
        <v>62</v>
      </c>
      <c r="D209" s="21" t="s">
        <v>63</v>
      </c>
      <c r="E209" s="21" t="s">
        <v>669</v>
      </c>
      <c r="F209" s="21">
        <v>1</v>
      </c>
      <c r="G209" s="21" t="s">
        <v>670</v>
      </c>
      <c r="H209" s="21" t="s">
        <v>671</v>
      </c>
      <c r="I209" s="21" t="s">
        <v>90</v>
      </c>
      <c r="J209" s="21"/>
      <c r="K209" s="21" t="s">
        <v>40</v>
      </c>
      <c r="L209" s="21" t="s">
        <v>672</v>
      </c>
      <c r="M209" s="21" t="s">
        <v>69</v>
      </c>
      <c r="N209" s="21" t="s">
        <v>217</v>
      </c>
    </row>
    <row r="210" spans="1:14" ht="36" customHeight="1">
      <c r="A210" s="22">
        <v>46284</v>
      </c>
      <c r="B210" s="21" t="s">
        <v>18</v>
      </c>
      <c r="C210" s="21" t="s">
        <v>62</v>
      </c>
      <c r="D210" s="21" t="s">
        <v>63</v>
      </c>
      <c r="E210" s="21" t="s">
        <v>673</v>
      </c>
      <c r="F210" s="21">
        <v>1</v>
      </c>
      <c r="G210" s="21" t="s">
        <v>592</v>
      </c>
      <c r="H210" s="21" t="s">
        <v>674</v>
      </c>
      <c r="I210" s="21" t="s">
        <v>675</v>
      </c>
      <c r="J210" s="21"/>
      <c r="K210" s="21" t="s">
        <v>40</v>
      </c>
      <c r="L210" s="21" t="s">
        <v>676</v>
      </c>
      <c r="M210" s="21" t="s">
        <v>38</v>
      </c>
      <c r="N210" s="21"/>
    </row>
    <row r="211" spans="1:14" ht="36" customHeight="1">
      <c r="A211" s="22">
        <v>46284</v>
      </c>
      <c r="B211" s="21" t="s">
        <v>18</v>
      </c>
      <c r="C211" s="21" t="s">
        <v>62</v>
      </c>
      <c r="D211" s="21" t="s">
        <v>63</v>
      </c>
      <c r="E211" s="21" t="s">
        <v>677</v>
      </c>
      <c r="F211" s="21">
        <v>1</v>
      </c>
      <c r="G211" s="21" t="s">
        <v>39</v>
      </c>
      <c r="H211" s="21"/>
      <c r="I211" s="21" t="s">
        <v>678</v>
      </c>
      <c r="J211" s="21"/>
      <c r="K211" s="21" t="s">
        <v>40</v>
      </c>
      <c r="L211" s="21" t="s">
        <v>676</v>
      </c>
      <c r="M211" s="21" t="s">
        <v>38</v>
      </c>
      <c r="N211" s="21"/>
    </row>
    <row r="212" spans="1:14" ht="36" customHeight="1">
      <c r="A212" s="22">
        <v>46284</v>
      </c>
      <c r="B212" s="21" t="s">
        <v>18</v>
      </c>
      <c r="C212" s="21" t="s">
        <v>62</v>
      </c>
      <c r="D212" s="21" t="s">
        <v>63</v>
      </c>
      <c r="E212" s="21" t="s">
        <v>679</v>
      </c>
      <c r="F212" s="21">
        <v>1</v>
      </c>
      <c r="G212" s="21" t="s">
        <v>680</v>
      </c>
      <c r="H212" s="21" t="s">
        <v>681</v>
      </c>
      <c r="I212" s="21" t="s">
        <v>682</v>
      </c>
      <c r="J212" s="21" t="s">
        <v>205</v>
      </c>
      <c r="K212" s="21" t="s">
        <v>683</v>
      </c>
      <c r="L212" s="21" t="s">
        <v>684</v>
      </c>
      <c r="M212" s="21" t="s">
        <v>69</v>
      </c>
      <c r="N212" s="21" t="s">
        <v>309</v>
      </c>
    </row>
    <row r="213" spans="1:14" ht="36" customHeight="1">
      <c r="A213" s="22">
        <v>46284</v>
      </c>
      <c r="B213" s="21" t="s">
        <v>18</v>
      </c>
      <c r="C213" s="21" t="s">
        <v>62</v>
      </c>
      <c r="D213" s="21" t="s">
        <v>63</v>
      </c>
      <c r="E213" s="21" t="s">
        <v>685</v>
      </c>
      <c r="F213" s="21">
        <v>1</v>
      </c>
      <c r="G213" s="21" t="s">
        <v>680</v>
      </c>
      <c r="H213" s="21" t="s">
        <v>681</v>
      </c>
      <c r="I213" s="21" t="s">
        <v>682</v>
      </c>
      <c r="J213" s="21" t="s">
        <v>205</v>
      </c>
      <c r="K213" s="21" t="s">
        <v>683</v>
      </c>
      <c r="L213" s="21" t="s">
        <v>684</v>
      </c>
      <c r="M213" s="21" t="s">
        <v>69</v>
      </c>
      <c r="N213" s="21" t="s">
        <v>309</v>
      </c>
    </row>
    <row r="214" spans="1:14" ht="36" customHeight="1">
      <c r="A214" s="22">
        <v>46284</v>
      </c>
      <c r="B214" s="21" t="s">
        <v>18</v>
      </c>
      <c r="C214" s="21" t="s">
        <v>62</v>
      </c>
      <c r="D214" s="21" t="s">
        <v>63</v>
      </c>
      <c r="E214" s="21" t="s">
        <v>686</v>
      </c>
      <c r="F214" s="21">
        <v>1</v>
      </c>
      <c r="G214" s="21" t="s">
        <v>39</v>
      </c>
      <c r="H214" s="21"/>
      <c r="I214" s="21" t="s">
        <v>66</v>
      </c>
      <c r="J214" s="21" t="s">
        <v>159</v>
      </c>
      <c r="K214" s="21" t="s">
        <v>67</v>
      </c>
      <c r="L214" s="21" t="s">
        <v>687</v>
      </c>
      <c r="M214" s="21" t="s">
        <v>92</v>
      </c>
      <c r="N214" s="21"/>
    </row>
    <row r="215" spans="1:14" ht="36" customHeight="1">
      <c r="A215" s="22">
        <v>46285</v>
      </c>
      <c r="B215" s="21" t="s">
        <v>18</v>
      </c>
      <c r="C215" s="21" t="s">
        <v>74</v>
      </c>
      <c r="D215" s="21" t="s">
        <v>75</v>
      </c>
      <c r="E215" s="21" t="s">
        <v>688</v>
      </c>
      <c r="F215" s="21">
        <v>1</v>
      </c>
      <c r="G215" s="21" t="s">
        <v>39</v>
      </c>
      <c r="H215" s="21"/>
      <c r="I215" s="21" t="s">
        <v>67</v>
      </c>
      <c r="J215" s="21" t="s">
        <v>154</v>
      </c>
      <c r="K215" s="21" t="s">
        <v>67</v>
      </c>
      <c r="L215" s="21" t="s">
        <v>689</v>
      </c>
      <c r="M215" s="21" t="s">
        <v>92</v>
      </c>
      <c r="N215" s="21"/>
    </row>
    <row r="216" spans="1:14" ht="36" customHeight="1">
      <c r="A216" s="22">
        <v>46285</v>
      </c>
      <c r="B216" s="21" t="s">
        <v>18</v>
      </c>
      <c r="C216" s="21" t="s">
        <v>74</v>
      </c>
      <c r="D216" s="21" t="s">
        <v>75</v>
      </c>
      <c r="E216" s="21" t="s">
        <v>690</v>
      </c>
      <c r="F216" s="21">
        <v>1</v>
      </c>
      <c r="G216" s="21" t="s">
        <v>39</v>
      </c>
      <c r="H216" s="21"/>
      <c r="I216" s="21" t="s">
        <v>67</v>
      </c>
      <c r="J216" s="21" t="s">
        <v>154</v>
      </c>
      <c r="K216" s="21" t="s">
        <v>67</v>
      </c>
      <c r="L216" s="21" t="s">
        <v>689</v>
      </c>
      <c r="M216" s="21" t="s">
        <v>92</v>
      </c>
      <c r="N216" s="21"/>
    </row>
    <row r="217" spans="1:14" ht="36" customHeight="1">
      <c r="A217" s="22">
        <v>46285</v>
      </c>
      <c r="B217" s="21" t="s">
        <v>18</v>
      </c>
      <c r="C217" s="21" t="s">
        <v>74</v>
      </c>
      <c r="D217" s="21" t="s">
        <v>75</v>
      </c>
      <c r="E217" s="21" t="s">
        <v>691</v>
      </c>
      <c r="F217" s="21">
        <v>1</v>
      </c>
      <c r="G217" s="21" t="s">
        <v>39</v>
      </c>
      <c r="H217" s="21"/>
      <c r="I217" s="21" t="s">
        <v>304</v>
      </c>
      <c r="J217" s="21"/>
      <c r="K217" s="21" t="s">
        <v>692</v>
      </c>
      <c r="L217" s="21" t="s">
        <v>693</v>
      </c>
      <c r="M217" s="21" t="s">
        <v>92</v>
      </c>
      <c r="N217" s="21"/>
    </row>
    <row r="218" spans="1:14" ht="36" customHeight="1">
      <c r="A218" s="22">
        <v>46285</v>
      </c>
      <c r="B218" s="21" t="s">
        <v>18</v>
      </c>
      <c r="C218" s="21" t="s">
        <v>74</v>
      </c>
      <c r="D218" s="21" t="s">
        <v>75</v>
      </c>
      <c r="E218" s="21" t="s">
        <v>694</v>
      </c>
      <c r="F218" s="21">
        <v>1</v>
      </c>
      <c r="G218" s="21" t="s">
        <v>65</v>
      </c>
      <c r="H218" s="21"/>
      <c r="I218" s="21" t="s">
        <v>695</v>
      </c>
      <c r="J218" s="21"/>
      <c r="K218" s="21" t="s">
        <v>696</v>
      </c>
      <c r="L218" s="21" t="s">
        <v>697</v>
      </c>
      <c r="M218" s="21" t="s">
        <v>69</v>
      </c>
      <c r="N218" s="21" t="s">
        <v>70</v>
      </c>
    </row>
    <row r="219" spans="1:14" ht="36" customHeight="1">
      <c r="A219" s="22">
        <v>46285</v>
      </c>
      <c r="B219" s="21" t="s">
        <v>18</v>
      </c>
      <c r="C219" s="21" t="s">
        <v>74</v>
      </c>
      <c r="D219" s="21" t="s">
        <v>75</v>
      </c>
      <c r="E219" s="21" t="s">
        <v>698</v>
      </c>
      <c r="F219" s="21">
        <v>1</v>
      </c>
      <c r="G219" s="21" t="s">
        <v>39</v>
      </c>
      <c r="H219" s="21"/>
      <c r="I219" s="21" t="s">
        <v>699</v>
      </c>
      <c r="J219" s="21" t="s">
        <v>100</v>
      </c>
      <c r="K219" s="21" t="s">
        <v>700</v>
      </c>
      <c r="L219" s="21" t="s">
        <v>701</v>
      </c>
      <c r="M219" s="21" t="s">
        <v>92</v>
      </c>
      <c r="N219" s="21"/>
    </row>
    <row r="220" spans="1:14" ht="36" customHeight="1">
      <c r="A220" s="22">
        <v>46285</v>
      </c>
      <c r="B220" s="21" t="s">
        <v>18</v>
      </c>
      <c r="C220" s="21" t="s">
        <v>74</v>
      </c>
      <c r="D220" s="21" t="s">
        <v>75</v>
      </c>
      <c r="E220" s="21" t="s">
        <v>702</v>
      </c>
      <c r="F220" s="21">
        <v>1</v>
      </c>
      <c r="G220" s="21" t="s">
        <v>39</v>
      </c>
      <c r="H220" s="21"/>
      <c r="I220" s="21" t="s">
        <v>703</v>
      </c>
      <c r="J220" s="21" t="s">
        <v>100</v>
      </c>
      <c r="K220" s="21" t="s">
        <v>700</v>
      </c>
      <c r="L220" s="21" t="s">
        <v>704</v>
      </c>
      <c r="M220" s="21" t="s">
        <v>92</v>
      </c>
      <c r="N220" s="21"/>
    </row>
    <row r="221" spans="1:14" ht="36" customHeight="1">
      <c r="A221" s="22">
        <v>46285</v>
      </c>
      <c r="B221" s="21" t="s">
        <v>18</v>
      </c>
      <c r="C221" s="21" t="s">
        <v>74</v>
      </c>
      <c r="D221" s="21" t="s">
        <v>75</v>
      </c>
      <c r="E221" s="21" t="s">
        <v>705</v>
      </c>
      <c r="F221" s="21">
        <v>1</v>
      </c>
      <c r="G221" s="21" t="s">
        <v>39</v>
      </c>
      <c r="H221" s="21"/>
      <c r="I221" s="21" t="s">
        <v>703</v>
      </c>
      <c r="J221" s="21" t="s">
        <v>100</v>
      </c>
      <c r="K221" s="21" t="s">
        <v>700</v>
      </c>
      <c r="L221" s="21" t="s">
        <v>704</v>
      </c>
      <c r="M221" s="21" t="s">
        <v>92</v>
      </c>
      <c r="N221" s="21"/>
    </row>
    <row r="222" spans="1:14" ht="36" customHeight="1">
      <c r="A222" s="22">
        <v>46285</v>
      </c>
      <c r="B222" s="21" t="s">
        <v>18</v>
      </c>
      <c r="C222" s="21" t="s">
        <v>102</v>
      </c>
      <c r="D222" s="21" t="s">
        <v>706</v>
      </c>
      <c r="E222" s="21" t="s">
        <v>707</v>
      </c>
      <c r="F222" s="21">
        <v>1</v>
      </c>
      <c r="G222" s="21" t="s">
        <v>39</v>
      </c>
      <c r="H222" s="21"/>
      <c r="I222" s="21" t="s">
        <v>708</v>
      </c>
      <c r="J222" s="21"/>
      <c r="K222" s="21" t="s">
        <v>40</v>
      </c>
      <c r="L222" s="21" t="s">
        <v>709</v>
      </c>
      <c r="M222" s="21" t="s">
        <v>38</v>
      </c>
      <c r="N222" s="21"/>
    </row>
    <row r="223" spans="1:14" ht="36" customHeight="1">
      <c r="A223" s="22">
        <v>46285</v>
      </c>
      <c r="B223" s="21" t="s">
        <v>18</v>
      </c>
      <c r="C223" s="21" t="s">
        <v>102</v>
      </c>
      <c r="D223" s="21" t="s">
        <v>706</v>
      </c>
      <c r="E223" s="21" t="s">
        <v>710</v>
      </c>
      <c r="F223" s="21">
        <v>1</v>
      </c>
      <c r="G223" s="21" t="s">
        <v>39</v>
      </c>
      <c r="H223" s="21"/>
      <c r="I223" s="21" t="s">
        <v>708</v>
      </c>
      <c r="J223" s="21"/>
      <c r="K223" s="21" t="s">
        <v>40</v>
      </c>
      <c r="L223" s="21" t="s">
        <v>709</v>
      </c>
      <c r="M223" s="21" t="s">
        <v>38</v>
      </c>
      <c r="N223" s="21"/>
    </row>
    <row r="224" spans="1:14" ht="36" customHeight="1">
      <c r="A224" s="22">
        <v>46285</v>
      </c>
      <c r="B224" s="21" t="s">
        <v>18</v>
      </c>
      <c r="C224" s="21" t="s">
        <v>87</v>
      </c>
      <c r="D224" s="21" t="s">
        <v>88</v>
      </c>
      <c r="E224" s="21" t="s">
        <v>711</v>
      </c>
      <c r="F224" s="21">
        <v>1</v>
      </c>
      <c r="G224" s="21" t="s">
        <v>39</v>
      </c>
      <c r="H224" s="21"/>
      <c r="I224" s="21" t="s">
        <v>67</v>
      </c>
      <c r="J224" s="21"/>
      <c r="K224" s="21" t="s">
        <v>78</v>
      </c>
      <c r="L224" s="21" t="s">
        <v>712</v>
      </c>
      <c r="M224" s="21" t="s">
        <v>92</v>
      </c>
      <c r="N224" s="21"/>
    </row>
    <row r="225" spans="1:14" ht="36" customHeight="1">
      <c r="A225" s="22">
        <v>46285</v>
      </c>
      <c r="B225" s="21" t="s">
        <v>18</v>
      </c>
      <c r="C225" s="21" t="s">
        <v>62</v>
      </c>
      <c r="D225" s="21" t="s">
        <v>161</v>
      </c>
      <c r="E225" s="21" t="s">
        <v>713</v>
      </c>
      <c r="F225" s="21">
        <v>1</v>
      </c>
      <c r="G225" s="21" t="s">
        <v>714</v>
      </c>
      <c r="H225" s="21" t="s">
        <v>715</v>
      </c>
      <c r="I225" s="21" t="s">
        <v>716</v>
      </c>
      <c r="J225" s="21"/>
      <c r="K225" s="21" t="s">
        <v>717</v>
      </c>
      <c r="L225" s="21" t="s">
        <v>718</v>
      </c>
      <c r="M225" s="21" t="s">
        <v>92</v>
      </c>
      <c r="N225" s="21"/>
    </row>
    <row r="226" spans="1:14" ht="36" customHeight="1">
      <c r="A226" s="22">
        <v>46285</v>
      </c>
      <c r="B226" s="21" t="s">
        <v>18</v>
      </c>
      <c r="C226" s="21" t="s">
        <v>62</v>
      </c>
      <c r="D226" s="21" t="s">
        <v>161</v>
      </c>
      <c r="E226" s="21" t="s">
        <v>719</v>
      </c>
      <c r="F226" s="21">
        <v>1</v>
      </c>
      <c r="G226" s="21" t="s">
        <v>714</v>
      </c>
      <c r="H226" s="21" t="s">
        <v>715</v>
      </c>
      <c r="I226" s="21" t="s">
        <v>720</v>
      </c>
      <c r="J226" s="21"/>
      <c r="K226" s="21" t="s">
        <v>717</v>
      </c>
      <c r="L226" s="21" t="s">
        <v>721</v>
      </c>
      <c r="M226" s="21" t="s">
        <v>92</v>
      </c>
      <c r="N226" s="21"/>
    </row>
    <row r="227" spans="1:14" ht="36" customHeight="1">
      <c r="A227" s="22">
        <v>46285</v>
      </c>
      <c r="B227" s="21" t="s">
        <v>18</v>
      </c>
      <c r="C227" s="21" t="s">
        <v>62</v>
      </c>
      <c r="D227" s="21" t="s">
        <v>161</v>
      </c>
      <c r="E227" s="21" t="s">
        <v>722</v>
      </c>
      <c r="F227" s="21">
        <v>1</v>
      </c>
      <c r="G227" s="21" t="s">
        <v>714</v>
      </c>
      <c r="H227" s="21" t="s">
        <v>715</v>
      </c>
      <c r="I227" s="21" t="s">
        <v>723</v>
      </c>
      <c r="J227" s="21"/>
      <c r="K227" s="21" t="s">
        <v>717</v>
      </c>
      <c r="L227" s="21" t="s">
        <v>724</v>
      </c>
      <c r="M227" s="21" t="s">
        <v>69</v>
      </c>
      <c r="N227" s="21" t="s">
        <v>309</v>
      </c>
    </row>
    <row r="228" spans="1:14" ht="36" customHeight="1">
      <c r="A228" s="22">
        <v>46285</v>
      </c>
      <c r="B228" s="21" t="s">
        <v>18</v>
      </c>
      <c r="C228" s="21" t="s">
        <v>62</v>
      </c>
      <c r="D228" s="21" t="s">
        <v>161</v>
      </c>
      <c r="E228" s="21" t="s">
        <v>725</v>
      </c>
      <c r="F228" s="21">
        <v>1</v>
      </c>
      <c r="G228" s="21" t="s">
        <v>39</v>
      </c>
      <c r="H228" s="21"/>
      <c r="I228" s="21"/>
      <c r="J228" s="21"/>
      <c r="K228" s="21" t="s">
        <v>40</v>
      </c>
      <c r="L228" s="21" t="s">
        <v>726</v>
      </c>
      <c r="M228" s="21" t="s">
        <v>92</v>
      </c>
      <c r="N228" s="21"/>
    </row>
    <row r="229" spans="1:14" ht="36" customHeight="1">
      <c r="A229" s="22">
        <v>46285</v>
      </c>
      <c r="B229" s="21" t="s">
        <v>18</v>
      </c>
      <c r="C229" s="21" t="s">
        <v>62</v>
      </c>
      <c r="D229" s="21" t="s">
        <v>727</v>
      </c>
      <c r="E229" s="21" t="s">
        <v>728</v>
      </c>
      <c r="F229" s="21">
        <v>1</v>
      </c>
      <c r="G229" s="21" t="s">
        <v>39</v>
      </c>
      <c r="H229" s="21"/>
      <c r="I229" s="21"/>
      <c r="J229" s="21"/>
      <c r="K229" s="21" t="s">
        <v>40</v>
      </c>
      <c r="L229" s="21" t="s">
        <v>729</v>
      </c>
      <c r="M229" s="21" t="s">
        <v>92</v>
      </c>
      <c r="N229" s="21"/>
    </row>
    <row r="230" spans="1:14" ht="36" customHeight="1">
      <c r="A230" s="22">
        <v>46285</v>
      </c>
      <c r="B230" s="21" t="s">
        <v>18</v>
      </c>
      <c r="C230" s="21" t="s">
        <v>62</v>
      </c>
      <c r="D230" s="21" t="s">
        <v>730</v>
      </c>
      <c r="E230" s="21" t="s">
        <v>731</v>
      </c>
      <c r="F230" s="21">
        <v>1</v>
      </c>
      <c r="G230" s="21" t="s">
        <v>39</v>
      </c>
      <c r="H230" s="21"/>
      <c r="I230" s="21"/>
      <c r="J230" s="21"/>
      <c r="K230" s="21" t="s">
        <v>40</v>
      </c>
      <c r="L230" s="21" t="s">
        <v>732</v>
      </c>
      <c r="M230" s="21" t="s">
        <v>92</v>
      </c>
      <c r="N230" s="21"/>
    </row>
    <row r="231" spans="1:14" ht="36" customHeight="1">
      <c r="A231" s="22">
        <v>46285</v>
      </c>
      <c r="B231" s="21" t="s">
        <v>18</v>
      </c>
      <c r="C231" s="21" t="s">
        <v>62</v>
      </c>
      <c r="D231" s="21" t="s">
        <v>733</v>
      </c>
      <c r="E231" s="21" t="s">
        <v>734</v>
      </c>
      <c r="F231" s="21">
        <v>1</v>
      </c>
      <c r="G231" s="21" t="s">
        <v>39</v>
      </c>
      <c r="H231" s="21"/>
      <c r="I231" s="21"/>
      <c r="J231" s="21"/>
      <c r="K231" s="21" t="s">
        <v>40</v>
      </c>
      <c r="L231" s="21" t="s">
        <v>732</v>
      </c>
      <c r="M231" s="21" t="s">
        <v>92</v>
      </c>
      <c r="N231" s="21"/>
    </row>
    <row r="232" spans="1:14" ht="36" customHeight="1">
      <c r="A232" s="22">
        <v>46285</v>
      </c>
      <c r="B232" s="21" t="s">
        <v>18</v>
      </c>
      <c r="C232" s="21" t="s">
        <v>62</v>
      </c>
      <c r="D232" s="21" t="s">
        <v>735</v>
      </c>
      <c r="E232" s="21" t="s">
        <v>736</v>
      </c>
      <c r="F232" s="21">
        <v>1</v>
      </c>
      <c r="G232" s="21" t="s">
        <v>39</v>
      </c>
      <c r="H232" s="21"/>
      <c r="I232" s="21"/>
      <c r="J232" s="21"/>
      <c r="K232" s="21" t="s">
        <v>40</v>
      </c>
      <c r="L232" s="21" t="s">
        <v>729</v>
      </c>
      <c r="M232" s="21" t="s">
        <v>92</v>
      </c>
      <c r="N232" s="21"/>
    </row>
    <row r="233" spans="1:14" ht="36" customHeight="1">
      <c r="A233" s="22">
        <v>46286</v>
      </c>
      <c r="B233" s="21" t="s">
        <v>18</v>
      </c>
      <c r="C233" s="21" t="s">
        <v>74</v>
      </c>
      <c r="D233" s="21" t="s">
        <v>75</v>
      </c>
      <c r="E233" s="21" t="s">
        <v>737</v>
      </c>
      <c r="F233" s="21">
        <v>1</v>
      </c>
      <c r="G233" s="21" t="s">
        <v>39</v>
      </c>
      <c r="H233" s="21"/>
      <c r="I233" s="21" t="s">
        <v>738</v>
      </c>
      <c r="J233" s="21"/>
      <c r="K233" s="21"/>
      <c r="L233" s="21" t="s">
        <v>739</v>
      </c>
      <c r="M233" s="21" t="s">
        <v>69</v>
      </c>
      <c r="N233" s="21" t="s">
        <v>309</v>
      </c>
    </row>
    <row r="234" spans="1:14" ht="36" customHeight="1">
      <c r="A234" s="22">
        <v>46286</v>
      </c>
      <c r="B234" s="21" t="s">
        <v>18</v>
      </c>
      <c r="C234" s="21" t="s">
        <v>81</v>
      </c>
      <c r="D234" s="21" t="s">
        <v>82</v>
      </c>
      <c r="E234" s="21" t="s">
        <v>740</v>
      </c>
      <c r="F234" s="21">
        <v>1</v>
      </c>
      <c r="G234" s="21" t="s">
        <v>741</v>
      </c>
      <c r="H234" s="21"/>
      <c r="I234" s="21" t="s">
        <v>90</v>
      </c>
      <c r="J234" s="21"/>
      <c r="K234" s="21"/>
      <c r="L234" s="21" t="s">
        <v>742</v>
      </c>
      <c r="M234" s="21" t="s">
        <v>69</v>
      </c>
      <c r="N234" s="21" t="s">
        <v>96</v>
      </c>
    </row>
    <row r="235" spans="1:14" ht="36" customHeight="1">
      <c r="A235" s="22">
        <v>46286</v>
      </c>
      <c r="B235" s="21" t="s">
        <v>18</v>
      </c>
      <c r="C235" s="21" t="s">
        <v>81</v>
      </c>
      <c r="D235" s="21" t="s">
        <v>82</v>
      </c>
      <c r="E235" s="21" t="s">
        <v>743</v>
      </c>
      <c r="F235" s="21">
        <v>1</v>
      </c>
      <c r="G235" s="21" t="s">
        <v>741</v>
      </c>
      <c r="H235" s="21"/>
      <c r="I235" s="21" t="s">
        <v>90</v>
      </c>
      <c r="J235" s="21"/>
      <c r="K235" s="21"/>
      <c r="L235" s="21" t="s">
        <v>744</v>
      </c>
      <c r="M235" s="21" t="s">
        <v>69</v>
      </c>
      <c r="N235" s="21" t="s">
        <v>309</v>
      </c>
    </row>
    <row r="236" spans="1:14" ht="36" customHeight="1">
      <c r="A236" s="22">
        <v>46286</v>
      </c>
      <c r="B236" s="21" t="s">
        <v>18</v>
      </c>
      <c r="C236" s="21" t="s">
        <v>62</v>
      </c>
      <c r="D236" s="21" t="s">
        <v>161</v>
      </c>
      <c r="E236" s="21" t="s">
        <v>745</v>
      </c>
      <c r="F236" s="21">
        <v>1</v>
      </c>
      <c r="G236" s="21" t="s">
        <v>746</v>
      </c>
      <c r="H236" s="21"/>
      <c r="I236" s="21" t="s">
        <v>78</v>
      </c>
      <c r="J236" s="21"/>
      <c r="K236" s="21" t="s">
        <v>78</v>
      </c>
      <c r="L236" s="21" t="s">
        <v>747</v>
      </c>
      <c r="M236" s="21" t="s">
        <v>69</v>
      </c>
      <c r="N236" s="21" t="s">
        <v>217</v>
      </c>
    </row>
    <row r="237" spans="1:14" ht="36" customHeight="1">
      <c r="A237" s="22">
        <v>46286</v>
      </c>
      <c r="B237" s="21" t="s">
        <v>18</v>
      </c>
      <c r="C237" s="21" t="s">
        <v>62</v>
      </c>
      <c r="D237" s="21" t="s">
        <v>161</v>
      </c>
      <c r="E237" s="21" t="s">
        <v>748</v>
      </c>
      <c r="F237" s="21">
        <v>1</v>
      </c>
      <c r="G237" s="21" t="s">
        <v>746</v>
      </c>
      <c r="H237" s="21"/>
      <c r="I237" s="21" t="s">
        <v>78</v>
      </c>
      <c r="J237" s="21"/>
      <c r="K237" s="21" t="s">
        <v>78</v>
      </c>
      <c r="L237" s="21" t="s">
        <v>749</v>
      </c>
      <c r="M237" s="21" t="s">
        <v>69</v>
      </c>
      <c r="N237" s="21" t="s">
        <v>70</v>
      </c>
    </row>
    <row r="238" spans="1:14" ht="36" customHeight="1">
      <c r="A238" s="22">
        <v>46286</v>
      </c>
      <c r="B238" s="21" t="s">
        <v>18</v>
      </c>
      <c r="C238" s="21" t="s">
        <v>62</v>
      </c>
      <c r="D238" s="21" t="s">
        <v>161</v>
      </c>
      <c r="E238" s="21" t="s">
        <v>750</v>
      </c>
      <c r="F238" s="21">
        <v>1</v>
      </c>
      <c r="G238" s="21" t="s">
        <v>751</v>
      </c>
      <c r="H238" s="21" t="s">
        <v>752</v>
      </c>
      <c r="I238" s="21"/>
      <c r="J238" s="21"/>
      <c r="K238" s="21"/>
      <c r="L238" s="21" t="s">
        <v>753</v>
      </c>
      <c r="M238" s="21" t="s">
        <v>69</v>
      </c>
      <c r="N238" s="21" t="s">
        <v>217</v>
      </c>
    </row>
    <row r="239" spans="1:14" ht="36" customHeight="1">
      <c r="A239" s="22">
        <v>46286</v>
      </c>
      <c r="B239" s="21" t="s">
        <v>18</v>
      </c>
      <c r="C239" s="21" t="s">
        <v>97</v>
      </c>
      <c r="D239" s="21" t="s">
        <v>98</v>
      </c>
      <c r="E239" s="21" t="s">
        <v>754</v>
      </c>
      <c r="F239" s="21">
        <v>1</v>
      </c>
      <c r="G239" s="21" t="s">
        <v>39</v>
      </c>
      <c r="H239" s="21"/>
      <c r="I239" s="21" t="s">
        <v>755</v>
      </c>
      <c r="J239" s="21"/>
      <c r="K239" s="21" t="s">
        <v>756</v>
      </c>
      <c r="L239" s="21" t="s">
        <v>757</v>
      </c>
      <c r="M239" s="21" t="s">
        <v>38</v>
      </c>
      <c r="N239" s="21"/>
    </row>
    <row r="240" spans="1:14" ht="36" customHeight="1">
      <c r="A240" s="22">
        <v>46287</v>
      </c>
      <c r="B240" s="21" t="s">
        <v>18</v>
      </c>
      <c r="C240" s="21" t="s">
        <v>74</v>
      </c>
      <c r="D240" s="21" t="s">
        <v>75</v>
      </c>
      <c r="E240" s="21" t="s">
        <v>758</v>
      </c>
      <c r="F240" s="21">
        <v>1</v>
      </c>
      <c r="G240" s="21" t="s">
        <v>759</v>
      </c>
      <c r="H240" s="21" t="s">
        <v>760</v>
      </c>
      <c r="I240" s="21" t="s">
        <v>761</v>
      </c>
      <c r="J240" s="21"/>
      <c r="K240" s="21"/>
      <c r="L240" s="21" t="s">
        <v>762</v>
      </c>
      <c r="M240" s="21" t="s">
        <v>69</v>
      </c>
      <c r="N240" s="21" t="s">
        <v>96</v>
      </c>
    </row>
    <row r="241" spans="1:14" ht="36" customHeight="1">
      <c r="A241" s="22">
        <v>46287</v>
      </c>
      <c r="B241" s="21" t="s">
        <v>18</v>
      </c>
      <c r="C241" s="21" t="s">
        <v>74</v>
      </c>
      <c r="D241" s="21" t="s">
        <v>75</v>
      </c>
      <c r="E241" s="21" t="s">
        <v>763</v>
      </c>
      <c r="F241" s="21">
        <v>1</v>
      </c>
      <c r="G241" s="21" t="s">
        <v>764</v>
      </c>
      <c r="H241" s="21" t="s">
        <v>765</v>
      </c>
      <c r="I241" s="21" t="s">
        <v>766</v>
      </c>
      <c r="J241" s="21"/>
      <c r="K241" s="21" t="s">
        <v>305</v>
      </c>
      <c r="L241" s="21" t="s">
        <v>767</v>
      </c>
      <c r="M241" s="21" t="s">
        <v>69</v>
      </c>
      <c r="N241" s="21" t="s">
        <v>309</v>
      </c>
    </row>
    <row r="242" spans="1:14" ht="36" customHeight="1">
      <c r="A242" s="22">
        <v>46287</v>
      </c>
      <c r="B242" s="21" t="s">
        <v>18</v>
      </c>
      <c r="C242" s="21" t="s">
        <v>74</v>
      </c>
      <c r="D242" s="21" t="s">
        <v>75</v>
      </c>
      <c r="E242" s="21" t="s">
        <v>768</v>
      </c>
      <c r="F242" s="21">
        <v>1</v>
      </c>
      <c r="G242" s="21" t="s">
        <v>764</v>
      </c>
      <c r="H242" s="21" t="s">
        <v>765</v>
      </c>
      <c r="I242" s="21" t="s">
        <v>766</v>
      </c>
      <c r="J242" s="21"/>
      <c r="K242" s="21" t="s">
        <v>305</v>
      </c>
      <c r="L242" s="21" t="s">
        <v>769</v>
      </c>
      <c r="M242" s="21" t="s">
        <v>69</v>
      </c>
      <c r="N242" s="21" t="s">
        <v>309</v>
      </c>
    </row>
    <row r="243" spans="1:14" ht="36" customHeight="1">
      <c r="A243" s="22">
        <v>46287</v>
      </c>
      <c r="B243" s="21" t="s">
        <v>18</v>
      </c>
      <c r="C243" s="21" t="s">
        <v>74</v>
      </c>
      <c r="D243" s="21" t="s">
        <v>75</v>
      </c>
      <c r="E243" s="21" t="s">
        <v>770</v>
      </c>
      <c r="F243" s="21">
        <v>1</v>
      </c>
      <c r="G243" s="21" t="s">
        <v>764</v>
      </c>
      <c r="H243" s="21" t="s">
        <v>765</v>
      </c>
      <c r="I243" s="21" t="s">
        <v>766</v>
      </c>
      <c r="J243" s="21"/>
      <c r="K243" s="21" t="s">
        <v>305</v>
      </c>
      <c r="L243" s="21" t="s">
        <v>771</v>
      </c>
      <c r="M243" s="21" t="s">
        <v>69</v>
      </c>
      <c r="N243" s="21" t="s">
        <v>309</v>
      </c>
    </row>
    <row r="244" spans="1:14" ht="36" customHeight="1">
      <c r="A244" s="22">
        <v>46287</v>
      </c>
      <c r="B244" s="21" t="s">
        <v>18</v>
      </c>
      <c r="C244" s="21" t="s">
        <v>74</v>
      </c>
      <c r="D244" s="21" t="s">
        <v>75</v>
      </c>
      <c r="E244" s="21" t="s">
        <v>772</v>
      </c>
      <c r="F244" s="21">
        <v>1</v>
      </c>
      <c r="G244" s="21" t="s">
        <v>764</v>
      </c>
      <c r="H244" s="21" t="s">
        <v>765</v>
      </c>
      <c r="I244" s="21" t="s">
        <v>766</v>
      </c>
      <c r="J244" s="21"/>
      <c r="K244" s="21" t="s">
        <v>305</v>
      </c>
      <c r="L244" s="21" t="s">
        <v>771</v>
      </c>
      <c r="M244" s="21" t="s">
        <v>69</v>
      </c>
      <c r="N244" s="21" t="s">
        <v>309</v>
      </c>
    </row>
    <row r="245" spans="1:14" ht="36" customHeight="1">
      <c r="A245" s="22">
        <v>46287</v>
      </c>
      <c r="B245" s="21" t="s">
        <v>18</v>
      </c>
      <c r="C245" s="21" t="s">
        <v>74</v>
      </c>
      <c r="D245" s="21" t="s">
        <v>75</v>
      </c>
      <c r="E245" s="21" t="s">
        <v>773</v>
      </c>
      <c r="F245" s="21">
        <v>1</v>
      </c>
      <c r="G245" s="21" t="s">
        <v>774</v>
      </c>
      <c r="H245" s="21" t="s">
        <v>775</v>
      </c>
      <c r="I245" s="21" t="s">
        <v>766</v>
      </c>
      <c r="J245" s="21"/>
      <c r="K245" s="21" t="s">
        <v>305</v>
      </c>
      <c r="L245" s="21" t="s">
        <v>776</v>
      </c>
      <c r="M245" s="21" t="s">
        <v>69</v>
      </c>
      <c r="N245" s="21" t="s">
        <v>309</v>
      </c>
    </row>
    <row r="246" spans="1:14" ht="36" customHeight="1">
      <c r="A246" s="22">
        <v>46287</v>
      </c>
      <c r="B246" s="21" t="s">
        <v>18</v>
      </c>
      <c r="C246" s="21" t="s">
        <v>81</v>
      </c>
      <c r="D246" s="21" t="s">
        <v>82</v>
      </c>
      <c r="E246" s="21" t="s">
        <v>777</v>
      </c>
      <c r="F246" s="21">
        <v>1</v>
      </c>
      <c r="G246" s="21" t="s">
        <v>39</v>
      </c>
      <c r="H246" s="21"/>
      <c r="I246" s="21"/>
      <c r="J246" s="21"/>
      <c r="K246" s="21"/>
      <c r="L246" s="21" t="s">
        <v>778</v>
      </c>
      <c r="M246" s="21" t="s">
        <v>92</v>
      </c>
      <c r="N246" s="21"/>
    </row>
    <row r="247" spans="1:14" ht="36" customHeight="1">
      <c r="A247" s="22">
        <v>46287</v>
      </c>
      <c r="B247" s="21" t="s">
        <v>18</v>
      </c>
      <c r="C247" s="21" t="s">
        <v>87</v>
      </c>
      <c r="D247" s="21" t="s">
        <v>88</v>
      </c>
      <c r="E247" s="21" t="s">
        <v>779</v>
      </c>
      <c r="F247" s="21">
        <v>1</v>
      </c>
      <c r="G247" s="21"/>
      <c r="H247" s="21"/>
      <c r="I247" s="21" t="s">
        <v>427</v>
      </c>
      <c r="J247" s="21"/>
      <c r="K247" s="21" t="s">
        <v>78</v>
      </c>
      <c r="L247" s="21" t="s">
        <v>780</v>
      </c>
      <c r="M247" s="21" t="s">
        <v>69</v>
      </c>
      <c r="N247" s="21" t="s">
        <v>96</v>
      </c>
    </row>
    <row r="248" spans="1:14" ht="36" customHeight="1">
      <c r="A248" s="22">
        <v>46287</v>
      </c>
      <c r="B248" s="21" t="s">
        <v>18</v>
      </c>
      <c r="C248" s="21" t="s">
        <v>87</v>
      </c>
      <c r="D248" s="21" t="s">
        <v>88</v>
      </c>
      <c r="E248" s="21" t="s">
        <v>781</v>
      </c>
      <c r="F248" s="21">
        <v>1</v>
      </c>
      <c r="G248" s="21"/>
      <c r="H248" s="21"/>
      <c r="I248" s="21" t="s">
        <v>427</v>
      </c>
      <c r="J248" s="21" t="s">
        <v>159</v>
      </c>
      <c r="K248" s="21" t="s">
        <v>78</v>
      </c>
      <c r="L248" s="21" t="s">
        <v>782</v>
      </c>
      <c r="M248" s="21" t="s">
        <v>92</v>
      </c>
      <c r="N248" s="21"/>
    </row>
    <row r="249" spans="1:14" ht="36" customHeight="1">
      <c r="A249" s="22">
        <v>46287</v>
      </c>
      <c r="B249" s="21" t="s">
        <v>18</v>
      </c>
      <c r="C249" s="21" t="s">
        <v>87</v>
      </c>
      <c r="D249" s="21" t="s">
        <v>88</v>
      </c>
      <c r="E249" s="21" t="s">
        <v>783</v>
      </c>
      <c r="F249" s="21">
        <v>1</v>
      </c>
      <c r="G249" s="21"/>
      <c r="H249" s="21"/>
      <c r="I249" s="21" t="s">
        <v>427</v>
      </c>
      <c r="J249" s="21" t="s">
        <v>159</v>
      </c>
      <c r="K249" s="21" t="s">
        <v>78</v>
      </c>
      <c r="L249" s="21" t="s">
        <v>784</v>
      </c>
      <c r="M249" s="21" t="s">
        <v>92</v>
      </c>
      <c r="N249" s="21"/>
    </row>
    <row r="250" spans="1:14" ht="36" customHeight="1">
      <c r="A250" s="22">
        <v>46287</v>
      </c>
      <c r="B250" s="21" t="s">
        <v>18</v>
      </c>
      <c r="C250" s="21" t="s">
        <v>62</v>
      </c>
      <c r="D250" s="21" t="s">
        <v>63</v>
      </c>
      <c r="E250" s="21" t="s">
        <v>785</v>
      </c>
      <c r="F250" s="21">
        <v>1</v>
      </c>
      <c r="G250" s="21" t="s">
        <v>39</v>
      </c>
      <c r="H250" s="21"/>
      <c r="I250" s="21" t="s">
        <v>66</v>
      </c>
      <c r="J250" s="21" t="s">
        <v>154</v>
      </c>
      <c r="K250" s="21"/>
      <c r="L250" s="21" t="s">
        <v>786</v>
      </c>
      <c r="M250" s="21" t="s">
        <v>92</v>
      </c>
      <c r="N250" s="21"/>
    </row>
    <row r="251" spans="1:14" ht="36" customHeight="1">
      <c r="A251" s="22">
        <v>46287</v>
      </c>
      <c r="B251" s="21" t="s">
        <v>18</v>
      </c>
      <c r="C251" s="21" t="s">
        <v>97</v>
      </c>
      <c r="D251" s="21" t="s">
        <v>98</v>
      </c>
      <c r="E251" s="21" t="s">
        <v>787</v>
      </c>
      <c r="F251" s="21">
        <v>1</v>
      </c>
      <c r="G251" s="21" t="s">
        <v>39</v>
      </c>
      <c r="H251" s="21"/>
      <c r="I251" s="21" t="s">
        <v>788</v>
      </c>
      <c r="J251" s="21"/>
      <c r="K251" s="21" t="s">
        <v>789</v>
      </c>
      <c r="L251" s="21" t="s">
        <v>790</v>
      </c>
      <c r="M251" s="21" t="s">
        <v>38</v>
      </c>
      <c r="N251" s="21"/>
    </row>
    <row r="252" spans="1:14" ht="36" customHeight="1">
      <c r="A252" s="22">
        <v>46287</v>
      </c>
      <c r="B252" s="21" t="s">
        <v>18</v>
      </c>
      <c r="C252" s="21" t="s">
        <v>97</v>
      </c>
      <c r="D252" s="21" t="s">
        <v>98</v>
      </c>
      <c r="E252" s="21" t="s">
        <v>791</v>
      </c>
      <c r="F252" s="21">
        <v>1</v>
      </c>
      <c r="G252" s="21" t="s">
        <v>39</v>
      </c>
      <c r="H252" s="21"/>
      <c r="I252" s="21" t="s">
        <v>792</v>
      </c>
      <c r="J252" s="21"/>
      <c r="K252" s="21" t="s">
        <v>40</v>
      </c>
      <c r="L252" s="21" t="s">
        <v>793</v>
      </c>
      <c r="M252" s="21" t="s">
        <v>38</v>
      </c>
      <c r="N252" s="21"/>
    </row>
    <row r="253" spans="1:14" ht="36" customHeight="1">
      <c r="A253" s="22">
        <v>46288</v>
      </c>
      <c r="B253" s="21" t="s">
        <v>18</v>
      </c>
      <c r="C253" s="21" t="s">
        <v>81</v>
      </c>
      <c r="D253" s="21" t="s">
        <v>82</v>
      </c>
      <c r="E253" s="21" t="s">
        <v>794</v>
      </c>
      <c r="F253" s="21">
        <v>1</v>
      </c>
      <c r="G253" s="21" t="s">
        <v>795</v>
      </c>
      <c r="H253" s="21" t="s">
        <v>796</v>
      </c>
      <c r="I253" s="21" t="s">
        <v>797</v>
      </c>
      <c r="J253" s="21"/>
      <c r="K253" s="21"/>
      <c r="L253" s="21" t="s">
        <v>798</v>
      </c>
      <c r="M253" s="21" t="s">
        <v>69</v>
      </c>
      <c r="N253" s="21" t="s">
        <v>217</v>
      </c>
    </row>
    <row r="254" spans="1:14" ht="36" customHeight="1">
      <c r="A254" s="22">
        <v>46288</v>
      </c>
      <c r="B254" s="21" t="s">
        <v>18</v>
      </c>
      <c r="C254" s="21" t="s">
        <v>74</v>
      </c>
      <c r="D254" s="21" t="s">
        <v>75</v>
      </c>
      <c r="E254" s="21" t="s">
        <v>799</v>
      </c>
      <c r="F254" s="21">
        <v>1</v>
      </c>
      <c r="G254" s="21" t="s">
        <v>65</v>
      </c>
      <c r="H254" s="21"/>
      <c r="I254" s="21" t="s">
        <v>800</v>
      </c>
      <c r="J254" s="21"/>
      <c r="K254" s="21" t="s">
        <v>40</v>
      </c>
      <c r="L254" s="21" t="s">
        <v>801</v>
      </c>
      <c r="M254" s="21" t="s">
        <v>38</v>
      </c>
      <c r="N254" s="21"/>
    </row>
    <row r="255" spans="1:14" ht="36" customHeight="1">
      <c r="A255" s="22">
        <v>46288</v>
      </c>
      <c r="B255" s="21" t="s">
        <v>18</v>
      </c>
      <c r="C255" s="21" t="s">
        <v>74</v>
      </c>
      <c r="D255" s="21" t="s">
        <v>75</v>
      </c>
      <c r="E255" s="21" t="s">
        <v>802</v>
      </c>
      <c r="F255" s="21">
        <v>1</v>
      </c>
      <c r="G255" s="21" t="s">
        <v>65</v>
      </c>
      <c r="H255" s="21"/>
      <c r="I255" s="21" t="s">
        <v>800</v>
      </c>
      <c r="J255" s="21"/>
      <c r="K255" s="21" t="s">
        <v>40</v>
      </c>
      <c r="L255" s="21" t="s">
        <v>801</v>
      </c>
      <c r="M255" s="21" t="s">
        <v>38</v>
      </c>
      <c r="N255" s="21"/>
    </row>
    <row r="256" spans="1:14" ht="36" customHeight="1">
      <c r="A256" s="22">
        <v>46288</v>
      </c>
      <c r="B256" s="21" t="s">
        <v>18</v>
      </c>
      <c r="C256" s="21" t="s">
        <v>74</v>
      </c>
      <c r="D256" s="21" t="s">
        <v>75</v>
      </c>
      <c r="E256" s="21" t="s">
        <v>803</v>
      </c>
      <c r="F256" s="21">
        <v>1</v>
      </c>
      <c r="G256" s="21" t="s">
        <v>65</v>
      </c>
      <c r="H256" s="21"/>
      <c r="I256" s="21" t="s">
        <v>800</v>
      </c>
      <c r="J256" s="21"/>
      <c r="K256" s="21" t="s">
        <v>40</v>
      </c>
      <c r="L256" s="21" t="s">
        <v>801</v>
      </c>
      <c r="M256" s="21" t="s">
        <v>38</v>
      </c>
      <c r="N256" s="21"/>
    </row>
    <row r="257" spans="1:14" ht="36" customHeight="1">
      <c r="A257" s="22">
        <v>46288</v>
      </c>
      <c r="B257" s="21" t="s">
        <v>18</v>
      </c>
      <c r="C257" s="21" t="s">
        <v>62</v>
      </c>
      <c r="D257" s="21" t="s">
        <v>161</v>
      </c>
      <c r="E257" s="21" t="s">
        <v>804</v>
      </c>
      <c r="F257" s="21">
        <v>1</v>
      </c>
      <c r="G257" s="21" t="s">
        <v>39</v>
      </c>
      <c r="H257" s="21"/>
      <c r="I257" s="21" t="s">
        <v>805</v>
      </c>
      <c r="J257" s="21" t="s">
        <v>159</v>
      </c>
      <c r="K257" s="21"/>
      <c r="L257" s="21" t="s">
        <v>806</v>
      </c>
      <c r="M257" s="21" t="s">
        <v>92</v>
      </c>
      <c r="N257" s="21"/>
    </row>
    <row r="258" spans="1:14" ht="36" customHeight="1">
      <c r="A258" s="22">
        <v>46288</v>
      </c>
      <c r="B258" s="21" t="s">
        <v>18</v>
      </c>
      <c r="C258" s="21" t="s">
        <v>97</v>
      </c>
      <c r="D258" s="21" t="s">
        <v>98</v>
      </c>
      <c r="E258" s="21" t="s">
        <v>807</v>
      </c>
      <c r="F258" s="21">
        <v>1</v>
      </c>
      <c r="G258" s="21" t="s">
        <v>65</v>
      </c>
      <c r="H258" s="21"/>
      <c r="I258" s="21" t="s">
        <v>66</v>
      </c>
      <c r="J258" s="21"/>
      <c r="K258" s="21" t="s">
        <v>808</v>
      </c>
      <c r="L258" s="21" t="s">
        <v>809</v>
      </c>
      <c r="M258" s="21" t="s">
        <v>38</v>
      </c>
      <c r="N258" s="21"/>
    </row>
    <row r="259" spans="1:14" ht="36" customHeight="1">
      <c r="A259" s="22">
        <v>46289</v>
      </c>
      <c r="B259" s="21" t="s">
        <v>18</v>
      </c>
      <c r="C259" s="21" t="s">
        <v>74</v>
      </c>
      <c r="D259" s="21" t="s">
        <v>75</v>
      </c>
      <c r="E259" s="21" t="s">
        <v>810</v>
      </c>
      <c r="F259" s="21">
        <v>1</v>
      </c>
      <c r="G259" s="21" t="s">
        <v>811</v>
      </c>
      <c r="H259" s="21" t="s">
        <v>812</v>
      </c>
      <c r="I259" s="21" t="s">
        <v>813</v>
      </c>
      <c r="J259" s="21"/>
      <c r="K259" s="21" t="s">
        <v>814</v>
      </c>
      <c r="L259" s="21" t="s">
        <v>815</v>
      </c>
      <c r="M259" s="21" t="s">
        <v>69</v>
      </c>
      <c r="N259" s="21" t="s">
        <v>217</v>
      </c>
    </row>
    <row r="260" spans="1:14" ht="36" customHeight="1">
      <c r="A260" s="22">
        <v>46289</v>
      </c>
      <c r="B260" s="21" t="s">
        <v>18</v>
      </c>
      <c r="C260" s="21" t="s">
        <v>74</v>
      </c>
      <c r="D260" s="21" t="s">
        <v>75</v>
      </c>
      <c r="E260" s="21" t="s">
        <v>816</v>
      </c>
      <c r="F260" s="21">
        <v>1</v>
      </c>
      <c r="G260" s="21" t="s">
        <v>811</v>
      </c>
      <c r="H260" s="21" t="s">
        <v>812</v>
      </c>
      <c r="I260" s="21" t="s">
        <v>813</v>
      </c>
      <c r="J260" s="21"/>
      <c r="K260" s="21" t="s">
        <v>814</v>
      </c>
      <c r="L260" s="21" t="s">
        <v>815</v>
      </c>
      <c r="M260" s="21" t="s">
        <v>69</v>
      </c>
      <c r="N260" s="21" t="s">
        <v>217</v>
      </c>
    </row>
    <row r="261" spans="1:14" ht="36" customHeight="1">
      <c r="A261" s="22">
        <v>46289</v>
      </c>
      <c r="B261" s="21" t="s">
        <v>18</v>
      </c>
      <c r="C261" s="21" t="s">
        <v>74</v>
      </c>
      <c r="D261" s="21" t="s">
        <v>75</v>
      </c>
      <c r="E261" s="21" t="s">
        <v>817</v>
      </c>
      <c r="F261" s="21">
        <v>1</v>
      </c>
      <c r="G261" s="21" t="s">
        <v>811</v>
      </c>
      <c r="H261" s="21" t="s">
        <v>812</v>
      </c>
      <c r="I261" s="21"/>
      <c r="J261" s="21"/>
      <c r="K261" s="21"/>
      <c r="L261" s="21" t="s">
        <v>818</v>
      </c>
      <c r="M261" s="21" t="s">
        <v>69</v>
      </c>
      <c r="N261" s="21" t="s">
        <v>309</v>
      </c>
    </row>
    <row r="262" spans="1:14" ht="36" customHeight="1">
      <c r="A262" s="22">
        <v>46289</v>
      </c>
      <c r="B262" s="21" t="s">
        <v>18</v>
      </c>
      <c r="C262" s="21" t="s">
        <v>102</v>
      </c>
      <c r="D262" s="21" t="s">
        <v>706</v>
      </c>
      <c r="E262" s="21" t="s">
        <v>819</v>
      </c>
      <c r="F262" s="21">
        <v>1</v>
      </c>
      <c r="G262" s="21" t="s">
        <v>39</v>
      </c>
      <c r="H262" s="21"/>
      <c r="I262" s="21" t="s">
        <v>820</v>
      </c>
      <c r="J262" s="21"/>
      <c r="K262" s="21" t="s">
        <v>40</v>
      </c>
      <c r="L262" s="21" t="s">
        <v>821</v>
      </c>
      <c r="M262" s="21" t="s">
        <v>69</v>
      </c>
      <c r="N262" s="21" t="s">
        <v>143</v>
      </c>
    </row>
    <row r="263" spans="1:14" ht="36" customHeight="1">
      <c r="A263" s="22">
        <v>46289</v>
      </c>
      <c r="B263" s="21" t="s">
        <v>18</v>
      </c>
      <c r="C263" s="21" t="s">
        <v>62</v>
      </c>
      <c r="D263" s="21" t="s">
        <v>161</v>
      </c>
      <c r="E263" s="21" t="s">
        <v>822</v>
      </c>
      <c r="F263" s="21">
        <v>1</v>
      </c>
      <c r="G263" s="21" t="s">
        <v>39</v>
      </c>
      <c r="H263" s="21"/>
      <c r="I263" s="21" t="s">
        <v>823</v>
      </c>
      <c r="J263" s="21"/>
      <c r="K263" s="21" t="s">
        <v>40</v>
      </c>
      <c r="L263" s="21" t="s">
        <v>824</v>
      </c>
      <c r="M263" s="21" t="s">
        <v>92</v>
      </c>
      <c r="N263" s="21"/>
    </row>
    <row r="264" spans="1:14" ht="36" customHeight="1">
      <c r="A264" s="22">
        <v>46289</v>
      </c>
      <c r="B264" s="21" t="s">
        <v>18</v>
      </c>
      <c r="C264" s="21" t="s">
        <v>62</v>
      </c>
      <c r="D264" s="21" t="s">
        <v>161</v>
      </c>
      <c r="E264" s="21" t="s">
        <v>825</v>
      </c>
      <c r="F264" s="21">
        <v>1</v>
      </c>
      <c r="G264" s="21" t="s">
        <v>39</v>
      </c>
      <c r="H264" s="21"/>
      <c r="I264" s="21" t="s">
        <v>826</v>
      </c>
      <c r="J264" s="21"/>
      <c r="K264" s="21" t="s">
        <v>40</v>
      </c>
      <c r="L264" s="21" t="s">
        <v>824</v>
      </c>
      <c r="M264" s="21" t="s">
        <v>92</v>
      </c>
      <c r="N264" s="21"/>
    </row>
    <row r="265" spans="1:14" ht="36" customHeight="1">
      <c r="A265" s="22">
        <v>46289</v>
      </c>
      <c r="B265" s="21" t="s">
        <v>18</v>
      </c>
      <c r="C265" s="21" t="s">
        <v>62</v>
      </c>
      <c r="D265" s="21" t="s">
        <v>161</v>
      </c>
      <c r="E265" s="21" t="s">
        <v>827</v>
      </c>
      <c r="F265" s="21">
        <v>1</v>
      </c>
      <c r="G265" s="21" t="s">
        <v>39</v>
      </c>
      <c r="H265" s="21"/>
      <c r="I265" s="21" t="s">
        <v>828</v>
      </c>
      <c r="J265" s="21"/>
      <c r="K265" s="21" t="s">
        <v>40</v>
      </c>
      <c r="L265" s="21" t="s">
        <v>824</v>
      </c>
      <c r="M265" s="21" t="s">
        <v>92</v>
      </c>
      <c r="N265" s="21"/>
    </row>
    <row r="266" spans="1:14" ht="36" customHeight="1">
      <c r="A266" s="22">
        <v>46289</v>
      </c>
      <c r="B266" s="21" t="s">
        <v>18</v>
      </c>
      <c r="C266" s="21" t="s">
        <v>97</v>
      </c>
      <c r="D266" s="21" t="s">
        <v>98</v>
      </c>
      <c r="E266" s="21" t="s">
        <v>829</v>
      </c>
      <c r="F266" s="21">
        <v>1</v>
      </c>
      <c r="G266" s="21" t="s">
        <v>39</v>
      </c>
      <c r="H266" s="21"/>
      <c r="I266" s="21" t="s">
        <v>830</v>
      </c>
      <c r="J266" s="21"/>
      <c r="K266" s="21" t="s">
        <v>831</v>
      </c>
      <c r="L266" s="21" t="s">
        <v>832</v>
      </c>
      <c r="M266" s="21" t="s">
        <v>69</v>
      </c>
      <c r="N266" s="21" t="s">
        <v>143</v>
      </c>
    </row>
    <row r="267" spans="1:14" ht="36" customHeight="1">
      <c r="A267" s="22">
        <v>46290</v>
      </c>
      <c r="B267" s="21" t="s">
        <v>18</v>
      </c>
      <c r="C267" s="21" t="s">
        <v>74</v>
      </c>
      <c r="D267" s="21" t="s">
        <v>75</v>
      </c>
      <c r="E267" s="21" t="s">
        <v>833</v>
      </c>
      <c r="F267" s="21">
        <v>1</v>
      </c>
      <c r="G267" s="21" t="s">
        <v>569</v>
      </c>
      <c r="H267" s="21" t="s">
        <v>834</v>
      </c>
      <c r="I267" s="21" t="s">
        <v>835</v>
      </c>
      <c r="J267" s="21"/>
      <c r="K267" s="21" t="s">
        <v>836</v>
      </c>
      <c r="L267" s="21" t="s">
        <v>837</v>
      </c>
      <c r="M267" s="21" t="s">
        <v>69</v>
      </c>
      <c r="N267" s="21" t="s">
        <v>217</v>
      </c>
    </row>
    <row r="268" spans="1:14" ht="36" customHeight="1">
      <c r="A268" s="22">
        <v>46290</v>
      </c>
      <c r="B268" s="21" t="s">
        <v>18</v>
      </c>
      <c r="C268" s="21" t="s">
        <v>74</v>
      </c>
      <c r="D268" s="21" t="s">
        <v>75</v>
      </c>
      <c r="E268" s="21" t="s">
        <v>838</v>
      </c>
      <c r="F268" s="21">
        <v>1</v>
      </c>
      <c r="G268" s="21" t="s">
        <v>569</v>
      </c>
      <c r="H268" s="21" t="s">
        <v>834</v>
      </c>
      <c r="I268" s="21" t="s">
        <v>839</v>
      </c>
      <c r="J268" s="21"/>
      <c r="K268" s="21" t="s">
        <v>836</v>
      </c>
      <c r="L268" s="21" t="s">
        <v>837</v>
      </c>
      <c r="M268" s="21" t="s">
        <v>69</v>
      </c>
      <c r="N268" s="21" t="s">
        <v>217</v>
      </c>
    </row>
    <row r="269" spans="1:14" ht="36" customHeight="1">
      <c r="A269" s="22">
        <v>46290</v>
      </c>
      <c r="B269" s="21" t="s">
        <v>18</v>
      </c>
      <c r="C269" s="21" t="s">
        <v>74</v>
      </c>
      <c r="D269" s="21" t="s">
        <v>75</v>
      </c>
      <c r="E269" s="21" t="s">
        <v>840</v>
      </c>
      <c r="F269" s="21">
        <v>1</v>
      </c>
      <c r="G269" s="21" t="s">
        <v>569</v>
      </c>
      <c r="H269" s="21" t="s">
        <v>834</v>
      </c>
      <c r="I269" s="21" t="s">
        <v>841</v>
      </c>
      <c r="J269" s="21"/>
      <c r="K269" s="21" t="s">
        <v>836</v>
      </c>
      <c r="L269" s="21" t="s">
        <v>842</v>
      </c>
      <c r="M269" s="21" t="s">
        <v>69</v>
      </c>
      <c r="N269" s="21" t="s">
        <v>217</v>
      </c>
    </row>
    <row r="270" spans="1:14" ht="36" customHeight="1">
      <c r="A270" s="22">
        <v>46290</v>
      </c>
      <c r="B270" s="21" t="s">
        <v>18</v>
      </c>
      <c r="C270" s="21" t="s">
        <v>74</v>
      </c>
      <c r="D270" s="21" t="s">
        <v>75</v>
      </c>
      <c r="E270" s="21" t="s">
        <v>843</v>
      </c>
      <c r="F270" s="21">
        <v>1</v>
      </c>
      <c r="G270" s="21" t="s">
        <v>569</v>
      </c>
      <c r="H270" s="21" t="s">
        <v>834</v>
      </c>
      <c r="I270" s="21" t="s">
        <v>844</v>
      </c>
      <c r="J270" s="21"/>
      <c r="K270" s="21" t="s">
        <v>40</v>
      </c>
      <c r="L270" s="21" t="s">
        <v>845</v>
      </c>
      <c r="M270" s="21" t="s">
        <v>69</v>
      </c>
      <c r="N270" s="21" t="s">
        <v>217</v>
      </c>
    </row>
    <row r="271" spans="1:14" ht="36" customHeight="1">
      <c r="A271" s="22">
        <v>46290</v>
      </c>
      <c r="B271" s="21" t="s">
        <v>18</v>
      </c>
      <c r="C271" s="21" t="s">
        <v>81</v>
      </c>
      <c r="D271" s="21" t="s">
        <v>82</v>
      </c>
      <c r="E271" s="21" t="s">
        <v>846</v>
      </c>
      <c r="F271" s="21">
        <v>1</v>
      </c>
      <c r="G271" s="21" t="s">
        <v>39</v>
      </c>
      <c r="H271" s="21"/>
      <c r="I271" s="21" t="s">
        <v>847</v>
      </c>
      <c r="J271" s="21"/>
      <c r="K271" s="21" t="s">
        <v>848</v>
      </c>
      <c r="L271" s="21" t="s">
        <v>849</v>
      </c>
      <c r="M271" s="21" t="s">
        <v>92</v>
      </c>
      <c r="N271" s="21"/>
    </row>
    <row r="272" spans="1:14" ht="36" customHeight="1">
      <c r="A272" s="22">
        <v>46290</v>
      </c>
      <c r="B272" s="21" t="s">
        <v>18</v>
      </c>
      <c r="C272" s="21" t="s">
        <v>81</v>
      </c>
      <c r="D272" s="21" t="s">
        <v>82</v>
      </c>
      <c r="E272" s="21" t="s">
        <v>850</v>
      </c>
      <c r="F272" s="21">
        <v>1</v>
      </c>
      <c r="G272" s="21" t="s">
        <v>39</v>
      </c>
      <c r="H272" s="21"/>
      <c r="I272" s="21" t="s">
        <v>851</v>
      </c>
      <c r="J272" s="21"/>
      <c r="K272" s="21" t="s">
        <v>848</v>
      </c>
      <c r="L272" s="21" t="s">
        <v>849</v>
      </c>
      <c r="M272" s="21" t="s">
        <v>92</v>
      </c>
      <c r="N272" s="21"/>
    </row>
    <row r="273" spans="1:14" ht="36" customHeight="1">
      <c r="A273" s="22">
        <v>46290</v>
      </c>
      <c r="B273" s="21" t="s">
        <v>18</v>
      </c>
      <c r="C273" s="21" t="s">
        <v>87</v>
      </c>
      <c r="D273" s="21" t="s">
        <v>88</v>
      </c>
      <c r="E273" s="21" t="s">
        <v>852</v>
      </c>
      <c r="F273" s="21">
        <v>1</v>
      </c>
      <c r="G273" s="21" t="s">
        <v>39</v>
      </c>
      <c r="H273" s="21"/>
      <c r="I273" s="21" t="s">
        <v>853</v>
      </c>
      <c r="J273" s="21"/>
      <c r="K273" s="21" t="s">
        <v>78</v>
      </c>
      <c r="L273" s="21" t="s">
        <v>854</v>
      </c>
      <c r="M273" s="21" t="s">
        <v>92</v>
      </c>
      <c r="N273" s="21"/>
    </row>
    <row r="274" spans="1:14" ht="36" customHeight="1">
      <c r="A274" s="22">
        <v>46290</v>
      </c>
      <c r="B274" s="21" t="s">
        <v>18</v>
      </c>
      <c r="C274" s="21" t="s">
        <v>97</v>
      </c>
      <c r="D274" s="21" t="s">
        <v>98</v>
      </c>
      <c r="E274" s="21" t="s">
        <v>855</v>
      </c>
      <c r="F274" s="21">
        <v>1</v>
      </c>
      <c r="G274" s="21" t="s">
        <v>65</v>
      </c>
      <c r="H274" s="21"/>
      <c r="I274" s="21" t="s">
        <v>90</v>
      </c>
      <c r="J274" s="21"/>
      <c r="K274" s="21"/>
      <c r="L274" s="21" t="s">
        <v>856</v>
      </c>
      <c r="M274" s="21" t="s">
        <v>92</v>
      </c>
      <c r="N274" s="21"/>
    </row>
    <row r="275" spans="1:14" ht="36" customHeight="1">
      <c r="A275" s="22">
        <v>46290</v>
      </c>
      <c r="B275" s="21" t="s">
        <v>18</v>
      </c>
      <c r="C275" s="21" t="s">
        <v>97</v>
      </c>
      <c r="D275" s="21" t="s">
        <v>98</v>
      </c>
      <c r="E275" s="21" t="s">
        <v>857</v>
      </c>
      <c r="F275" s="21">
        <v>1</v>
      </c>
      <c r="G275" s="21" t="s">
        <v>39</v>
      </c>
      <c r="H275" s="21"/>
      <c r="I275" s="21" t="s">
        <v>858</v>
      </c>
      <c r="J275" s="21" t="s">
        <v>154</v>
      </c>
      <c r="K275" s="21"/>
      <c r="L275" s="21" t="s">
        <v>859</v>
      </c>
      <c r="M275" s="21" t="s">
        <v>92</v>
      </c>
      <c r="N275" s="21"/>
    </row>
    <row r="276" spans="1:14" ht="36" customHeight="1">
      <c r="A276" s="22">
        <v>46291</v>
      </c>
      <c r="B276" s="21" t="s">
        <v>18</v>
      </c>
      <c r="C276" s="21" t="s">
        <v>74</v>
      </c>
      <c r="D276" s="21" t="s">
        <v>75</v>
      </c>
      <c r="E276" s="21" t="s">
        <v>860</v>
      </c>
      <c r="F276" s="21">
        <v>1</v>
      </c>
      <c r="G276" s="21" t="s">
        <v>39</v>
      </c>
      <c r="H276" s="21"/>
      <c r="I276" s="21" t="s">
        <v>861</v>
      </c>
      <c r="J276" s="21"/>
      <c r="K276" s="21" t="s">
        <v>40</v>
      </c>
      <c r="L276" s="21" t="s">
        <v>862</v>
      </c>
      <c r="M276" s="21" t="s">
        <v>38</v>
      </c>
      <c r="N276" s="21"/>
    </row>
    <row r="277" spans="1:14" ht="36" customHeight="1">
      <c r="A277" s="22">
        <v>46291</v>
      </c>
      <c r="B277" s="21" t="s">
        <v>18</v>
      </c>
      <c r="C277" s="21" t="s">
        <v>62</v>
      </c>
      <c r="D277" s="21" t="s">
        <v>63</v>
      </c>
      <c r="E277" s="21" t="s">
        <v>863</v>
      </c>
      <c r="F277" s="21">
        <v>1</v>
      </c>
      <c r="G277" s="21" t="s">
        <v>39</v>
      </c>
      <c r="H277" s="21"/>
      <c r="I277" s="21" t="s">
        <v>864</v>
      </c>
      <c r="J277" s="21"/>
      <c r="K277" s="21" t="s">
        <v>40</v>
      </c>
      <c r="L277" s="21" t="s">
        <v>865</v>
      </c>
      <c r="M277" s="21" t="s">
        <v>69</v>
      </c>
      <c r="N277" s="21" t="s">
        <v>70</v>
      </c>
    </row>
    <row r="278" spans="1:14" ht="36" customHeight="1">
      <c r="A278" s="22">
        <v>46292</v>
      </c>
      <c r="B278" s="21" t="s">
        <v>18</v>
      </c>
      <c r="C278" s="21" t="s">
        <v>74</v>
      </c>
      <c r="D278" s="21" t="s">
        <v>75</v>
      </c>
      <c r="E278" s="21" t="s">
        <v>866</v>
      </c>
      <c r="F278" s="21">
        <v>1</v>
      </c>
      <c r="G278" s="21" t="s">
        <v>39</v>
      </c>
      <c r="H278" s="21"/>
      <c r="I278" s="21" t="s">
        <v>465</v>
      </c>
      <c r="J278" s="21"/>
      <c r="K278" s="21" t="s">
        <v>40</v>
      </c>
      <c r="L278" s="21" t="s">
        <v>867</v>
      </c>
      <c r="M278" s="21" t="s">
        <v>69</v>
      </c>
      <c r="N278" s="21" t="s">
        <v>70</v>
      </c>
    </row>
    <row r="279" spans="1:14" ht="36" customHeight="1">
      <c r="A279" s="22">
        <v>46292</v>
      </c>
      <c r="B279" s="21" t="s">
        <v>18</v>
      </c>
      <c r="C279" s="21" t="s">
        <v>74</v>
      </c>
      <c r="D279" s="21" t="s">
        <v>75</v>
      </c>
      <c r="E279" s="21" t="s">
        <v>868</v>
      </c>
      <c r="F279" s="21">
        <v>1</v>
      </c>
      <c r="G279" s="21" t="s">
        <v>39</v>
      </c>
      <c r="H279" s="21"/>
      <c r="I279" s="21" t="s">
        <v>465</v>
      </c>
      <c r="J279" s="21"/>
      <c r="K279" s="21" t="s">
        <v>40</v>
      </c>
      <c r="L279" s="21" t="s">
        <v>869</v>
      </c>
      <c r="M279" s="21" t="s">
        <v>69</v>
      </c>
      <c r="N279" s="21" t="s">
        <v>70</v>
      </c>
    </row>
    <row r="280" spans="1:14" ht="36" customHeight="1">
      <c r="A280" s="22">
        <v>46292</v>
      </c>
      <c r="B280" s="21" t="s">
        <v>18</v>
      </c>
      <c r="C280" s="21" t="s">
        <v>87</v>
      </c>
      <c r="D280" s="21" t="s">
        <v>88</v>
      </c>
      <c r="E280" s="21" t="s">
        <v>870</v>
      </c>
      <c r="F280" s="21">
        <v>1</v>
      </c>
      <c r="G280" s="21" t="s">
        <v>39</v>
      </c>
      <c r="H280" s="21"/>
      <c r="I280" s="21" t="s">
        <v>871</v>
      </c>
      <c r="J280" s="21"/>
      <c r="K280" s="21" t="s">
        <v>555</v>
      </c>
      <c r="L280" s="21" t="s">
        <v>872</v>
      </c>
      <c r="M280" s="21" t="s">
        <v>69</v>
      </c>
      <c r="N280" s="21" t="s">
        <v>108</v>
      </c>
    </row>
    <row r="281" spans="1:14" ht="36" customHeight="1">
      <c r="A281" s="22">
        <v>46292</v>
      </c>
      <c r="B281" s="21" t="s">
        <v>18</v>
      </c>
      <c r="C281" s="21" t="s">
        <v>87</v>
      </c>
      <c r="D281" s="21" t="s">
        <v>88</v>
      </c>
      <c r="E281" s="21" t="s">
        <v>873</v>
      </c>
      <c r="F281" s="21">
        <v>1</v>
      </c>
      <c r="G281" s="21" t="s">
        <v>39</v>
      </c>
      <c r="H281" s="21"/>
      <c r="I281" s="21" t="s">
        <v>874</v>
      </c>
      <c r="J281" s="21"/>
      <c r="K281" s="21" t="s">
        <v>555</v>
      </c>
      <c r="L281" s="21" t="s">
        <v>875</v>
      </c>
      <c r="M281" s="21" t="s">
        <v>69</v>
      </c>
      <c r="N281" s="21" t="s">
        <v>70</v>
      </c>
    </row>
    <row r="282" spans="1:14" ht="36" customHeight="1">
      <c r="A282" s="22">
        <v>46292</v>
      </c>
      <c r="B282" s="21" t="s">
        <v>18</v>
      </c>
      <c r="C282" s="21" t="s">
        <v>87</v>
      </c>
      <c r="D282" s="21" t="s">
        <v>88</v>
      </c>
      <c r="E282" s="21" t="s">
        <v>876</v>
      </c>
      <c r="F282" s="21">
        <v>1</v>
      </c>
      <c r="G282" s="21" t="s">
        <v>39</v>
      </c>
      <c r="H282" s="21"/>
      <c r="I282" s="21" t="s">
        <v>67</v>
      </c>
      <c r="J282" s="21"/>
      <c r="K282" s="21" t="s">
        <v>78</v>
      </c>
      <c r="L282" s="21" t="s">
        <v>877</v>
      </c>
      <c r="M282" s="21" t="s">
        <v>92</v>
      </c>
      <c r="N282" s="21"/>
    </row>
    <row r="283" spans="1:14" ht="36" customHeight="1">
      <c r="A283" s="22">
        <v>46292</v>
      </c>
      <c r="B283" s="21" t="s">
        <v>18</v>
      </c>
      <c r="C283" s="21" t="s">
        <v>97</v>
      </c>
      <c r="D283" s="21" t="s">
        <v>98</v>
      </c>
      <c r="E283" s="21" t="s">
        <v>878</v>
      </c>
      <c r="F283" s="21">
        <v>1</v>
      </c>
      <c r="G283" s="21"/>
      <c r="H283" s="21"/>
      <c r="I283" s="21"/>
      <c r="J283" s="21"/>
      <c r="K283" s="21"/>
      <c r="L283" s="21" t="s">
        <v>879</v>
      </c>
      <c r="M283" s="21" t="s">
        <v>92</v>
      </c>
      <c r="N283" s="21"/>
    </row>
    <row r="284" spans="1:14" ht="36" customHeight="1">
      <c r="A284" s="22">
        <v>46293</v>
      </c>
      <c r="B284" s="21" t="s">
        <v>18</v>
      </c>
      <c r="C284" s="21" t="s">
        <v>74</v>
      </c>
      <c r="D284" s="21" t="s">
        <v>75</v>
      </c>
      <c r="E284" s="21" t="s">
        <v>880</v>
      </c>
      <c r="F284" s="21">
        <v>1</v>
      </c>
      <c r="G284" s="21" t="s">
        <v>458</v>
      </c>
      <c r="H284" s="21" t="s">
        <v>881</v>
      </c>
      <c r="I284" s="21" t="s">
        <v>882</v>
      </c>
      <c r="J284" s="21"/>
      <c r="K284" s="21" t="s">
        <v>883</v>
      </c>
      <c r="L284" s="21" t="s">
        <v>884</v>
      </c>
      <c r="M284" s="21" t="s">
        <v>69</v>
      </c>
      <c r="N284" s="21" t="s">
        <v>217</v>
      </c>
    </row>
    <row r="285" spans="1:14" ht="36" customHeight="1">
      <c r="A285" s="22">
        <v>46293</v>
      </c>
      <c r="B285" s="21" t="s">
        <v>18</v>
      </c>
      <c r="C285" s="21" t="s">
        <v>74</v>
      </c>
      <c r="D285" s="21" t="s">
        <v>75</v>
      </c>
      <c r="E285" s="21" t="s">
        <v>885</v>
      </c>
      <c r="F285" s="21">
        <v>1</v>
      </c>
      <c r="G285" s="21" t="s">
        <v>39</v>
      </c>
      <c r="H285" s="21"/>
      <c r="I285" s="21" t="s">
        <v>886</v>
      </c>
      <c r="J285" s="21"/>
      <c r="K285" s="21" t="s">
        <v>887</v>
      </c>
      <c r="L285" s="21" t="s">
        <v>888</v>
      </c>
      <c r="M285" s="21" t="s">
        <v>69</v>
      </c>
      <c r="N285" s="21" t="s">
        <v>566</v>
      </c>
    </row>
    <row r="286" spans="1:14" ht="36" customHeight="1">
      <c r="A286" s="22">
        <v>46293</v>
      </c>
      <c r="B286" s="21" t="s">
        <v>18</v>
      </c>
      <c r="C286" s="21" t="s">
        <v>74</v>
      </c>
      <c r="D286" s="21" t="s">
        <v>75</v>
      </c>
      <c r="E286" s="21" t="s">
        <v>889</v>
      </c>
      <c r="F286" s="21">
        <v>1</v>
      </c>
      <c r="G286" s="21" t="s">
        <v>39</v>
      </c>
      <c r="H286" s="21"/>
      <c r="I286" s="21" t="s">
        <v>890</v>
      </c>
      <c r="J286" s="21"/>
      <c r="K286" s="21" t="s">
        <v>78</v>
      </c>
      <c r="L286" s="21" t="s">
        <v>891</v>
      </c>
      <c r="M286" s="21" t="s">
        <v>92</v>
      </c>
      <c r="N286" s="21"/>
    </row>
    <row r="287" spans="1:14" ht="36" customHeight="1">
      <c r="A287" s="22">
        <v>46293</v>
      </c>
      <c r="B287" s="21" t="s">
        <v>18</v>
      </c>
      <c r="C287" s="21" t="s">
        <v>81</v>
      </c>
      <c r="D287" s="21" t="s">
        <v>82</v>
      </c>
      <c r="E287" s="21" t="s">
        <v>892</v>
      </c>
      <c r="F287" s="21">
        <v>1</v>
      </c>
      <c r="G287" s="21" t="s">
        <v>39</v>
      </c>
      <c r="H287" s="21"/>
      <c r="I287" s="21" t="s">
        <v>893</v>
      </c>
      <c r="J287" s="21"/>
      <c r="K287" s="21" t="s">
        <v>894</v>
      </c>
      <c r="L287" s="21" t="s">
        <v>895</v>
      </c>
      <c r="M287" s="21" t="s">
        <v>69</v>
      </c>
      <c r="N287" s="21" t="s">
        <v>143</v>
      </c>
    </row>
    <row r="288" spans="1:14" ht="36" customHeight="1">
      <c r="A288" s="22">
        <v>46293</v>
      </c>
      <c r="B288" s="21" t="s">
        <v>18</v>
      </c>
      <c r="C288" s="21" t="s">
        <v>87</v>
      </c>
      <c r="D288" s="21" t="s">
        <v>88</v>
      </c>
      <c r="E288" s="21" t="s">
        <v>896</v>
      </c>
      <c r="F288" s="21">
        <v>1</v>
      </c>
      <c r="G288" s="21" t="s">
        <v>39</v>
      </c>
      <c r="H288" s="21"/>
      <c r="I288" s="21" t="s">
        <v>897</v>
      </c>
      <c r="J288" s="21"/>
      <c r="K288" s="21" t="s">
        <v>40</v>
      </c>
      <c r="L288" s="21" t="s">
        <v>898</v>
      </c>
      <c r="M288" s="21" t="s">
        <v>92</v>
      </c>
      <c r="N288" s="21"/>
    </row>
    <row r="289" spans="1:14" ht="36" customHeight="1">
      <c r="A289" s="22">
        <v>46293</v>
      </c>
      <c r="B289" s="21" t="s">
        <v>18</v>
      </c>
      <c r="C289" s="21" t="s">
        <v>87</v>
      </c>
      <c r="D289" s="21" t="s">
        <v>88</v>
      </c>
      <c r="E289" s="21" t="s">
        <v>899</v>
      </c>
      <c r="F289" s="21">
        <v>1</v>
      </c>
      <c r="G289" s="21" t="s">
        <v>39</v>
      </c>
      <c r="H289" s="21"/>
      <c r="I289" s="21" t="s">
        <v>897</v>
      </c>
      <c r="J289" s="21"/>
      <c r="K289" s="21" t="s">
        <v>40</v>
      </c>
      <c r="L289" s="21" t="s">
        <v>898</v>
      </c>
      <c r="M289" s="21" t="s">
        <v>92</v>
      </c>
      <c r="N289" s="21"/>
    </row>
    <row r="290" spans="1:14" ht="36" customHeight="1">
      <c r="A290" s="22">
        <v>46293</v>
      </c>
      <c r="B290" s="21" t="s">
        <v>18</v>
      </c>
      <c r="C290" s="21" t="s">
        <v>87</v>
      </c>
      <c r="D290" s="21" t="s">
        <v>88</v>
      </c>
      <c r="E290" s="21" t="s">
        <v>900</v>
      </c>
      <c r="F290" s="21">
        <v>1</v>
      </c>
      <c r="G290" s="21" t="s">
        <v>39</v>
      </c>
      <c r="H290" s="21"/>
      <c r="I290" s="21" t="s">
        <v>901</v>
      </c>
      <c r="J290" s="21"/>
      <c r="K290" s="21" t="s">
        <v>40</v>
      </c>
      <c r="L290" s="21" t="s">
        <v>902</v>
      </c>
      <c r="M290" s="21" t="s">
        <v>92</v>
      </c>
      <c r="N290" s="21"/>
    </row>
    <row r="291" spans="1:14" ht="36" customHeight="1">
      <c r="A291" s="22">
        <v>46293</v>
      </c>
      <c r="B291" s="21" t="s">
        <v>18</v>
      </c>
      <c r="C291" s="21" t="s">
        <v>62</v>
      </c>
      <c r="D291" s="21" t="s">
        <v>161</v>
      </c>
      <c r="E291" s="21" t="s">
        <v>903</v>
      </c>
      <c r="F291" s="21">
        <v>1</v>
      </c>
      <c r="G291" s="21" t="s">
        <v>39</v>
      </c>
      <c r="H291" s="21"/>
      <c r="I291" s="21" t="s">
        <v>904</v>
      </c>
      <c r="J291" s="21" t="s">
        <v>163</v>
      </c>
      <c r="K291" s="21" t="s">
        <v>905</v>
      </c>
      <c r="L291" s="21" t="s">
        <v>906</v>
      </c>
      <c r="M291" s="21" t="s">
        <v>69</v>
      </c>
      <c r="N291" s="21" t="s">
        <v>143</v>
      </c>
    </row>
    <row r="292" spans="1:14" ht="36" customHeight="1">
      <c r="A292" s="22">
        <v>46294</v>
      </c>
      <c r="B292" s="21" t="s">
        <v>18</v>
      </c>
      <c r="C292" s="21" t="s">
        <v>74</v>
      </c>
      <c r="D292" s="21" t="s">
        <v>75</v>
      </c>
      <c r="E292" s="21" t="s">
        <v>907</v>
      </c>
      <c r="F292" s="21">
        <v>1</v>
      </c>
      <c r="G292" s="21" t="s">
        <v>569</v>
      </c>
      <c r="H292" s="21" t="s">
        <v>908</v>
      </c>
      <c r="I292" s="21" t="s">
        <v>909</v>
      </c>
      <c r="J292" s="21"/>
      <c r="K292" s="21" t="s">
        <v>910</v>
      </c>
      <c r="L292" s="21" t="s">
        <v>911</v>
      </c>
      <c r="M292" s="21" t="s">
        <v>69</v>
      </c>
      <c r="N292" s="21" t="s">
        <v>418</v>
      </c>
    </row>
    <row r="293" spans="1:14" ht="36" customHeight="1">
      <c r="A293" s="22">
        <v>46294</v>
      </c>
      <c r="B293" s="21" t="s">
        <v>18</v>
      </c>
      <c r="C293" s="21" t="s">
        <v>74</v>
      </c>
      <c r="D293" s="21" t="s">
        <v>75</v>
      </c>
      <c r="E293" s="21" t="s">
        <v>912</v>
      </c>
      <c r="F293" s="21">
        <v>1</v>
      </c>
      <c r="G293" s="21" t="s">
        <v>39</v>
      </c>
      <c r="H293" s="21"/>
      <c r="I293" s="21" t="s">
        <v>913</v>
      </c>
      <c r="J293" s="21"/>
      <c r="K293" s="21" t="s">
        <v>914</v>
      </c>
      <c r="L293" s="21" t="s">
        <v>915</v>
      </c>
      <c r="M293" s="21" t="s">
        <v>69</v>
      </c>
      <c r="N293" s="21" t="s">
        <v>916</v>
      </c>
    </row>
    <row r="294" spans="1:14" ht="36" customHeight="1">
      <c r="A294" s="22">
        <v>46294</v>
      </c>
      <c r="B294" s="21" t="s">
        <v>18</v>
      </c>
      <c r="C294" s="21" t="s">
        <v>81</v>
      </c>
      <c r="D294" s="21" t="s">
        <v>82</v>
      </c>
      <c r="E294" s="21" t="s">
        <v>917</v>
      </c>
      <c r="F294" s="21">
        <v>1</v>
      </c>
      <c r="G294" s="21" t="s">
        <v>917</v>
      </c>
      <c r="H294" s="21" t="s">
        <v>918</v>
      </c>
      <c r="I294" s="21" t="s">
        <v>919</v>
      </c>
      <c r="J294" s="21"/>
      <c r="K294" s="21" t="s">
        <v>910</v>
      </c>
      <c r="L294" s="21" t="s">
        <v>920</v>
      </c>
      <c r="M294" s="21" t="s">
        <v>69</v>
      </c>
      <c r="N294" s="21" t="s">
        <v>418</v>
      </c>
    </row>
    <row r="295" spans="1:14" ht="36" customHeight="1">
      <c r="A295" s="22">
        <v>46294</v>
      </c>
      <c r="B295" s="21" t="s">
        <v>18</v>
      </c>
      <c r="C295" s="21" t="s">
        <v>81</v>
      </c>
      <c r="D295" s="21" t="s">
        <v>82</v>
      </c>
      <c r="E295" s="21" t="s">
        <v>921</v>
      </c>
      <c r="F295" s="21">
        <v>1</v>
      </c>
      <c r="G295" s="21" t="s">
        <v>39</v>
      </c>
      <c r="H295" s="21"/>
      <c r="I295" s="21" t="s">
        <v>922</v>
      </c>
      <c r="J295" s="21"/>
      <c r="K295" s="21" t="s">
        <v>923</v>
      </c>
      <c r="L295" s="21" t="s">
        <v>924</v>
      </c>
      <c r="M295" s="21" t="s">
        <v>69</v>
      </c>
      <c r="N295" s="21" t="s">
        <v>96</v>
      </c>
    </row>
    <row r="296" spans="1:14" ht="36" customHeight="1">
      <c r="A296" s="22">
        <v>46294</v>
      </c>
      <c r="B296" s="21" t="s">
        <v>18</v>
      </c>
      <c r="C296" s="21" t="s">
        <v>87</v>
      </c>
      <c r="D296" s="21" t="s">
        <v>88</v>
      </c>
      <c r="E296" s="21" t="s">
        <v>925</v>
      </c>
      <c r="F296" s="21">
        <v>1</v>
      </c>
      <c r="G296" s="21" t="s">
        <v>39</v>
      </c>
      <c r="H296" s="21"/>
      <c r="I296" s="21" t="s">
        <v>926</v>
      </c>
      <c r="J296" s="21"/>
      <c r="K296" s="21" t="s">
        <v>927</v>
      </c>
      <c r="L296" s="21" t="s">
        <v>928</v>
      </c>
      <c r="M296" s="21" t="s">
        <v>92</v>
      </c>
      <c r="N296" s="21"/>
    </row>
    <row r="297" spans="1:14" ht="36" customHeight="1">
      <c r="A297" s="22">
        <v>46294</v>
      </c>
      <c r="B297" s="21" t="s">
        <v>18</v>
      </c>
      <c r="C297" s="21" t="s">
        <v>87</v>
      </c>
      <c r="D297" s="21" t="s">
        <v>88</v>
      </c>
      <c r="E297" s="21" t="s">
        <v>929</v>
      </c>
      <c r="F297" s="21">
        <v>1</v>
      </c>
      <c r="G297" s="21" t="s">
        <v>39</v>
      </c>
      <c r="H297" s="21"/>
      <c r="I297" s="21" t="s">
        <v>930</v>
      </c>
      <c r="J297" s="21" t="s">
        <v>159</v>
      </c>
      <c r="K297" s="21"/>
      <c r="L297" s="21" t="s">
        <v>931</v>
      </c>
      <c r="M297" s="21" t="s">
        <v>92</v>
      </c>
      <c r="N297" s="21"/>
    </row>
    <row r="298" spans="1:14" ht="36" customHeight="1">
      <c r="A298" s="22">
        <v>46294</v>
      </c>
      <c r="B298" s="21" t="s">
        <v>18</v>
      </c>
      <c r="C298" s="21" t="s">
        <v>62</v>
      </c>
      <c r="D298" s="21" t="s">
        <v>63</v>
      </c>
      <c r="E298" s="21" t="s">
        <v>932</v>
      </c>
      <c r="F298" s="21">
        <v>1</v>
      </c>
      <c r="G298" s="21" t="s">
        <v>65</v>
      </c>
      <c r="H298" s="21"/>
      <c r="I298" s="21" t="s">
        <v>933</v>
      </c>
      <c r="J298" s="21"/>
      <c r="K298" s="21" t="s">
        <v>40</v>
      </c>
      <c r="L298" s="21" t="s">
        <v>934</v>
      </c>
      <c r="M298" s="21" t="s">
        <v>69</v>
      </c>
      <c r="N298" s="21" t="s">
        <v>70</v>
      </c>
    </row>
    <row r="299" spans="1:14" ht="36" customHeight="1">
      <c r="A299" s="22">
        <v>46294</v>
      </c>
      <c r="B299" s="21" t="s">
        <v>18</v>
      </c>
      <c r="C299" s="21" t="s">
        <v>97</v>
      </c>
      <c r="D299" s="21" t="s">
        <v>98</v>
      </c>
      <c r="E299" s="21" t="s">
        <v>935</v>
      </c>
      <c r="F299" s="21">
        <v>1</v>
      </c>
      <c r="G299" s="21" t="s">
        <v>39</v>
      </c>
      <c r="H299" s="21"/>
      <c r="I299" s="21" t="s">
        <v>66</v>
      </c>
      <c r="J299" s="21" t="s">
        <v>154</v>
      </c>
      <c r="K299" s="21" t="s">
        <v>67</v>
      </c>
      <c r="L299" s="21" t="s">
        <v>936</v>
      </c>
      <c r="M299" s="21" t="s">
        <v>92</v>
      </c>
      <c r="N299" s="21"/>
    </row>
    <row r="300" spans="1:14" ht="36" customHeight="1">
      <c r="A300" s="22">
        <v>46295</v>
      </c>
      <c r="B300" s="21" t="s">
        <v>18</v>
      </c>
      <c r="C300" s="21" t="s">
        <v>74</v>
      </c>
      <c r="D300" s="21" t="s">
        <v>75</v>
      </c>
      <c r="E300" s="21" t="s">
        <v>937</v>
      </c>
      <c r="F300" s="21">
        <v>1</v>
      </c>
      <c r="G300" s="21" t="s">
        <v>938</v>
      </c>
      <c r="H300" s="21" t="s">
        <v>939</v>
      </c>
      <c r="I300" s="21" t="s">
        <v>940</v>
      </c>
      <c r="J300" s="21"/>
      <c r="K300" s="21" t="s">
        <v>941</v>
      </c>
      <c r="L300" s="21" t="s">
        <v>942</v>
      </c>
      <c r="M300" s="21" t="s">
        <v>38</v>
      </c>
      <c r="N300" s="21"/>
    </row>
    <row r="301" spans="1:14" ht="36" customHeight="1">
      <c r="A301" s="22">
        <v>46295</v>
      </c>
      <c r="B301" s="21" t="s">
        <v>18</v>
      </c>
      <c r="C301" s="21" t="s">
        <v>74</v>
      </c>
      <c r="D301" s="21" t="s">
        <v>75</v>
      </c>
      <c r="E301" s="21" t="s">
        <v>943</v>
      </c>
      <c r="F301" s="21">
        <v>1</v>
      </c>
      <c r="G301" s="21" t="s">
        <v>938</v>
      </c>
      <c r="H301" s="21" t="s">
        <v>939</v>
      </c>
      <c r="I301" s="21" t="s">
        <v>940</v>
      </c>
      <c r="J301" s="21"/>
      <c r="K301" s="21" t="s">
        <v>941</v>
      </c>
      <c r="L301" s="21" t="s">
        <v>942</v>
      </c>
      <c r="M301" s="21" t="s">
        <v>38</v>
      </c>
      <c r="N301" s="21"/>
    </row>
    <row r="302" spans="1:14" ht="36" customHeight="1">
      <c r="A302" s="22">
        <v>46295</v>
      </c>
      <c r="B302" s="21" t="s">
        <v>18</v>
      </c>
      <c r="C302" s="21" t="s">
        <v>81</v>
      </c>
      <c r="D302" s="21" t="s">
        <v>82</v>
      </c>
      <c r="E302" s="21" t="s">
        <v>944</v>
      </c>
      <c r="F302" s="21">
        <v>1</v>
      </c>
      <c r="G302" s="21" t="s">
        <v>39</v>
      </c>
      <c r="H302" s="21"/>
      <c r="I302" s="21" t="s">
        <v>945</v>
      </c>
      <c r="J302" s="21"/>
      <c r="K302" s="21" t="s">
        <v>946</v>
      </c>
      <c r="L302" s="21" t="s">
        <v>947</v>
      </c>
      <c r="M302" s="21" t="s">
        <v>69</v>
      </c>
      <c r="N302" s="21" t="s">
        <v>916</v>
      </c>
    </row>
    <row r="303" spans="1:14" ht="36" customHeight="1">
      <c r="A303" s="22">
        <v>46295</v>
      </c>
      <c r="B303" s="21" t="s">
        <v>18</v>
      </c>
      <c r="C303" s="21" t="s">
        <v>81</v>
      </c>
      <c r="D303" s="21" t="s">
        <v>82</v>
      </c>
      <c r="E303" s="21" t="s">
        <v>948</v>
      </c>
      <c r="F303" s="21">
        <v>1</v>
      </c>
      <c r="G303" s="21" t="s">
        <v>39</v>
      </c>
      <c r="H303" s="21"/>
      <c r="I303" s="21" t="s">
        <v>949</v>
      </c>
      <c r="J303" s="21"/>
      <c r="K303" s="21"/>
      <c r="L303" s="21" t="s">
        <v>950</v>
      </c>
      <c r="M303" s="21" t="s">
        <v>92</v>
      </c>
      <c r="N303" s="21"/>
    </row>
    <row r="304" spans="1:14" ht="36" customHeight="1">
      <c r="A304" s="22">
        <v>46295</v>
      </c>
      <c r="B304" s="21" t="s">
        <v>18</v>
      </c>
      <c r="C304" s="21" t="s">
        <v>62</v>
      </c>
      <c r="D304" s="21" t="s">
        <v>161</v>
      </c>
      <c r="E304" s="21" t="s">
        <v>951</v>
      </c>
      <c r="F304" s="21">
        <v>1</v>
      </c>
      <c r="G304" s="21" t="s">
        <v>39</v>
      </c>
      <c r="H304" s="21"/>
      <c r="I304" s="21" t="s">
        <v>66</v>
      </c>
      <c r="J304" s="21" t="s">
        <v>159</v>
      </c>
      <c r="K304" s="21" t="s">
        <v>67</v>
      </c>
      <c r="L304" s="21" t="s">
        <v>952</v>
      </c>
      <c r="M304" s="21" t="s">
        <v>92</v>
      </c>
      <c r="N304" s="21"/>
    </row>
    <row r="305" spans="1:14" ht="36" customHeight="1">
      <c r="A305" s="22">
        <v>46295</v>
      </c>
      <c r="B305" s="21" t="s">
        <v>18</v>
      </c>
      <c r="C305" s="21" t="s">
        <v>62</v>
      </c>
      <c r="D305" s="21" t="s">
        <v>161</v>
      </c>
      <c r="E305" s="21" t="s">
        <v>953</v>
      </c>
      <c r="F305" s="21">
        <v>1</v>
      </c>
      <c r="G305" s="21" t="s">
        <v>39</v>
      </c>
      <c r="H305" s="21"/>
      <c r="I305" s="21" t="s">
        <v>66</v>
      </c>
      <c r="J305" s="21" t="s">
        <v>159</v>
      </c>
      <c r="K305" s="21" t="s">
        <v>67</v>
      </c>
      <c r="L305" s="21" t="s">
        <v>952</v>
      </c>
      <c r="M305" s="21" t="s">
        <v>92</v>
      </c>
      <c r="N305" s="21"/>
    </row>
    <row r="306" spans="1:14" ht="36" customHeight="1">
      <c r="A306" s="22">
        <v>46295</v>
      </c>
      <c r="B306" s="21" t="s">
        <v>18</v>
      </c>
      <c r="C306" s="21" t="s">
        <v>97</v>
      </c>
      <c r="D306" s="21" t="s">
        <v>98</v>
      </c>
      <c r="E306" s="21" t="s">
        <v>954</v>
      </c>
      <c r="F306" s="21">
        <v>1</v>
      </c>
      <c r="G306" s="21" t="s">
        <v>39</v>
      </c>
      <c r="H306" s="21"/>
      <c r="I306" s="21" t="s">
        <v>66</v>
      </c>
      <c r="J306" s="21" t="s">
        <v>154</v>
      </c>
      <c r="K306" s="21" t="s">
        <v>67</v>
      </c>
      <c r="L306" s="21" t="s">
        <v>955</v>
      </c>
      <c r="M306" s="21" t="s">
        <v>92</v>
      </c>
      <c r="N306" s="21"/>
    </row>
    <row r="307" spans="1:14" ht="36" customHeight="1">
      <c r="A307" s="22">
        <v>46295</v>
      </c>
      <c r="B307" s="21" t="s">
        <v>18</v>
      </c>
      <c r="C307" s="21" t="s">
        <v>97</v>
      </c>
      <c r="D307" s="21" t="s">
        <v>98</v>
      </c>
      <c r="E307" s="21" t="s">
        <v>956</v>
      </c>
      <c r="F307" s="21">
        <v>1</v>
      </c>
      <c r="G307" s="21" t="s">
        <v>39</v>
      </c>
      <c r="H307" s="21"/>
      <c r="I307" s="21" t="s">
        <v>66</v>
      </c>
      <c r="J307" s="21" t="s">
        <v>154</v>
      </c>
      <c r="K307" s="21" t="s">
        <v>67</v>
      </c>
      <c r="L307" s="21" t="s">
        <v>957</v>
      </c>
      <c r="M307" s="21" t="s">
        <v>92</v>
      </c>
      <c r="N307" s="21"/>
    </row>
    <row r="308" spans="1:14" ht="22.0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 spans="1:14" ht="22.0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 spans="1:14" ht="22.0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 spans="1:14" ht="22.0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 spans="1:14" ht="22.0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 spans="1:14" ht="22.0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 spans="1:14" ht="22.0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 spans="1:14" ht="22.0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 spans="1:14" ht="22.0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 spans="1:14" ht="22.0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 spans="1:14" ht="22.0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 spans="1:14" ht="22.0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 spans="1:14" ht="22.0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 spans="1:14" ht="22.0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 spans="1:14" ht="22.0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 spans="1:14" ht="22.0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 spans="1:14" ht="22.0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 spans="1:14" ht="22.0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 spans="1:14" ht="22.0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 spans="1:14" ht="22.0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 spans="1:14" ht="22.0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 spans="1:14" ht="22.0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 spans="1:14" ht="22.0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 spans="1:14" ht="22.0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 spans="1:14" ht="22.0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 spans="1:14" ht="22.0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 spans="1:14" ht="22.0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 spans="1:14" ht="22.0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 spans="1:14" ht="22.0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 spans="1:14" ht="22.0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 spans="1:14" ht="22.0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 spans="1:14" ht="22.0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 spans="1:14" ht="22.0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 spans="1:14" ht="22.0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 spans="1:14" ht="22.0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 spans="1:14" ht="22.0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 spans="1:14" ht="22.0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 spans="1:14" ht="22.0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 spans="1:14" ht="22.0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 spans="1:14" ht="22.0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 spans="1:14" ht="22.0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 spans="1:14" ht="22.0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 spans="1:14" ht="22.0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 spans="1:14" ht="22.0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 spans="1:14" ht="22.0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 spans="1:14" ht="22.0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 spans="1:14" ht="22.0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 spans="1:14" ht="22.0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 spans="1:14" ht="22.0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 spans="1:14" ht="22.0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 spans="1:14" ht="22.0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 spans="1:14" ht="22.0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 spans="1:14" ht="22.0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 spans="1:14" ht="22.0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 spans="1:14" ht="22.0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 spans="1:14" ht="22.0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 spans="1:14" ht="22.0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 spans="1:14" ht="22.0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 spans="1:14" ht="22.0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 spans="1:14" ht="22.0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 spans="1:14" ht="22.0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 spans="1:14" ht="22.0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 spans="1:14" ht="22.0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 spans="1:14" ht="22.0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 spans="1:14" ht="22.0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 spans="1:14" ht="22.0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 spans="1:14" ht="22.0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 spans="1:14" ht="22.0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 spans="1:14" ht="22.0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 spans="1:14" ht="22.0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 spans="1:14" ht="22.0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 spans="1:14" ht="22.0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 spans="1:14" ht="22.0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 spans="1:14" ht="22.0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 spans="1:14" ht="22.0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 spans="1:14" ht="22.0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 spans="1:14" ht="22.0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 spans="1:14" ht="22.0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 spans="1:14" ht="22.0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 spans="1:14" ht="22.0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 spans="1:14" ht="22.0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 spans="1:14" ht="22.0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 spans="1:14" ht="22.0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 spans="1:14" ht="22.0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 spans="1:14" ht="22.0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 spans="1:14" ht="22.0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 spans="1:14" ht="22.0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 spans="1:14" ht="22.0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 spans="1:14" ht="22.0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 spans="1:14" ht="22.0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 spans="1:14" ht="22.0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 spans="1:14" ht="22.0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 spans="1:14" ht="22.0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 spans="1:14" ht="22.0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 spans="1:14" ht="22.0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 spans="1:14" ht="22.0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 spans="1:14" ht="22.0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 spans="1:14" ht="22.0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 spans="1:14" ht="22.0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 spans="1:14" ht="22.0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 spans="1:14" ht="22.0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 spans="1:14" ht="22.0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 spans="1:14" ht="22.0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 spans="1:14" ht="22.0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 spans="1:14" ht="22.0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 spans="1:14" ht="22.0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 spans="1:14" ht="22.0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 spans="1:14" ht="22.0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 spans="1:14" ht="22.0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 spans="1:14" ht="22.0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 spans="1:14" ht="22.0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 spans="1:14" ht="22.0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 spans="1:14" ht="22.0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 spans="1:14" ht="22.0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 spans="1:14" ht="22.0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 spans="1:14" ht="22.0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 spans="1:14" ht="22.0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 spans="1:14" ht="22.0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 spans="1:14" ht="22.0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 spans="1:14" ht="22.0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 spans="1:14" ht="22.0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 spans="1:14" ht="22.0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 spans="1:14" ht="22.0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 spans="1:14" ht="22.0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 spans="1:14" ht="22.0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 spans="1:14" ht="22.0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 spans="1:14" ht="22.0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 spans="1:14" ht="22.0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 spans="1:14" ht="22.0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 spans="1:14" ht="22.0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 spans="1:14" ht="22.0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 spans="1:14" ht="22.0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 spans="1:14" ht="22.0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 spans="1:14" ht="22.0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 spans="1:14" ht="22.0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 spans="1:14" ht="22.0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 spans="1:14" ht="22.0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 spans="1:14" ht="22.0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 spans="1:14" ht="22.0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 spans="1:14" ht="22.0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 spans="1:14" ht="22.0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 spans="1:14" ht="22.0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 spans="1:14" ht="22.0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 spans="1:14" ht="22.0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 spans="1:14" ht="22.0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 spans="1:14" ht="22.0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 spans="1:14" ht="22.0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 spans="1:14" ht="22.0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 spans="1:14" ht="22.0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 spans="1:14" ht="22.0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 spans="1:14" ht="22.0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 spans="1:14" ht="22.0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 spans="1:14" ht="22.0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 spans="1:14" ht="22.0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 spans="1:14" ht="22.0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 spans="1:14" ht="22.0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 spans="1:14" ht="22.0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 spans="1:14" ht="22.0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 spans="1:14" ht="22.0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 spans="1:14" ht="22.0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 spans="1:14" ht="22.0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 spans="1:14" ht="22.0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 spans="1:14" ht="22.0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 spans="1:14" ht="22.0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 spans="1:14" ht="22.0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 spans="1:14" ht="22.0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 spans="1:14" ht="22.0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 spans="1:14" ht="22.0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 spans="1:14" ht="22.0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 spans="1:14" ht="22.0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 spans="1:14" ht="22.0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 spans="1:14" ht="22.0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 spans="1:14" ht="22.0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 spans="1:14" ht="22.0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 spans="1:14" ht="22.0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 spans="1:14" ht="22.0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 spans="1:14" ht="22.0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 spans="1:14" ht="22.0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 spans="1:14" ht="22.0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 spans="1:14" ht="22.0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 spans="1:14" ht="22.0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 spans="1:14" ht="22.0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 spans="1:14" ht="22.0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 spans="1:14" ht="22.0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 spans="1:14" ht="22.0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 spans="1:14" ht="22.0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 spans="1:14" ht="22.0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 spans="1:14" ht="22.0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 spans="1:14" ht="22.0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 spans="1:14" ht="22.0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 spans="1:14" ht="22.0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 spans="1:14" ht="22.0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 spans="1:14" ht="22.0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 spans="1:14" ht="22.0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 spans="1:14" ht="22.0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 spans="1:14" ht="22.0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 spans="1:14" ht="22.0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 spans="1:14" ht="22.0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 spans="1:14" ht="22.0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 spans="1:14" ht="22.0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 spans="1:14" ht="22.0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 spans="1:14" ht="22.0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 spans="1:14" ht="22.0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 spans="1:14" ht="22.0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 spans="1:14" ht="22.0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 spans="1:14" ht="22.0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 spans="1:14" ht="22.0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 spans="1:14" ht="22.0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 spans="1:14" ht="22.0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 spans="1:14" ht="22.0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 spans="1:14" ht="22.0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 spans="1:14" ht="22.0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 spans="1:14" ht="22.0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 spans="1:14" ht="22.0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 spans="1:14" ht="22.0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 spans="1:14" ht="22.0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 spans="1:14" ht="22.0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 spans="1:14" ht="22.0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 spans="1:14" ht="22.0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 spans="1:14" ht="22.0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 spans="1:14" ht="22.0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 spans="1:14" ht="22.0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 spans="1:14" ht="22.0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 spans="1:14" ht="22.0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 spans="1:14" ht="22.0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 spans="1:14" ht="22.0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 spans="1:14" ht="22.0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 spans="1:14" ht="22.0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 spans="1:14" ht="22.0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 spans="1:14" ht="22.0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 spans="1:14" ht="22.0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 spans="1:14" ht="22.0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 spans="1:14" ht="22.0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 spans="1:14" ht="22.0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 spans="1:14" ht="22.0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 spans="1:14" ht="22.0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 spans="1:14" ht="22.0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 spans="1:14" ht="22.0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 spans="1:14" ht="22.0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 spans="1:14" ht="22.0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 spans="1:14" ht="22.0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 spans="1:14" ht="22.0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 spans="1:14" ht="22.0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 spans="1:14" ht="22.0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 spans="1:14" ht="22.0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 spans="1:14" ht="22.0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 spans="1:14" ht="22.0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 spans="1:14" ht="22.0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 spans="1:14" ht="22.0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 spans="1:14" ht="22.0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 spans="1:14" ht="22.0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 spans="1:14" ht="22.0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 spans="1:14" ht="22.0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 spans="1:14" ht="22.0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 spans="1:14" ht="22.0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 spans="1:14" ht="22.0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 spans="1:14" ht="22.0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 spans="1:14" ht="22.0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 spans="1:14" ht="22.0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 spans="1:14" ht="22.0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 spans="1:14" ht="22.0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 spans="1:14" ht="22.0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 spans="1:14" ht="22.0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 spans="1:14" ht="22.0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 spans="1:14" ht="22.0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 spans="1:14" ht="22.0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 spans="1:14" ht="22.0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 spans="1:14" ht="22.0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 spans="1:14" ht="22.0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 spans="1:14" ht="22.0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 spans="1:14" ht="22.0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 spans="1:14" ht="22.0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 spans="1:14" ht="22.0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 spans="1:14" ht="22.0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 spans="1:14" ht="22.0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 spans="1:14" ht="22.0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 spans="1:14" ht="22.0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 spans="1:14" ht="22.0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 spans="1:14" ht="22.0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 spans="1:14" ht="22.0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 spans="1:14" ht="22.0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 spans="1:14" ht="22.0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 spans="1:14" ht="22.0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 spans="1:14" ht="22.0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 spans="1:14" ht="22.0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 spans="1:14" ht="22.0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 spans="1:14" ht="22.0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 spans="1:14" ht="22.0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 spans="1:14" ht="22.0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 spans="1:14" ht="22.0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 spans="1:14" ht="22.0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 spans="1:14" ht="22.0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 spans="1:14" ht="22.0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 spans="1:14" ht="22.0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 spans="1:14" ht="22.0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 spans="1:14" ht="22.0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 spans="1:14" ht="22.0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 spans="1:14" ht="22.0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 spans="1:14" ht="22.0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 spans="1:14" ht="22.0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 spans="1:14" ht="22.0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 spans="1:14" ht="22.0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 spans="1:14" ht="22.0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 spans="1:14" ht="22.0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 spans="1:14" ht="22.0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 spans="1:14" ht="22.0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 spans="1:14" ht="22.0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 spans="1:14" ht="22.0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 spans="1:14" ht="22.0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 spans="1:14" ht="22.0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 spans="1:14" ht="22.0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 spans="1:14" ht="22.0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 spans="1:14" ht="22.0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 spans="1:14" ht="22.0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 spans="1:14" ht="22.0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 spans="1:14" ht="22.0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 spans="1:14" ht="22.0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 spans="1:14" ht="22.0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 spans="1:14" ht="22.0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 spans="1:14" ht="22.0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 spans="1:14" ht="22.0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 spans="1:14" ht="22.0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 spans="1:14" ht="22.0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 spans="1:14" ht="22.0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 spans="1:14" ht="22.0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 spans="1:14" ht="22.0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 spans="1:14" ht="22.0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 spans="1:14" ht="22.0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 spans="1:14" ht="22.0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 spans="1:14" ht="22.0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 spans="1:14" ht="22.0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 spans="1:14" ht="22.0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 spans="1:14" ht="22.0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 spans="1:14" ht="22.0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 spans="1:14" ht="22.0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 spans="1:14" ht="22.0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 spans="1:14" ht="22.0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 spans="1:14" ht="22.0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 spans="1:14" ht="22.0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 spans="1:14" ht="22.0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 spans="1:14" ht="22.0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 spans="1:14" ht="22.0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 spans="1:14" ht="22.0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 spans="1:14" ht="22.0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 spans="1:14" ht="22.0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 spans="1:14" ht="22.0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 spans="1:14" ht="22.0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 spans="1:14" ht="22.0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 spans="1:14" ht="22.0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 spans="1:14" ht="22.0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 spans="1:14" ht="22.0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 spans="1:14" ht="22.0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 spans="1:14" ht="22.0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 spans="1:14" ht="22.0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 spans="1:14" ht="22.0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 spans="1:14" ht="22.0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 spans="1:14" ht="22.0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 spans="1:14" ht="22.0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 spans="1:14" ht="22.0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 spans="1:14" ht="22.0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 spans="1:14" ht="22.0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 spans="1:14" ht="22.0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 spans="1:14" ht="22.0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 spans="1:14" ht="22.0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 spans="1:14" ht="22.0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 spans="1:14" ht="22.0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 spans="1:14" ht="22.0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 spans="1:14" ht="22.0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 spans="1:14" ht="22.0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 spans="1:14" ht="22.0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 spans="1:14" ht="22.0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 spans="1:14" ht="22.0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 spans="1:14" ht="22.0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 spans="1:14" ht="22.0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 spans="1:14" ht="22.0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 spans="1:14" ht="22.0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 spans="1:14" ht="22.0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 spans="1:14" ht="22.0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 spans="1:14" ht="22.0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 spans="1:14" ht="22.0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 spans="1:14" ht="22.0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 spans="1:14" ht="22.0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 spans="1:14" ht="22.0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 spans="1:14" ht="22.0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 spans="1:14" ht="22.0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 spans="1:14" ht="22.0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 spans="1:14" ht="22.0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 spans="1:14" ht="22.0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 spans="1:14" ht="22.0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 spans="1:14" ht="22.0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 spans="1:14" ht="22.0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 spans="1:14" ht="22.0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 spans="1:14" ht="22.0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 spans="1:14" ht="22.0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 spans="1:14" ht="22.0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 spans="1:14" ht="22.0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 spans="1:14" ht="22.0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 spans="1:14" ht="22.0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 spans="1:14" ht="22.0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 spans="1:14" ht="22.0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 spans="1:14" ht="22.0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 spans="1:14" ht="22.0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 spans="1:14" ht="22.0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 spans="1:14" ht="22.0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 spans="1:14" ht="22.0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 spans="1:14" ht="22.0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 spans="1:14" ht="22.0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 spans="1:14" ht="22.0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 spans="1:14" ht="22.0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 spans="1:14" ht="22.0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 spans="1:14" ht="22.0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 spans="1:14" ht="22.0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 spans="1:14" ht="22.0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 spans="1:14" ht="22.0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 spans="1:14" ht="22.0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 spans="1:14" ht="22.0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 spans="1:14" ht="22.0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 spans="1:14" ht="22.0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 spans="1:14" ht="22.0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 spans="1:14" ht="22.0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 spans="1:14" ht="22.0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 spans="1:14" ht="22.0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 spans="1:14" ht="22.0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 spans="1:14" ht="22.0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 spans="1:14" ht="22.0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 spans="1:14" ht="22.0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 spans="1:14" ht="22.0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 spans="1:14" ht="22.0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 spans="1:14" ht="22.0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 spans="1:14" ht="22.0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 spans="1:14" ht="22.0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 spans="1:14" ht="22.0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 spans="1:14" ht="22.0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 spans="1:14" ht="22.0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 spans="1:14" ht="22.0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 spans="1:14" ht="22.0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 spans="1:14" ht="22.0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 spans="1:14" ht="22.0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 spans="1:14" ht="22.0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 spans="1:14" ht="22.0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 spans="1:14" ht="22.0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 spans="1:14" ht="22.0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 spans="1:14" ht="22.0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 spans="1:14" ht="22.0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 spans="1:14" ht="22.0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 spans="1:14" ht="22.0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 spans="1:14" ht="22.0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 spans="1:14" ht="22.0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 spans="1:14" ht="22.0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 spans="1:14" ht="22.0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 spans="1:14" ht="22.0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 spans="1:14" ht="22.0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 spans="1:14" ht="22.0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 spans="1:14" ht="22.0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 spans="1:14" ht="22.0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 spans="1:14" ht="22.0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 spans="1:14" ht="22.0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 spans="1:14" ht="22.0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 spans="1:14" ht="22.0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 spans="1:14" ht="22.0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 spans="1:14" ht="22.0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 spans="1:14" ht="22.0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 spans="1:14" ht="22.0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 spans="1:14" ht="22.0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 spans="1:14" ht="22.0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 spans="1:14" ht="22.0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 spans="1:14" ht="22.0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 spans="1:14" ht="22.0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 spans="1:14" ht="22.0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 spans="1:14" ht="22.0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 spans="1:14" ht="22.0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 spans="1:14" ht="22.0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 spans="1:14" ht="22.0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 spans="1:14" ht="22.0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 spans="1:14" ht="22.0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 spans="1:14" ht="22.0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 spans="1:14" ht="22.0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 spans="1:14" ht="22.0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 spans="1:14" ht="22.0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 spans="1:14" ht="22.0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 spans="1:14" ht="22.0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 spans="1:14" ht="22.0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 spans="1:14" ht="22.0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 spans="1:14" ht="22.0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 spans="1:14" ht="22.0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 spans="1:14" ht="22.0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 spans="1:14" ht="22.0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 spans="1:14" ht="22.0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 spans="1:14" ht="22.0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 spans="1:14" ht="22.0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 spans="1:14" ht="22.0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 spans="1:14" ht="22.0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 spans="1:14" ht="22.0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 spans="1:14" ht="22.0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 spans="1:14" ht="22.0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 spans="1:14" ht="22.0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 spans="1:14" ht="22.0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 spans="1:14" ht="22.0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 spans="1:14" ht="22.0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 spans="1:14" ht="22.0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 spans="1:14" ht="22.0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 spans="1:14" ht="22.0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 spans="1:14" ht="22.0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 spans="1:14" ht="22.0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 spans="1:14" ht="22.0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 spans="1:14" ht="22.0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 spans="1:14" ht="22.0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 spans="1:14" ht="22.0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 spans="1:14" ht="22.0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 spans="1:14" ht="22.0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 spans="1:14" ht="22.0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 spans="1:14" ht="22.0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 spans="1:14" ht="22.0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 spans="1:14" ht="22.0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 spans="1:14" ht="22.0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 spans="1:14" ht="22.0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 spans="1:14" ht="22.0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 spans="1:14" ht="22.0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 spans="1:14" ht="22.0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 spans="1:14" ht="22.0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 spans="1:14" ht="22.0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 spans="1:14" ht="22.0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 spans="1:14" ht="22.0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 spans="1:14" ht="22.0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 spans="1:14" ht="22.0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 spans="1:14" ht="22.0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 spans="1:14" ht="22.0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 spans="1:14" ht="22.0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 spans="1:14" ht="22.0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 spans="1:14" ht="22.0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 spans="1:14" ht="22.0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 spans="1:14" ht="22.0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 spans="1:14" ht="22.0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 spans="1:14" ht="22.0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 spans="1:14" ht="22.0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 spans="1:14" ht="22.0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 spans="1:14" ht="22.0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 spans="1:14" ht="22.0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 spans="1:14" ht="22.0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 spans="1:14" ht="22.0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 spans="1:14" ht="22.0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 spans="1:14" ht="22.0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 spans="1:14" ht="22.0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 spans="1:14" ht="22.0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 spans="1:14" ht="22.0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 spans="1:14" ht="22.0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 spans="1:14" ht="22.0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 spans="1:14" ht="22.0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 spans="1:14" ht="22.0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 spans="1:14" ht="22.0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 spans="1:14" ht="22.0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 spans="1:14" ht="22.0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 spans="1:14" ht="22.0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 spans="1:14" ht="22.0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 spans="1:14" ht="22.0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 spans="1:14" ht="22.0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 spans="1:14" ht="22.0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 spans="1:14" ht="22.0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 spans="1:14" ht="22.0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 spans="1:14" ht="22.0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 spans="1:14" ht="22.0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 spans="1:14" ht="22.0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 spans="1:14" ht="22.0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 spans="1:14" ht="22.0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 spans="1:14" ht="22.0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 spans="1:14" ht="22.0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 spans="1:14" ht="22.0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 spans="1:14" ht="22.0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 spans="1:14" ht="22.0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 spans="1:14" ht="22.0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 spans="1:14" ht="22.0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 spans="1:14" ht="22.0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 spans="1:14" ht="22.0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 spans="1:14" ht="22.0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 spans="1:14" ht="22.0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 spans="1:14" ht="22.0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 spans="1:14" ht="22.0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 spans="1:14" ht="22.0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 spans="1:14" ht="22.0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 spans="1:14" ht="22.0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 spans="1:14" ht="22.0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 spans="1:14" ht="22.0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 spans="1:14" ht="22.0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 spans="1:14" ht="22.0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 spans="1:14" ht="22.0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 spans="1:14" ht="22.0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 spans="1:14" ht="22.0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 spans="1:14" ht="22.0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 spans="1:14" ht="22.0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 spans="1:14" ht="22.0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 spans="1:14" ht="22.0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 spans="1:14" ht="22.0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 spans="1:14" ht="22.0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 spans="1:14" ht="22.0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 spans="1:14" ht="22.0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 spans="1:14" ht="22.0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 spans="1:14" ht="22.0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 spans="1:14" ht="22.0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 spans="1:14" ht="22.0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 spans="1:14" ht="22.0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 spans="1:14" ht="22.0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 spans="1:14" ht="22.0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 spans="1:14" ht="22.0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 spans="1:14" ht="22.0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 spans="1:14" ht="22.0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 spans="1:14" ht="22.0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 spans="1:14" ht="22.0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 spans="1:14" ht="22.0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 spans="1:14" ht="22.0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 spans="1:14" ht="22.0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 spans="1:14" ht="22.0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 spans="1:14" ht="22.0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 spans="1:14" ht="22.0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 spans="1:14" ht="22.0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 spans="1:14" ht="22.0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 spans="1:14" ht="22.0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 spans="1:14" ht="22.0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 spans="1:14" ht="22.0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 spans="1:14" ht="22.0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 spans="1:14" ht="22.0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 spans="1:14" ht="22.0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 spans="1:14" ht="22.0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 spans="1:14" ht="22.0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 spans="1:14" ht="22.0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 spans="1:14" ht="22.0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 spans="1:14" ht="22.0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 spans="1:14" ht="22.0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 spans="1:14" ht="22.0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 spans="1:14" ht="22.0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 spans="1:14" ht="22.0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 spans="1:14" ht="22.0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 spans="1:14" ht="22.0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 spans="1:14" ht="22.0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 spans="1:14" ht="22.0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 spans="1:14" ht="22.0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 spans="1:14" ht="22.0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 spans="1:14" ht="22.0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 spans="1:14" ht="22.0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 spans="1:14" ht="22.0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 spans="1:14" ht="22.0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 spans="1:14" ht="22.0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 spans="1:14" ht="22.0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 spans="1:14" ht="22.0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 spans="1:14" ht="22.0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 spans="1:14" ht="22.0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 spans="1:14" ht="22.0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 spans="1:14" ht="22.0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 spans="1:14" ht="22.0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 spans="1:14" ht="22.0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 spans="1:14" ht="22.0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 spans="1:14" ht="22.0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 spans="1:14" ht="22.0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 spans="1:14" ht="22.0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 spans="1:14" ht="22.0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 spans="1:14" ht="22.0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 spans="1:14" ht="22.0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 spans="1:14" ht="22.0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 spans="1:14" ht="22.0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 spans="1:14" ht="22.0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 spans="1:14" ht="22.0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 spans="1:14" ht="22.0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 spans="1:14" ht="22.0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 spans="1:14" ht="22.0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 spans="1:14" ht="22.0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 spans="1:14" ht="22.0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 spans="1:14" ht="22.0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 spans="1:14" ht="22.0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 spans="1:14" ht="22.0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 spans="1:14" ht="22.0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 spans="1:14" ht="22.0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 spans="1:14" ht="22.0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 spans="1:14" ht="22.0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 spans="1:14" ht="22.0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 spans="1:14" ht="22.0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 spans="1:14" ht="22.0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 spans="1:14" ht="22.0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 spans="1:14" ht="22.0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 spans="1:14" ht="22.0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 spans="1:14" ht="22.0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 spans="1:14" ht="22.0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 spans="1:14" ht="22.0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 spans="1:14" ht="22.0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 spans="1:14" ht="22.0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 spans="1:14" ht="22.0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 spans="1:14" ht="22.0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 spans="1:14" ht="22.0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 spans="1:14" ht="22.0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 spans="1:14" ht="22.0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 spans="1:14" ht="22.0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 spans="1:14" ht="22.0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 spans="1:14" ht="22.0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 spans="1:14" ht="22.0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 spans="1:14" ht="22.0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 spans="1:14" ht="22.0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 spans="1:14" ht="22.0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 spans="1:14" ht="22.0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 spans="1:14" ht="22.0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 spans="1:14" ht="22.0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 spans="1:14" ht="22.0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 spans="1:14" ht="22.0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 spans="1:14" ht="22.0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 spans="1:14" ht="22.0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 spans="1:14" ht="22.0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 spans="1:14" ht="22.0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 spans="1:14" ht="22.0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 spans="1:14" ht="22.0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 spans="1:14" ht="22.0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 spans="1:14" ht="22.0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 spans="1:14" ht="22.0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 spans="1:14" ht="22.0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 spans="1:14" ht="22.0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 spans="1:14" ht="22.05" customHeight="1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 spans="1:14" ht="22.0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 spans="1:14" ht="22.05" customHeight="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 spans="1:14" ht="22.0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 spans="1:14" ht="22.0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 spans="1:14" ht="22.0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 spans="1:14" ht="22.05" customHeight="1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 spans="1:14" ht="22.05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 spans="1:14" ht="22.0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 spans="1:14" ht="22.0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 spans="1:14" ht="22.05" customHeight="1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 spans="1:14" ht="22.0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 spans="1:14" ht="22.0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 spans="1:14" ht="22.05" customHeight="1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 spans="1:14" ht="22.05" customHeight="1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 spans="1:14" ht="22.05" customHeight="1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  <row r="1035" spans="1:14" ht="22.0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</row>
    <row r="1036" spans="1:14" ht="22.0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</row>
    <row r="1037" spans="1:14" ht="22.05" customHeight="1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</row>
    <row r="1038" spans="1:14" ht="22.0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</row>
    <row r="1039" spans="1:14" ht="22.05" customHeight="1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</row>
    <row r="1040" spans="1:14" ht="22.05" customHeight="1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</row>
    <row r="1041" spans="1:14" ht="22.0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</row>
    <row r="1042" spans="1:14" ht="22.05" customHeight="1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</row>
    <row r="1043" spans="1:14" ht="22.0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</row>
    <row r="1044" spans="1:14" ht="22.05" customHeight="1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</row>
    <row r="1045" spans="1:14" ht="22.0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</row>
    <row r="1046" spans="1:14" ht="22.0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</row>
    <row r="1047" spans="1:14" ht="22.0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</row>
    <row r="1048" spans="1:14" ht="22.0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</row>
    <row r="1049" spans="1:14" ht="22.0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</row>
    <row r="1050" spans="1:14" ht="22.0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</row>
    <row r="1051" spans="1:14" ht="22.0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</row>
    <row r="1052" spans="1:14" ht="22.0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</row>
    <row r="1053" spans="1:14" ht="22.05" customHeight="1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</row>
    <row r="1054" spans="1:14" ht="22.0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</row>
    <row r="1055" spans="1:14" ht="22.0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</row>
    <row r="1056" spans="1:14" ht="22.0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</row>
    <row r="1057" spans="1:14" ht="22.0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</row>
    <row r="1058" spans="1:14" ht="22.0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</row>
    <row r="1059" spans="1:14" ht="22.0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</row>
    <row r="1060" spans="1:14" ht="22.0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</row>
    <row r="1061" spans="1:14" ht="22.0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</row>
    <row r="1062" spans="1:14" ht="22.0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</row>
    <row r="1063" spans="1:14" ht="22.05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</row>
    <row r="1064" spans="1:14" ht="22.0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</row>
    <row r="1065" spans="1:14" ht="22.0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</row>
    <row r="1066" spans="1:14" ht="22.0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</row>
    <row r="1067" spans="1:14" ht="22.0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</row>
    <row r="1068" spans="1:14" ht="22.0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</row>
    <row r="1069" spans="1:14" ht="22.0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</row>
    <row r="1070" spans="1:14" ht="22.0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</row>
    <row r="1071" spans="1:14" ht="22.0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</row>
    <row r="1072" spans="1:14" ht="22.0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</row>
    <row r="1073" spans="1:14" ht="22.0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</row>
    <row r="1074" spans="1:14" ht="22.05" customHeight="1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</row>
    <row r="1075" spans="1:14" ht="22.0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</row>
    <row r="1076" spans="1:14" ht="22.0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</row>
    <row r="1077" spans="1:14" ht="22.05" customHeight="1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</row>
    <row r="1078" spans="1:14" ht="22.0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</row>
    <row r="1079" spans="1:14" ht="22.0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</row>
    <row r="1080" spans="1:14" ht="22.0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</row>
    <row r="1081" spans="1:14" ht="22.0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</row>
    <row r="1082" spans="1:14" ht="22.0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</row>
    <row r="1083" spans="1:14" ht="22.05" customHeight="1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</row>
    <row r="1084" spans="1:14" ht="22.05" customHeight="1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</row>
    <row r="1085" spans="1:14" ht="22.0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</row>
    <row r="1086" spans="1:14" ht="22.05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</row>
    <row r="1087" spans="1:14" ht="22.05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</row>
    <row r="1088" spans="1:14" ht="22.0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</row>
    <row r="1089" spans="1:14" ht="22.05" customHeight="1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</row>
    <row r="1090" spans="1:14" ht="22.0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</row>
    <row r="1091" spans="1:14" ht="22.0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</row>
    <row r="1092" spans="1:14" ht="22.0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</row>
    <row r="1093" spans="1:14" ht="22.0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</row>
    <row r="1094" spans="1:14" ht="22.0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</row>
    <row r="1095" spans="1:14" ht="22.0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</row>
    <row r="1096" spans="1:14" ht="22.0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</row>
    <row r="1097" spans="1:14" ht="22.0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</row>
    <row r="1098" spans="1:14" ht="22.0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</row>
    <row r="1099" spans="1:14" ht="22.0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</row>
    <row r="1100" spans="1:14" ht="22.0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</row>
    <row r="1101" spans="1:14" ht="22.0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</row>
    <row r="1102" spans="1:14" ht="22.0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</row>
    <row r="1103" spans="1:14" ht="22.0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</row>
    <row r="1104" spans="1:14" ht="22.0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</row>
    <row r="1105" spans="1:14" ht="22.0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</row>
    <row r="1106" spans="1:14" ht="22.05" customHeight="1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</row>
    <row r="1107" spans="1:14" ht="22.0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</row>
    <row r="1108" spans="1:14" ht="22.0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</row>
    <row r="1109" spans="1:14" ht="22.0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</row>
    <row r="1110" spans="1:14" ht="22.0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</row>
    <row r="1111" spans="1:14" ht="22.0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</row>
    <row r="1112" spans="1:14" ht="22.0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</row>
    <row r="1113" spans="1:14" ht="22.0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</row>
    <row r="1114" spans="1:14" ht="22.05" customHeight="1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</row>
    <row r="1115" spans="1:14" ht="22.0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</row>
    <row r="1116" spans="1:14" ht="22.0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</row>
    <row r="1117" spans="1:14" ht="22.0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</row>
    <row r="1118" spans="1:14" ht="22.0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</row>
    <row r="1119" spans="1:14" ht="22.05" customHeight="1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</row>
    <row r="1120" spans="1:14" ht="22.0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</row>
    <row r="1121" spans="1:14" ht="22.0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</row>
    <row r="1122" spans="1:14" ht="22.0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</row>
    <row r="1123" spans="1:14" ht="22.05" customHeight="1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</row>
    <row r="1124" spans="1:14" ht="22.0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</row>
    <row r="1125" spans="1:14" ht="22.0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</row>
    <row r="1126" spans="1:14" ht="22.0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</row>
    <row r="1127" spans="1:14" ht="22.0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</row>
    <row r="1128" spans="1:14" ht="22.0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</row>
    <row r="1129" spans="1:14" ht="22.0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</row>
    <row r="1130" spans="1:14" ht="22.0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</row>
    <row r="1131" spans="1:14" ht="22.0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</row>
    <row r="1132" spans="1:14" ht="22.0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</row>
    <row r="1133" spans="1:14" ht="22.0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</row>
    <row r="1134" spans="1:14" ht="22.0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</row>
    <row r="1135" spans="1:14" ht="22.0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</row>
    <row r="1136" spans="1:14" ht="22.0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</row>
    <row r="1137" spans="1:14" ht="22.0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</row>
    <row r="1138" spans="1:14" ht="22.0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</row>
    <row r="1139" spans="1:14" ht="22.0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</row>
    <row r="1140" spans="1:14" ht="22.0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</row>
    <row r="1141" spans="1:14" ht="22.0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</row>
    <row r="1142" spans="1:14" ht="22.0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</row>
    <row r="1143" spans="1:14" ht="22.0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</row>
    <row r="1144" spans="1:14" ht="22.05" customHeight="1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</row>
    <row r="1145" spans="1:14" ht="22.05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</row>
    <row r="1146" spans="1:14" ht="22.0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</row>
    <row r="1147" spans="1:14" ht="22.0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</row>
    <row r="1148" spans="1:14" ht="22.05" customHeight="1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</row>
    <row r="1149" spans="1:14" ht="22.0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</row>
    <row r="1150" spans="1:14" ht="22.0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</row>
    <row r="1151" spans="1:14" ht="22.0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</row>
    <row r="1152" spans="1:14" ht="22.0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</row>
    <row r="1153" spans="1:14" ht="22.0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</row>
    <row r="1154" spans="1:14" ht="22.05" customHeight="1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</row>
    <row r="1155" spans="1:14" ht="22.05" customHeight="1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</row>
    <row r="1156" spans="1:14" ht="22.0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</row>
    <row r="1157" spans="1:14" ht="22.0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</row>
    <row r="1158" spans="1:14" ht="22.05" customHeight="1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</row>
    <row r="1159" spans="1:14" ht="22.0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</row>
    <row r="1160" spans="1:14" ht="22.0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</row>
    <row r="1161" spans="1:14" ht="22.0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</row>
    <row r="1162" spans="1:14" ht="22.0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</row>
    <row r="1163" spans="1:14" ht="22.0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</row>
    <row r="1164" spans="1:14" ht="22.0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</row>
    <row r="1165" spans="1:14" ht="22.0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</row>
    <row r="1166" spans="1:14" ht="22.05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</row>
    <row r="1167" spans="1:14" ht="22.0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</row>
    <row r="1168" spans="1:14" ht="22.0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</row>
    <row r="1169" spans="1:14" ht="22.0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</row>
    <row r="1170" spans="1:14" ht="22.0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</row>
    <row r="1171" spans="1:14" ht="22.0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</row>
    <row r="1172" spans="1:14" ht="22.0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</row>
    <row r="1173" spans="1:14" ht="22.0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</row>
    <row r="1174" spans="1:14" ht="22.0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</row>
    <row r="1175" spans="1:14" ht="22.0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</row>
    <row r="1176" spans="1:14" ht="22.0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</row>
    <row r="1177" spans="1:14" ht="22.05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</row>
    <row r="1178" spans="1:14" ht="22.0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</row>
    <row r="1179" spans="1:14" ht="22.0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</row>
    <row r="1180" spans="1:14" ht="22.0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</row>
    <row r="1181" spans="1:14" ht="22.0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</row>
    <row r="1182" spans="1:14" ht="22.0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</row>
    <row r="1183" spans="1:14" ht="22.05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</row>
    <row r="1184" spans="1:14" ht="22.0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</row>
    <row r="1185" spans="1:14" ht="22.0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</row>
    <row r="1186" spans="1:14" ht="22.0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</row>
    <row r="1187" spans="1:14" ht="22.0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</row>
    <row r="1188" spans="1:14" ht="22.0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</row>
    <row r="1189" spans="1:14" ht="22.0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</row>
    <row r="1190" spans="1:14" ht="22.0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</row>
    <row r="1191" spans="1:14" ht="22.0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</row>
    <row r="1192" spans="1:14" ht="22.0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</row>
    <row r="1193" spans="1:14" ht="22.0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</row>
    <row r="1194" spans="1:14" ht="22.0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</row>
    <row r="1195" spans="1:14" ht="22.0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</row>
    <row r="1196" spans="1:14" ht="22.0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</row>
    <row r="1197" spans="1:14" ht="22.0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</row>
    <row r="1198" spans="1:14" ht="22.0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</row>
    <row r="1199" spans="1:14" ht="22.0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</row>
    <row r="1200" spans="1:14" ht="22.0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</row>
    <row r="1201" spans="1:14" ht="22.05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</row>
    <row r="1202" spans="1:14" ht="22.0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</row>
    <row r="1203" spans="1:14" ht="22.0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</row>
    <row r="1204" spans="1:14" ht="22.0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</row>
    <row r="1205" spans="1:14" ht="22.0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</row>
    <row r="1206" spans="1:14" ht="22.05" customHeight="1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</row>
    <row r="1207" spans="1:14" ht="22.05" customHeight="1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</row>
    <row r="1208" spans="1:14" ht="22.05" customHeight="1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</row>
    <row r="1209" spans="1:14" ht="22.05" customHeight="1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</row>
    <row r="1210" spans="1:14" ht="22.05" customHeight="1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</row>
    <row r="1211" spans="1:14" ht="22.05" customHeight="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</row>
    <row r="1212" spans="1:14" ht="22.05" customHeight="1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</row>
    <row r="1213" spans="1:14" ht="22.05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</row>
    <row r="1214" spans="1:14" ht="22.05" customHeight="1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</row>
    <row r="1215" spans="1:14" ht="22.05" customHeight="1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</row>
    <row r="1216" spans="1:14" ht="22.05" customHeight="1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</row>
    <row r="1217" spans="1:14" ht="22.05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</row>
    <row r="1218" spans="1:14" ht="22.05" customHeight="1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</row>
    <row r="1219" spans="1:14" ht="22.05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</row>
    <row r="1220" spans="1:14" ht="22.05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</row>
    <row r="1221" spans="1:14" ht="22.05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</row>
    <row r="1222" spans="1:14" ht="22.05" customHeight="1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</row>
    <row r="1223" spans="1:14" ht="22.05" customHeight="1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</row>
    <row r="1224" spans="1:14" ht="22.05" customHeight="1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</row>
    <row r="1225" spans="1:14" ht="22.05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</row>
    <row r="1226" spans="1:14" ht="22.05" customHeight="1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</row>
    <row r="1227" spans="1:14" ht="22.05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</row>
    <row r="1228" spans="1:14" ht="22.05" customHeight="1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</row>
    <row r="1229" spans="1:14" ht="22.05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</row>
    <row r="1230" spans="1:14" ht="22.05" customHeight="1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</row>
    <row r="1231" spans="1:14" ht="22.05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</row>
    <row r="1232" spans="1:14" ht="22.0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</row>
    <row r="1233" spans="1:14" ht="22.05" customHeight="1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</row>
    <row r="1234" spans="1:14" ht="22.05" customHeight="1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</row>
    <row r="1235" spans="1:14" ht="22.05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</row>
    <row r="1236" spans="1:14" ht="22.05" customHeight="1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</row>
    <row r="1237" spans="1:14" ht="22.05" customHeight="1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</row>
    <row r="1238" spans="1:14" ht="22.05" customHeight="1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</row>
    <row r="1239" spans="1:14" ht="22.05" customHeight="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</row>
    <row r="1240" spans="1:14" ht="22.05" customHeight="1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</row>
    <row r="1241" spans="1:14" ht="22.05" customHeight="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</row>
    <row r="1242" spans="1:14" ht="22.05" customHeight="1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</row>
    <row r="1243" spans="1:14" ht="22.05" customHeight="1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</row>
    <row r="1244" spans="1:14" ht="22.05" customHeight="1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</row>
    <row r="1245" spans="1:14" ht="22.05" customHeight="1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</row>
    <row r="1246" spans="1:14" ht="22.05" customHeight="1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</row>
    <row r="1247" spans="1:14" ht="22.05" customHeight="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</row>
    <row r="1248" spans="1:14" ht="22.05" customHeight="1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</row>
    <row r="1249" spans="1:14" ht="22.05" customHeight="1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</row>
    <row r="1250" spans="1:14" ht="22.05" customHeight="1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</row>
    <row r="1251" spans="1:14" ht="22.05" customHeight="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</row>
    <row r="1252" spans="1:14" ht="22.05" customHeight="1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</row>
    <row r="1253" spans="1:14" ht="22.05" customHeight="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</row>
    <row r="1254" spans="1:14" ht="22.05" customHeight="1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</row>
    <row r="1255" spans="1:14" ht="22.05" customHeight="1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</row>
    <row r="1256" spans="1:14" ht="22.05" customHeight="1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</row>
    <row r="1257" spans="1:14" ht="22.05" customHeight="1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</row>
    <row r="1258" spans="1:14" ht="22.05" customHeight="1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</row>
    <row r="1259" spans="1:14" ht="22.05" customHeight="1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</row>
    <row r="1260" spans="1:14" ht="22.05" customHeight="1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</row>
    <row r="1261" spans="1:14" ht="22.05" customHeight="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</row>
    <row r="1262" spans="1:14" ht="22.05" customHeight="1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</row>
    <row r="1263" spans="1:14" ht="22.05" customHeight="1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</row>
    <row r="1264" spans="1:14" ht="22.05" customHeight="1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</row>
    <row r="1265" spans="1:14" ht="22.05" customHeight="1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</row>
    <row r="1266" spans="1:14" ht="22.05" customHeight="1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</row>
    <row r="1267" spans="1:14" ht="22.05" customHeight="1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</row>
    <row r="1268" spans="1:14" ht="22.05" customHeight="1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</row>
    <row r="1269" spans="1:14" ht="22.05" customHeight="1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</row>
    <row r="1270" spans="1:14" ht="22.05" customHeight="1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</row>
    <row r="1271" spans="1:14" ht="22.05" customHeight="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</row>
    <row r="1272" spans="1:14" ht="22.05" customHeight="1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</row>
    <row r="1273" spans="1:14" ht="22.05" customHeight="1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</row>
    <row r="1274" spans="1:14" ht="22.05" customHeight="1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</row>
    <row r="1275" spans="1:14" ht="22.05" customHeight="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</row>
    <row r="1276" spans="1:14" ht="22.05" customHeight="1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</row>
    <row r="1277" spans="1:14" ht="22.05" customHeight="1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</row>
    <row r="1278" spans="1:14" ht="22.05" customHeight="1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</row>
    <row r="1279" spans="1:14" ht="22.05" customHeight="1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</row>
    <row r="1280" spans="1:14" ht="22.05" customHeight="1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</row>
    <row r="1281" spans="1:14" ht="22.05" customHeight="1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</row>
    <row r="1282" spans="1:14" ht="22.05" customHeight="1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</row>
    <row r="1283" spans="1:14" ht="22.05" customHeight="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</row>
    <row r="1284" spans="1:14" ht="22.05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</row>
    <row r="1285" spans="1:14" ht="22.05" customHeight="1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</row>
    <row r="1286" spans="1:14" ht="22.05" customHeight="1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</row>
    <row r="1287" spans="1:14" ht="22.05" customHeight="1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</row>
    <row r="1288" spans="1:14" ht="22.05" customHeight="1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</row>
    <row r="1289" spans="1:14" ht="22.05" customHeight="1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</row>
    <row r="1290" spans="1:14" ht="22.05" customHeight="1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</row>
    <row r="1291" spans="1:14" ht="22.05" customHeight="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</row>
    <row r="1292" spans="1:14" ht="22.05" customHeight="1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</row>
    <row r="1293" spans="1:14" ht="22.05" customHeight="1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</row>
    <row r="1294" spans="1:14" ht="22.05" customHeight="1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</row>
    <row r="1295" spans="1:14" ht="22.05" customHeight="1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</row>
    <row r="1296" spans="1:14" ht="22.05" customHeight="1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</row>
    <row r="1297" spans="1:14" ht="22.05" customHeight="1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</row>
    <row r="1298" spans="1:14" ht="22.05" customHeight="1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</row>
    <row r="1299" spans="1:14" ht="22.05" customHeight="1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</row>
    <row r="1300" spans="1:14" ht="22.05" customHeight="1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</row>
    <row r="1301" spans="1:14" ht="22.05" customHeight="1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</row>
    <row r="1302" spans="1:14" ht="22.05" customHeight="1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</row>
    <row r="1303" spans="1:14" ht="22.05" customHeight="1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</row>
    <row r="1304" spans="1:14" ht="22.05" customHeight="1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</row>
    <row r="1305" spans="1:14" ht="22.05" customHeight="1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</row>
    <row r="1306" spans="1:14" ht="22.05" customHeight="1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</row>
    <row r="1307" spans="1:14" ht="22.05" customHeight="1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</row>
    <row r="1308" spans="1:14" ht="22.05" customHeight="1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</row>
    <row r="1309" spans="1:14" ht="22.05" customHeight="1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</row>
    <row r="1310" spans="1:14" ht="22.05" customHeight="1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</row>
    <row r="1311" spans="1:14" ht="22.05" customHeight="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</row>
    <row r="1312" spans="1:14" ht="22.05" customHeight="1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</row>
    <row r="1313" spans="1:14" ht="22.05" customHeight="1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</row>
    <row r="1314" spans="1:14" ht="22.05" customHeight="1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</row>
    <row r="1315" spans="1:14" ht="22.05" customHeight="1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</row>
    <row r="1316" spans="1:14" ht="22.05" customHeight="1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</row>
    <row r="1317" spans="1:14" ht="22.05" customHeight="1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</row>
    <row r="1318" spans="1:14" ht="22.05" customHeight="1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</row>
    <row r="1319" spans="1:14" ht="22.05" customHeight="1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</row>
    <row r="1320" spans="1:14" ht="22.05" customHeight="1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</row>
    <row r="1321" spans="1:14" ht="22.05" customHeight="1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</row>
    <row r="1322" spans="1:14" ht="22.05" customHeight="1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</row>
    <row r="1323" spans="1:14" ht="22.05" customHeight="1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</row>
    <row r="1324" spans="1:14" ht="22.05" customHeight="1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</row>
    <row r="1325" spans="1:14" ht="22.05" customHeight="1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</row>
    <row r="1326" spans="1:14" ht="22.05" customHeight="1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</row>
    <row r="1327" spans="1:14" ht="22.05" customHeight="1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</row>
    <row r="1328" spans="1:14" ht="22.05" customHeight="1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</row>
    <row r="1329" spans="1:14" ht="22.05" customHeight="1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</row>
    <row r="1330" spans="1:14" ht="22.05" customHeight="1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</row>
    <row r="1331" spans="1:14" ht="22.05" customHeight="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</row>
    <row r="1332" spans="1:14" ht="22.05" customHeight="1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</row>
    <row r="1333" spans="1:14" ht="22.05" customHeight="1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</row>
    <row r="1334" spans="1:14" ht="22.05" customHeight="1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</row>
    <row r="1335" spans="1:14" ht="22.05" customHeight="1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</row>
    <row r="1336" spans="1:14" ht="22.05" customHeight="1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</row>
    <row r="1337" spans="1:14" ht="22.05" customHeight="1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</row>
    <row r="1338" spans="1:14" ht="22.05" customHeight="1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</row>
    <row r="1339" spans="1:14" ht="22.05" customHeight="1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</row>
    <row r="1340" spans="1:14" ht="22.05" customHeight="1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</row>
    <row r="1341" spans="1:14" ht="22.05" customHeight="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</row>
    <row r="1342" spans="1:14" ht="22.05" customHeight="1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</row>
    <row r="1343" spans="1:14" ht="22.05" customHeight="1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</row>
    <row r="1344" spans="1:14" ht="22.05" customHeight="1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</row>
    <row r="1345" spans="1:14" ht="22.05" customHeight="1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</row>
    <row r="1346" spans="1:14" ht="22.05" customHeight="1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</row>
    <row r="1347" spans="1:14" ht="22.05" customHeight="1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</row>
    <row r="1348" spans="1:14" ht="22.05" customHeight="1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</row>
    <row r="1349" spans="1:14" ht="22.05" customHeight="1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</row>
    <row r="1350" spans="1:14" ht="22.05" customHeight="1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</row>
    <row r="1351" spans="1:14" ht="22.05" customHeight="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</row>
    <row r="1352" spans="1:14" ht="22.05" customHeight="1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</row>
    <row r="1353" spans="1:14" ht="22.05" customHeight="1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</row>
    <row r="1354" spans="1:14" ht="22.05" customHeight="1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</row>
    <row r="1355" spans="1:14" ht="22.05" customHeight="1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</row>
    <row r="1356" spans="1:14" ht="22.05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</row>
    <row r="1357" spans="1:14" ht="22.05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</row>
    <row r="1358" spans="1:14" ht="22.05" customHeight="1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</row>
    <row r="1359" spans="1:14" ht="22.05" customHeight="1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</row>
    <row r="1360" spans="1:14" ht="22.05" customHeight="1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</row>
    <row r="1361" spans="1:14" ht="22.05" customHeight="1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</row>
    <row r="1362" spans="1:14" ht="22.05" customHeight="1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</row>
    <row r="1363" spans="1:14" ht="22.05" customHeight="1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</row>
    <row r="1364" spans="1:14" ht="22.05" customHeight="1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</row>
    <row r="1365" spans="1:14" ht="22.05" customHeight="1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</row>
    <row r="1366" spans="1:14" ht="22.05" customHeight="1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</row>
    <row r="1367" spans="1:14" ht="22.05" customHeight="1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</row>
    <row r="1368" spans="1:14" ht="22.05" customHeight="1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</row>
    <row r="1369" spans="1:14" ht="22.05" customHeight="1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</row>
    <row r="1370" spans="1:14" ht="22.05" customHeight="1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</row>
    <row r="1371" spans="1:14" ht="22.05" customHeight="1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</row>
    <row r="1372" spans="1:14" ht="22.05" customHeight="1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</row>
    <row r="1373" spans="1:14" ht="22.05" customHeight="1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</row>
    <row r="1374" spans="1:14" ht="22.05" customHeight="1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</row>
    <row r="1375" spans="1:14" ht="22.05" customHeight="1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</row>
    <row r="1376" spans="1:14" ht="22.05" customHeight="1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</row>
    <row r="1377" spans="1:14" ht="22.05" customHeight="1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</row>
    <row r="1378" spans="1:14" ht="22.05" customHeight="1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</row>
    <row r="1379" spans="1:14" ht="22.05" customHeight="1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</row>
    <row r="1380" spans="1:14" ht="22.05" customHeight="1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</row>
    <row r="1381" spans="1:14" ht="22.05" customHeight="1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</row>
    <row r="1382" spans="1:14" ht="22.05" customHeight="1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</row>
    <row r="1383" spans="1:14" ht="22.05" customHeight="1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</row>
    <row r="1384" spans="1:14" ht="22.05" customHeight="1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</row>
    <row r="1385" spans="1:14" ht="22.05" customHeight="1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</row>
    <row r="1386" spans="1:14" ht="22.05" customHeight="1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</row>
    <row r="1387" spans="1:14" ht="22.05" customHeight="1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</row>
    <row r="1388" spans="1:14" ht="22.05" customHeight="1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</row>
    <row r="1389" spans="1:14" ht="22.05" customHeight="1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</row>
    <row r="1390" spans="1:14" ht="22.05" customHeight="1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</row>
    <row r="1391" spans="1:14" ht="22.05" customHeight="1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</row>
    <row r="1392" spans="1:14" ht="22.05" customHeight="1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</row>
    <row r="1393" spans="1:14" ht="22.05" customHeight="1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</row>
    <row r="1394" spans="1:14" ht="22.05" customHeight="1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</row>
    <row r="1395" spans="1:14" ht="22.05" customHeight="1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</row>
    <row r="1396" spans="1:14" ht="22.05" customHeight="1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</row>
    <row r="1397" spans="1:14" ht="22.05" customHeight="1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</row>
    <row r="1398" spans="1:14" ht="22.05" customHeight="1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</row>
    <row r="1399" spans="1:14" ht="22.05" customHeight="1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</row>
    <row r="1400" spans="1:14" ht="22.05" customHeight="1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</row>
    <row r="1401" spans="1:14" ht="22.05" customHeight="1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</row>
    <row r="1402" spans="1:14" ht="22.05" customHeight="1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</row>
    <row r="1403" spans="1:14" ht="22.05" customHeight="1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</row>
    <row r="1404" spans="1:14" ht="22.05" customHeight="1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</row>
    <row r="1405" spans="1:14" ht="22.05" customHeight="1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</row>
    <row r="1406" spans="1:14" ht="22.05" customHeight="1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</row>
    <row r="1407" spans="1:14" ht="22.05" customHeight="1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</row>
    <row r="1408" spans="1:14" ht="22.05" customHeight="1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</row>
    <row r="1409" spans="1:14" ht="22.05" customHeight="1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</row>
    <row r="1410" spans="1:14" ht="22.05" customHeight="1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</row>
    <row r="1411" spans="1:14" ht="22.05" customHeight="1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</row>
    <row r="1412" spans="1:14" ht="22.05" customHeight="1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</row>
    <row r="1413" spans="1:14" ht="22.05" customHeight="1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</row>
    <row r="1414" spans="1:14" ht="22.05" customHeight="1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</row>
    <row r="1415" spans="1:14" ht="22.05" customHeight="1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</row>
    <row r="1416" spans="1:14" ht="22.05" customHeight="1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</row>
    <row r="1417" spans="1:14" ht="22.05" customHeight="1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</row>
    <row r="1418" spans="1:14" ht="22.05" customHeight="1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</row>
    <row r="1419" spans="1:14" ht="22.05" customHeight="1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</row>
    <row r="1420" spans="1:14" ht="22.05" customHeight="1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</row>
    <row r="1421" spans="1:14" ht="22.05" customHeight="1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</row>
    <row r="1422" spans="1:14" ht="22.05" customHeight="1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</row>
    <row r="1423" spans="1:14" ht="22.05" customHeight="1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</row>
    <row r="1424" spans="1:14" ht="22.05" customHeight="1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</row>
    <row r="1425" spans="1:14" ht="22.05" customHeight="1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</row>
    <row r="1426" spans="1:14" ht="22.05" customHeight="1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</row>
    <row r="1427" spans="1:14" ht="22.05" customHeight="1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</row>
    <row r="1428" spans="1:14" ht="22.05" customHeight="1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</row>
    <row r="1429" spans="1:14" ht="22.05" customHeight="1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</row>
    <row r="1430" spans="1:14" ht="22.05" customHeight="1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</row>
    <row r="1431" spans="1:14" ht="22.05" customHeight="1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</row>
    <row r="1432" spans="1:14" ht="22.05" customHeight="1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</row>
    <row r="1433" spans="1:14" ht="22.05" customHeight="1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</row>
    <row r="1434" spans="1:14" ht="22.05" customHeight="1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</row>
    <row r="1435" spans="1:14" ht="22.05" customHeight="1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</row>
    <row r="1436" spans="1:14" ht="22.05" customHeight="1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</row>
    <row r="1437" spans="1:14" ht="22.05" customHeight="1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</row>
    <row r="1438" spans="1:14" ht="22.05" customHeight="1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</row>
    <row r="1439" spans="1:14" ht="22.05" customHeight="1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</row>
    <row r="1440" spans="1:14" ht="22.05" customHeight="1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</row>
    <row r="1441" spans="1:14" ht="22.05" customHeight="1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</row>
    <row r="1442" spans="1:14" ht="22.05" customHeight="1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</row>
    <row r="1443" spans="1:14" ht="22.05" customHeight="1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</row>
    <row r="1444" spans="1:14" ht="22.05" customHeight="1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</row>
    <row r="1445" spans="1:14" ht="22.05" customHeight="1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</row>
    <row r="1446" spans="1:14" ht="22.05" customHeight="1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</row>
    <row r="1447" spans="1:14" ht="22.05" customHeight="1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</row>
    <row r="1448" spans="1:14" ht="22.05" customHeight="1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</row>
    <row r="1449" spans="1:14" ht="22.05" customHeight="1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</row>
    <row r="1450" spans="1:14" ht="22.05" customHeight="1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</row>
    <row r="1451" spans="1:14" ht="22.05" customHeight="1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</row>
    <row r="1452" spans="1:14" ht="22.05" customHeight="1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</row>
    <row r="1453" spans="1:14" ht="22.05" customHeight="1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</row>
    <row r="1454" spans="1:14" ht="22.05" customHeight="1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</row>
    <row r="1455" spans="1:14" ht="22.05" customHeight="1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</row>
    <row r="1456" spans="1:14" ht="22.05" customHeight="1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</row>
    <row r="1457" spans="1:14" ht="22.05" customHeight="1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</row>
    <row r="1458" spans="1:14" ht="22.05" customHeight="1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</row>
    <row r="1459" spans="1:14" ht="22.05" customHeight="1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</row>
    <row r="1460" spans="1:14" ht="22.05" customHeight="1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</row>
    <row r="1461" spans="1:14" ht="22.0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</row>
    <row r="1462" spans="1:14" ht="22.05" customHeight="1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</row>
    <row r="1463" spans="1:14" ht="22.0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</row>
    <row r="1464" spans="1:14" ht="22.05" customHeight="1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</row>
    <row r="1465" spans="1:14" ht="22.05" customHeight="1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</row>
    <row r="1466" spans="1:14" ht="22.05" customHeight="1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</row>
    <row r="1467" spans="1:14" ht="22.05" customHeight="1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</row>
    <row r="1468" spans="1:14" ht="22.05" customHeight="1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</row>
    <row r="1469" spans="1:14" ht="22.05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</row>
    <row r="1470" spans="1:14" ht="22.05" customHeight="1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</row>
    <row r="1471" spans="1:14" ht="22.05" customHeight="1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</row>
    <row r="1472" spans="1:14" ht="22.05" customHeight="1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</row>
    <row r="1473" spans="1:14" ht="22.05" customHeight="1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</row>
    <row r="1474" spans="1:14" ht="22.05" customHeight="1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</row>
    <row r="1475" spans="1:14" ht="22.05" customHeight="1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</row>
    <row r="1476" spans="1:14" ht="22.05" customHeight="1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</row>
    <row r="1477" spans="1:14" ht="22.05" customHeight="1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</row>
    <row r="1478" spans="1:14" ht="22.05" customHeight="1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</row>
    <row r="1479" spans="1:14" ht="22.05" customHeight="1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</row>
    <row r="1480" spans="1:14" ht="22.05" customHeight="1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</row>
    <row r="1481" spans="1:14" ht="22.05" customHeight="1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</row>
    <row r="1482" spans="1:14" ht="22.05" customHeight="1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</row>
    <row r="1483" spans="1:14" ht="22.05" customHeight="1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</row>
    <row r="1484" spans="1:14" ht="22.05" customHeight="1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</row>
    <row r="1485" spans="1:14" ht="22.05" customHeight="1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</row>
    <row r="1486" spans="1:14" ht="22.05" customHeight="1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</row>
    <row r="1487" spans="1:14" ht="22.05" customHeight="1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</row>
    <row r="1488" spans="1:14" ht="22.05" customHeight="1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</row>
    <row r="1489" spans="1:14" ht="22.05" customHeight="1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</row>
    <row r="1490" spans="1:14" ht="22.05" customHeight="1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</row>
    <row r="1491" spans="1:14" ht="22.05" customHeight="1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</row>
    <row r="1492" spans="1:14" ht="22.05" customHeight="1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</row>
    <row r="1493" spans="1:14" ht="22.05" customHeight="1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</row>
    <row r="1494" spans="1:14" ht="22.05" customHeight="1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</row>
    <row r="1495" spans="1:14" ht="22.05" customHeight="1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</row>
    <row r="1496" spans="1:14" ht="22.05" customHeight="1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</row>
    <row r="1497" spans="1:14" ht="22.05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</row>
    <row r="1498" spans="1:14" ht="22.05" customHeight="1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</row>
    <row r="1499" spans="1:14" ht="22.05" customHeight="1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</row>
    <row r="1500" spans="1:14" ht="22.05" customHeight="1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</row>
    <row r="1501" spans="1:14" ht="22.05" customHeight="1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</row>
    <row r="1502" spans="1:14" ht="22.0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</row>
    <row r="1503" spans="1:14" ht="22.05" customHeight="1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</row>
    <row r="1504" spans="1:14" ht="22.05" customHeight="1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</row>
    <row r="1505" spans="1:14" ht="22.0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</row>
    <row r="1506" spans="1:14" ht="22.05" customHeight="1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</row>
    <row r="1507" spans="1:14" ht="22.05" customHeight="1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</row>
    <row r="1508" spans="1:14" ht="22.05" customHeight="1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</row>
    <row r="1509" spans="1:14" ht="22.05" customHeight="1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</row>
    <row r="1510" spans="1:14" ht="22.05" customHeight="1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</row>
    <row r="1511" spans="1:14" ht="22.05" customHeight="1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</row>
    <row r="1512" spans="1:14" ht="22.05" customHeight="1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</row>
    <row r="1513" spans="1:14" ht="22.05" customHeight="1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</row>
    <row r="1514" spans="1:14" ht="22.05" customHeight="1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</row>
    <row r="1515" spans="1:14" ht="22.05" customHeight="1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</row>
    <row r="1516" spans="1:14" ht="22.05" customHeight="1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</row>
    <row r="1517" spans="1:14" ht="22.05" customHeight="1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</row>
    <row r="1518" spans="1:14" ht="22.05" customHeight="1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</row>
    <row r="1519" spans="1:14" ht="22.05" customHeight="1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</row>
    <row r="1520" spans="1:14" ht="22.05" customHeight="1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</row>
    <row r="1521" spans="1:14" ht="22.05" customHeight="1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</row>
    <row r="1522" spans="1:14" ht="22.05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</row>
    <row r="1523" spans="1:14" ht="22.05" customHeight="1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</row>
    <row r="1524" spans="1:14" ht="22.05" customHeight="1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</row>
    <row r="1525" spans="1:14" ht="22.05" customHeight="1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</row>
    <row r="1526" spans="1:14" ht="22.05" customHeight="1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</row>
    <row r="1527" spans="1:14" ht="22.05" customHeight="1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</row>
    <row r="1528" spans="1:14" ht="22.05" customHeight="1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</row>
    <row r="1529" spans="1:14" ht="22.05" customHeight="1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</row>
    <row r="1530" spans="1:14" ht="22.05" customHeight="1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</row>
    <row r="1531" spans="1:14" ht="22.05" customHeight="1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</row>
    <row r="1532" spans="1:14" ht="22.05" customHeight="1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</row>
    <row r="1533" spans="1:14" ht="22.05" customHeight="1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</row>
    <row r="1534" spans="1:14" ht="22.05" customHeight="1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</row>
    <row r="1535" spans="1:14" ht="22.05" customHeight="1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</row>
    <row r="1536" spans="1:14" ht="22.05" customHeight="1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</row>
    <row r="1537" spans="1:14" ht="22.05" customHeight="1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</row>
    <row r="1538" spans="1:14" ht="22.05" customHeight="1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</row>
    <row r="1539" spans="1:14" ht="22.05" customHeight="1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</row>
    <row r="1540" spans="1:14" ht="22.05" customHeight="1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</row>
    <row r="1541" spans="1:14" ht="22.05" customHeight="1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</row>
    <row r="1542" spans="1:14" ht="22.05" customHeight="1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</row>
    <row r="1543" spans="1:14" ht="22.05" customHeight="1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</row>
    <row r="1544" spans="1:14" ht="22.05" customHeight="1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</row>
    <row r="1545" spans="1:14" ht="22.05" customHeight="1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</row>
    <row r="1546" spans="1:14" ht="22.05" customHeight="1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</row>
    <row r="1547" spans="1:14" ht="22.05" customHeight="1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</row>
    <row r="1548" spans="1:14" ht="22.05" customHeight="1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</row>
    <row r="1549" spans="1:14" ht="22.05" customHeight="1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</row>
    <row r="1550" spans="1:14" ht="22.05" customHeight="1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</row>
    <row r="1551" spans="1:14" ht="22.05" customHeight="1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</row>
    <row r="1552" spans="1:14" ht="22.05" customHeight="1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</row>
    <row r="1553" spans="1:14" ht="22.05" customHeight="1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</row>
    <row r="1554" spans="1:14" ht="22.05" customHeight="1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</row>
    <row r="1555" spans="1:14" ht="22.05" customHeight="1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</row>
    <row r="1556" spans="1:14" ht="22.05" customHeight="1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</row>
    <row r="1557" spans="1:14" ht="22.05" customHeight="1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</row>
    <row r="1558" spans="1:14" ht="22.05" customHeight="1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</row>
    <row r="1559" spans="1:14" ht="22.05" customHeight="1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</row>
    <row r="1560" spans="1:14" ht="22.05" customHeight="1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</row>
    <row r="1561" spans="1:14" ht="22.05" customHeight="1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</row>
    <row r="1562" spans="1:14" ht="22.05" customHeight="1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</row>
    <row r="1563" spans="1:14" ht="22.05" customHeight="1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</row>
    <row r="1564" spans="1:14" ht="22.05" customHeight="1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</row>
    <row r="1565" spans="1:14" ht="22.05" customHeight="1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</row>
    <row r="1566" spans="1:14" ht="22.05" customHeight="1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</row>
    <row r="1567" spans="1:14" ht="22.05" customHeight="1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</row>
    <row r="1568" spans="1:14" ht="22.05" customHeight="1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</row>
    <row r="1569" spans="1:14" ht="22.05" customHeight="1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</row>
    <row r="1570" spans="1:14" ht="22.05" customHeight="1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</row>
    <row r="1571" spans="1:14" ht="22.05" customHeight="1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</row>
    <row r="1572" spans="1:14" ht="22.05" customHeight="1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</row>
    <row r="1573" spans="1:14" ht="22.05" customHeight="1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</row>
    <row r="1574" spans="1:14" ht="22.05" customHeight="1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</row>
    <row r="1575" spans="1:14" ht="22.05" customHeight="1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</row>
    <row r="1576" spans="1:14" ht="22.05" customHeight="1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</row>
    <row r="1577" spans="1:14" ht="22.05" customHeight="1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</row>
    <row r="1578" spans="1:14" ht="22.05" customHeight="1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</row>
    <row r="1579" spans="1:14" ht="22.05" customHeight="1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</row>
    <row r="1580" spans="1:14" ht="22.05" customHeight="1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</row>
    <row r="1581" spans="1:14" ht="22.05" customHeight="1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</row>
    <row r="1582" spans="1:14" ht="22.05" customHeight="1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</row>
    <row r="1583" spans="1:14" ht="22.05" customHeight="1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</row>
    <row r="1584" spans="1:14" ht="22.05" customHeight="1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</row>
    <row r="1585" spans="1:14" ht="22.05" customHeight="1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</row>
    <row r="1586" spans="1:14" ht="22.05" customHeight="1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</row>
    <row r="1587" spans="1:14" ht="22.05" customHeight="1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</row>
    <row r="1588" spans="1:14" ht="22.05" customHeight="1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</row>
    <row r="1589" spans="1:14" ht="22.05" customHeight="1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</row>
    <row r="1590" spans="1:14" ht="22.05" customHeight="1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</row>
    <row r="1591" spans="1:14" ht="22.05" customHeight="1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</row>
    <row r="1592" spans="1:14" ht="22.05" customHeight="1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</row>
    <row r="1593" spans="1:14" ht="22.05" customHeight="1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</row>
    <row r="1594" spans="1:14" ht="22.05" customHeight="1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</row>
    <row r="1595" spans="1:14" ht="22.05" customHeight="1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</row>
    <row r="1596" spans="1:14" ht="22.05" customHeight="1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</row>
    <row r="1597" spans="1:14" ht="22.05" customHeight="1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</row>
    <row r="1598" spans="1:14" ht="22.05" customHeight="1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</row>
    <row r="1599" spans="1:14" ht="22.05" customHeight="1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</row>
    <row r="1600" spans="1:14" ht="22.05" customHeight="1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</row>
    <row r="1601" spans="1:14" ht="22.05" customHeight="1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</row>
    <row r="1602" spans="1:14" ht="22.05" customHeight="1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</row>
    <row r="1603" spans="1:14" ht="22.05" customHeight="1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</row>
    <row r="1604" spans="1:14" ht="22.05" customHeight="1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</row>
    <row r="1605" spans="1:14" ht="22.05" customHeight="1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</row>
    <row r="1606" spans="1:14" ht="22.05" customHeight="1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</row>
    <row r="1607" spans="1:14" ht="22.05" customHeight="1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</row>
    <row r="1608" spans="1:14" ht="22.05" customHeight="1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</row>
    <row r="1609" spans="1:14" ht="22.05" customHeight="1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</row>
    <row r="1610" spans="1:14" ht="22.05" customHeight="1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</row>
    <row r="1611" spans="1:14" ht="22.05" customHeight="1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</row>
    <row r="1612" spans="1:14" ht="22.05" customHeight="1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</row>
    <row r="1613" spans="1:14" ht="22.05" customHeight="1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</row>
    <row r="1614" spans="1:14" ht="22.05" customHeight="1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</row>
    <row r="1615" spans="1:14" ht="22.05" customHeight="1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</row>
    <row r="1616" spans="1:14" ht="22.05" customHeight="1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</row>
    <row r="1617" spans="1:14" ht="22.05" customHeight="1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</row>
    <row r="1618" spans="1:14" ht="22.05" customHeight="1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</row>
    <row r="1619" spans="1:14" ht="22.05" customHeight="1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</row>
    <row r="1620" spans="1:14" ht="22.05" customHeight="1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</row>
    <row r="1621" spans="1:14" ht="22.05" customHeight="1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</row>
    <row r="1622" spans="1:14" ht="22.05" customHeight="1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</row>
    <row r="1623" spans="1:14" ht="22.05" customHeight="1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</row>
    <row r="1624" spans="1:14" ht="22.05" customHeight="1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</row>
    <row r="1625" spans="1:14" ht="22.05" customHeight="1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</row>
    <row r="1626" spans="1:14" ht="22.05" customHeight="1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</row>
    <row r="1627" spans="1:14" ht="22.05" customHeight="1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</row>
    <row r="1628" spans="1:14" ht="22.05" customHeight="1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</row>
    <row r="1629" spans="1:14" ht="22.05" customHeight="1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</row>
    <row r="1630" spans="1:14" ht="22.05" customHeight="1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</row>
    <row r="1631" spans="1:14" ht="22.05" customHeight="1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</row>
    <row r="1632" spans="1:14" ht="22.05" customHeight="1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</row>
    <row r="1633" spans="1:14" ht="22.05" customHeight="1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</row>
    <row r="1634" spans="1:14" ht="22.05" customHeight="1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</row>
    <row r="1635" spans="1:14" ht="22.05" customHeight="1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</row>
    <row r="1636" spans="1:14" ht="22.05" customHeight="1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</row>
    <row r="1637" spans="1:14" ht="22.05" customHeight="1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</row>
    <row r="1638" spans="1:14" ht="22.05" customHeight="1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</row>
    <row r="1639" spans="1:14" ht="22.05" customHeight="1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</row>
    <row r="1640" spans="1:14" ht="22.05" customHeight="1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</row>
    <row r="1641" spans="1:14" ht="22.05" customHeight="1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</row>
    <row r="1642" spans="1:14" ht="22.05" customHeight="1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</row>
    <row r="1643" spans="1:14" ht="22.05" customHeight="1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</row>
    <row r="1644" spans="1:14" ht="22.05" customHeight="1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</row>
    <row r="1645" spans="1:14" ht="22.05" customHeight="1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</row>
    <row r="1646" spans="1:14" ht="22.05" customHeight="1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</row>
    <row r="1647" spans="1:14" ht="22.05" customHeight="1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</row>
    <row r="1648" spans="1:14" ht="22.05" customHeight="1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</row>
    <row r="1649" spans="1:14" ht="22.05" customHeight="1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</row>
    <row r="1650" spans="1:14" ht="22.05" customHeight="1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</row>
    <row r="1651" spans="1:14" ht="22.05" customHeight="1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</row>
    <row r="1652" spans="1:14" ht="22.05" customHeight="1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</row>
    <row r="1653" spans="1:14" ht="22.05" customHeight="1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</row>
    <row r="1654" spans="1:14" ht="22.05" customHeight="1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</row>
    <row r="1655" spans="1:14" ht="22.05" customHeight="1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</row>
    <row r="1656" spans="1:14" ht="22.05" customHeight="1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</row>
    <row r="1657" spans="1:14" ht="22.05" customHeight="1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</row>
    <row r="1658" spans="1:14" ht="22.05" customHeight="1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</row>
    <row r="1659" spans="1:14" ht="22.05" customHeight="1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</row>
    <row r="1660" spans="1:14" ht="22.05" customHeight="1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</row>
    <row r="1661" spans="1:14" ht="22.05" customHeight="1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</row>
    <row r="1662" spans="1:14" ht="22.05" customHeight="1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</row>
    <row r="1663" spans="1:14" ht="22.05" customHeight="1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</row>
    <row r="1664" spans="1:14" ht="22.05" customHeight="1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</row>
    <row r="1665" spans="1:14" ht="22.05" customHeight="1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</row>
    <row r="1666" spans="1:14" ht="22.05" customHeight="1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</row>
    <row r="1667" spans="1:14" ht="22.05" customHeight="1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</row>
    <row r="1668" spans="1:14" ht="22.05" customHeight="1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</row>
    <row r="1669" spans="1:14" ht="22.05" customHeight="1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</row>
    <row r="1670" spans="1:14" ht="22.05" customHeight="1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</row>
    <row r="1671" spans="1:14" ht="22.05" customHeight="1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</row>
    <row r="1672" spans="1:14" ht="22.05" customHeight="1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</row>
    <row r="1673" spans="1:14" ht="22.05" customHeight="1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</row>
    <row r="1674" spans="1:14" ht="22.05" customHeight="1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</row>
    <row r="1675" spans="1:14" ht="22.05" customHeight="1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</row>
    <row r="1676" spans="1:14" ht="22.05" customHeight="1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</row>
    <row r="1677" spans="1:14" ht="22.05" customHeight="1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</row>
    <row r="1678" spans="1:14" ht="22.05" customHeight="1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</row>
    <row r="1679" spans="1:14" ht="22.05" customHeight="1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</row>
    <row r="1680" spans="1:14" ht="22.05" customHeight="1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</row>
    <row r="1681" spans="1:14" ht="22.05" customHeight="1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</row>
    <row r="1682" spans="1:14" ht="22.05" customHeight="1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</row>
    <row r="1683" spans="1:14" ht="22.05" customHeight="1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</row>
    <row r="1684" spans="1:14" ht="22.05" customHeight="1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</row>
    <row r="1685" spans="1:14" ht="22.05" customHeight="1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</row>
    <row r="1686" spans="1:14" ht="22.05" customHeight="1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</row>
    <row r="1687" spans="1:14" ht="22.05" customHeight="1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</row>
    <row r="1688" spans="1:14" ht="22.05" customHeight="1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</row>
    <row r="1689" spans="1:14" ht="22.05" customHeight="1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</row>
    <row r="1690" spans="1:14" ht="22.05" customHeight="1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</row>
    <row r="1691" spans="1:14" ht="22.05" customHeight="1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</row>
    <row r="1692" spans="1:14" ht="22.05" customHeight="1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</row>
    <row r="1693" spans="1:14" ht="22.05" customHeight="1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</row>
    <row r="1694" spans="1:14" ht="22.05" customHeight="1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</row>
    <row r="1695" spans="1:14" ht="22.05" customHeight="1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</row>
    <row r="1696" spans="1:14" ht="22.05" customHeight="1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</row>
    <row r="1697" spans="1:14" ht="22.05" customHeight="1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</row>
    <row r="1698" spans="1:14" ht="22.05" customHeight="1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</row>
    <row r="1699" spans="1:14" ht="22.05" customHeight="1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</row>
    <row r="1700" spans="1:14" ht="22.05" customHeight="1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</row>
    <row r="1701" spans="1:14" ht="22.05" customHeight="1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</row>
    <row r="1702" spans="1:14" ht="22.05" customHeight="1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</row>
    <row r="1703" spans="1:14" ht="22.05" customHeight="1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</row>
    <row r="1704" spans="1:14" ht="22.05" customHeight="1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</row>
    <row r="1705" spans="1:14" ht="22.05" customHeight="1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</row>
    <row r="1706" spans="1:14" ht="22.05" customHeight="1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</row>
    <row r="1707" spans="1:14" ht="22.05" customHeight="1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</row>
    <row r="1708" spans="1:14" ht="22.05" customHeight="1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</row>
    <row r="1709" spans="1:14" ht="22.05" customHeight="1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</row>
    <row r="1710" spans="1:14" ht="22.05" customHeight="1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</row>
    <row r="1711" spans="1:14" ht="22.05" customHeight="1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</row>
    <row r="1712" spans="1:14" ht="22.05" customHeight="1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</row>
    <row r="1713" spans="1:14" ht="22.05" customHeight="1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</row>
    <row r="1714" spans="1:14" ht="22.05" customHeight="1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</row>
    <row r="1715" spans="1:14" ht="22.05" customHeight="1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</row>
    <row r="1716" spans="1:14" ht="22.05" customHeight="1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</row>
    <row r="1717" spans="1:14" ht="22.05" customHeight="1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</row>
    <row r="1718" spans="1:14" ht="22.0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</row>
    <row r="1719" spans="1:14" ht="22.05" customHeight="1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</row>
    <row r="1720" spans="1:14" ht="22.0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</row>
    <row r="1721" spans="1:14" ht="22.05" customHeight="1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</row>
    <row r="1722" spans="1:14" ht="22.05" customHeight="1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</row>
    <row r="1723" spans="1:14" ht="22.05" customHeight="1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</row>
    <row r="1724" spans="1:14" ht="22.05" customHeight="1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</row>
    <row r="1725" spans="1:14" ht="22.05" customHeight="1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</row>
    <row r="1726" spans="1:14" ht="22.05" customHeight="1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</row>
    <row r="1727" spans="1:14" ht="22.05" customHeight="1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</row>
    <row r="1728" spans="1:14" ht="22.05" customHeight="1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</row>
    <row r="1729" spans="1:14" ht="22.05" customHeight="1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</row>
    <row r="1730" spans="1:14" ht="22.05" customHeight="1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</row>
    <row r="1731" spans="1:14" ht="22.05" customHeight="1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</row>
    <row r="1732" spans="1:14" ht="22.05" customHeight="1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</row>
    <row r="1733" spans="1:14" ht="22.05" customHeight="1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</row>
    <row r="1734" spans="1:14" ht="22.05" customHeight="1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</row>
    <row r="1735" spans="1:14" ht="22.05" customHeight="1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</row>
    <row r="1736" spans="1:14" ht="22.05" customHeight="1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</row>
    <row r="1737" spans="1:14" ht="22.05" customHeight="1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</row>
    <row r="1738" spans="1:14" ht="22.05" customHeight="1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</row>
    <row r="1739" spans="1:14" ht="22.05" customHeight="1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</row>
    <row r="1740" spans="1:14" ht="22.05" customHeight="1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</row>
  </sheetData>
  <mergeCells count="3">
    <mergeCell ref="A1:N2"/>
    <mergeCell ref="A3:N3"/>
    <mergeCell ref="A4:N4"/>
  </mergeCells>
  <conditionalFormatting sqref="M6:M1740">
    <cfRule type="expression" dxfId="12" priority="1">
      <formula>$M6="SAUVÉ"</formula>
    </cfRule>
    <cfRule type="expression" dxfId="11" priority="2">
      <formula>$M6="CHARGÉ"</formula>
    </cfRule>
    <cfRule type="expression" dxfId="10" priority="3">
      <formula>$M6="NON CHARGÉ"</formula>
    </cfRule>
    <cfRule type="expression" dxfId="9" priority="4">
      <formula>$M6="ANNULÉ"</formula>
    </cfRule>
    <cfRule type="expression" dxfId="8" priority="5">
      <formula>M6="SAUVÉ"</formula>
    </cfRule>
    <cfRule type="expression" dxfId="7" priority="6">
      <formula>M6="CHARGÉ"</formula>
    </cfRule>
    <cfRule type="expression" dxfId="6" priority="7">
      <formula>M6="NON CHARGÉ"</formula>
    </cfRule>
    <cfRule type="expression" dxfId="5" priority="8">
      <formula>M6="ANNULÉ"</formula>
    </cfRule>
  </conditionalFormatting>
  <conditionalFormatting sqref="E6:E1740">
    <cfRule type="expression" dxfId="4" priority="9">
      <formula>AND(E6&lt;&gt;"",COUNTIF($E$6:$E$1740,E6)&gt;1)</formula>
    </cfRule>
  </conditionalFormatting>
  <dataValidations count="1">
    <dataValidation type="list" sqref="M6:M1740">
      <formula1>"SAUVÉ,CHARGÉ,NON CHARGÉ,ANNULÉ"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showGridLines="0" workbookViewId="0">
      <pane ySplit="8" topLeftCell="A9" activePane="bottomLeft" state="frozen"/>
      <selection pane="bottomLeft" activeCell="C15" sqref="C15"/>
    </sheetView>
  </sheetViews>
  <sheetFormatPr baseColWidth="10" defaultColWidth="8.796875" defaultRowHeight="13.8"/>
  <cols>
    <col min="1" max="1" width="15" customWidth="1"/>
    <col min="2" max="2" width="19" customWidth="1"/>
    <col min="3" max="5" width="13" customWidth="1"/>
    <col min="6" max="6" width="19" customWidth="1"/>
    <col min="7" max="7" width="13" customWidth="1"/>
    <col min="8" max="8" width="4" customWidth="1"/>
    <col min="9" max="9" width="18" customWidth="1"/>
    <col min="10" max="14" width="15" customWidth="1"/>
  </cols>
  <sheetData>
    <row r="1" spans="1:27" ht="27" customHeight="1">
      <c r="A1" s="27" t="s">
        <v>958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27" ht="27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27" ht="24" customHeight="1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5" spans="1:27">
      <c r="A5" t="s">
        <v>41</v>
      </c>
      <c r="C5" s="20">
        <v>46267</v>
      </c>
      <c r="AA5" s="20">
        <v>46266</v>
      </c>
    </row>
    <row r="6" spans="1:27">
      <c r="AA6" s="20">
        <v>46267</v>
      </c>
    </row>
    <row r="7" spans="1:27">
      <c r="A7" t="s">
        <v>42</v>
      </c>
      <c r="I7" s="57" t="s">
        <v>43</v>
      </c>
      <c r="J7" s="57"/>
      <c r="K7" s="57"/>
      <c r="L7" s="57"/>
      <c r="M7" s="57"/>
      <c r="N7" s="57"/>
      <c r="AA7" s="20">
        <v>46268</v>
      </c>
    </row>
    <row r="8" spans="1:27" ht="30" customHeight="1">
      <c r="A8" s="1" t="s">
        <v>14</v>
      </c>
      <c r="B8" s="18" t="s">
        <v>44</v>
      </c>
      <c r="C8" s="18" t="s">
        <v>0</v>
      </c>
      <c r="D8" s="18" t="s">
        <v>2</v>
      </c>
      <c r="E8" s="18" t="s">
        <v>3</v>
      </c>
      <c r="F8" s="18" t="s">
        <v>4</v>
      </c>
      <c r="G8" s="18" t="s">
        <v>5</v>
      </c>
      <c r="H8" s="3"/>
      <c r="I8" s="58" t="s">
        <v>45</v>
      </c>
      <c r="J8" s="57"/>
      <c r="K8" s="57"/>
      <c r="L8" s="57"/>
      <c r="M8" s="57"/>
      <c r="N8" s="3"/>
      <c r="AA8" s="20">
        <v>46269</v>
      </c>
    </row>
    <row r="9" spans="1:27" ht="24" customHeight="1">
      <c r="A9" t="s">
        <v>18</v>
      </c>
      <c r="B9" s="4">
        <f>IFERROR(INDEX('SYNTHÈSE PAR DATE'!$I$6:$I$36,MATCH($C$5,'SYNTHÈSE PAR DATE'!$A$6:$A$36,0)),0)</f>
        <v>371</v>
      </c>
      <c r="C9" s="4">
        <f>COUNTIFS(BASE!$A$6:$A$1740,$C$5,BASE!$B$6:$B$1740,$A9)</f>
        <v>5</v>
      </c>
      <c r="D9" s="4">
        <f>COUNTIFS(BASE!$A$6:$A$1740,$C$5,BASE!$B$6:$B$1740,$A9,BASE!$M$6:$M$1740,"SAUVÉ")</f>
        <v>0</v>
      </c>
      <c r="E9" s="4">
        <f>COUNTIFS(BASE!$A$6:$A$1740,$C$5,BASE!$B$6:$B$1740,$A9,BASE!$M$6:$M$1740,"CHARGÉ")</f>
        <v>2</v>
      </c>
      <c r="F9" s="4">
        <f>COUNTIFS(BASE!$A$6:$A$1740,$C$5,BASE!$B$6:$B$1740,$A9,BASE!$M$6:$M$1740,"NON CHARGÉ")</f>
        <v>3</v>
      </c>
      <c r="G9" s="4">
        <f>COUNTIFS(BASE!$A$6:$A$1740,$C$5,BASE!$B$6:$B$1740,$A9,BASE!$M$6:$M$1740,"ANNULÉ")</f>
        <v>0</v>
      </c>
      <c r="H9" s="3"/>
      <c r="I9" s="59"/>
      <c r="J9" s="60"/>
      <c r="K9" s="60"/>
      <c r="L9" s="60"/>
      <c r="M9" s="60"/>
      <c r="N9" s="60"/>
      <c r="AA9" s="20">
        <v>46270</v>
      </c>
    </row>
    <row r="10" spans="1:27" ht="24" customHeight="1">
      <c r="A10" s="2" t="s">
        <v>46</v>
      </c>
      <c r="B10" s="10">
        <f t="shared" ref="B10:G10" si="0">SUM(B9:B9)</f>
        <v>371</v>
      </c>
      <c r="C10" s="10">
        <f t="shared" si="0"/>
        <v>5</v>
      </c>
      <c r="D10" s="10">
        <f t="shared" si="0"/>
        <v>0</v>
      </c>
      <c r="E10" s="10">
        <f t="shared" si="0"/>
        <v>2</v>
      </c>
      <c r="F10" s="10">
        <f t="shared" si="0"/>
        <v>3</v>
      </c>
      <c r="G10" s="10">
        <f t="shared" si="0"/>
        <v>0</v>
      </c>
      <c r="I10" s="59"/>
      <c r="J10" s="59"/>
      <c r="K10" s="59"/>
      <c r="L10" s="59"/>
      <c r="M10" s="59"/>
      <c r="N10" s="59"/>
    </row>
    <row r="11" spans="1:27">
      <c r="I11" s="59"/>
      <c r="J11" s="59"/>
      <c r="K11" s="59"/>
      <c r="L11" s="59"/>
      <c r="M11" s="59"/>
      <c r="N11" s="59"/>
    </row>
    <row r="12" spans="1:27">
      <c r="I12" s="59"/>
      <c r="J12" s="59"/>
      <c r="K12" s="59"/>
      <c r="L12" s="59"/>
      <c r="M12" s="59"/>
      <c r="N12" s="59"/>
    </row>
    <row r="24" spans="27:27">
      <c r="AA24" s="20">
        <v>46285</v>
      </c>
    </row>
    <row r="25" spans="27:27">
      <c r="AA25" s="20">
        <v>46286</v>
      </c>
    </row>
    <row r="26" spans="27:27">
      <c r="AA26" s="20">
        <v>46287</v>
      </c>
    </row>
    <row r="27" spans="27:27">
      <c r="AA27" s="20">
        <v>46288</v>
      </c>
    </row>
    <row r="28" spans="27:27">
      <c r="AA28" s="20">
        <v>46289</v>
      </c>
    </row>
    <row r="29" spans="27:27">
      <c r="AA29" s="20">
        <v>46290</v>
      </c>
    </row>
    <row r="30" spans="27:27">
      <c r="AA30" s="20">
        <v>46291</v>
      </c>
    </row>
    <row r="31" spans="27:27">
      <c r="AA31" s="20">
        <v>46292</v>
      </c>
    </row>
    <row r="32" spans="27:27">
      <c r="AA32" s="20">
        <v>46293</v>
      </c>
    </row>
    <row r="33" spans="27:27">
      <c r="AA33" s="20">
        <v>46294</v>
      </c>
    </row>
    <row r="34" spans="27:27">
      <c r="AA34" s="20">
        <v>46295</v>
      </c>
    </row>
  </sheetData>
  <mergeCells count="4">
    <mergeCell ref="A1:N2"/>
    <mergeCell ref="A3:N3"/>
    <mergeCell ref="I7:N7"/>
    <mergeCell ref="I8:M8"/>
  </mergeCells>
  <dataValidations count="1">
    <dataValidation type="list" sqref="C5">
      <formula1>$AA$5:$AA34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pane ySplit="5" topLeftCell="A6" activePane="bottomLeft" state="frozen"/>
      <selection pane="bottomLeft" activeCell="D12" sqref="D12"/>
    </sheetView>
  </sheetViews>
  <sheetFormatPr baseColWidth="10" defaultColWidth="8.796875" defaultRowHeight="13.8"/>
  <cols>
    <col min="1" max="1" width="19" customWidth="1"/>
    <col min="2" max="2" width="13" customWidth="1"/>
    <col min="3" max="3" width="20" customWidth="1"/>
    <col min="4" max="4" width="21" customWidth="1"/>
    <col min="5" max="6" width="12" customWidth="1"/>
    <col min="7" max="7" width="17" customWidth="1"/>
    <col min="8" max="22" width="12" customWidth="1"/>
  </cols>
  <sheetData>
    <row r="1" spans="1:22" ht="27" customHeight="1">
      <c r="A1" s="27" t="s">
        <v>959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ht="27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ht="24" customHeight="1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>
      <c r="A4" s="57" t="s">
        <v>47</v>
      </c>
      <c r="B4" s="57"/>
      <c r="C4" s="57"/>
      <c r="D4" s="57"/>
      <c r="E4" s="57"/>
      <c r="F4" s="57"/>
      <c r="G4" s="57"/>
      <c r="H4" s="57"/>
      <c r="I4" s="57" t="s">
        <v>48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30" customHeight="1">
      <c r="A5" s="1" t="s">
        <v>26</v>
      </c>
      <c r="B5" s="1" t="s">
        <v>0</v>
      </c>
      <c r="C5" s="1" t="s">
        <v>49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22">
        <v>46266</v>
      </c>
      <c r="B6" s="21">
        <f>COUNTIF(BASE!$A$6:$A$1740,A6)</f>
        <v>4</v>
      </c>
      <c r="C6" s="21">
        <f>SUMIF(BASE!$A$6:$A$1740,A6,BASE!$F$6:$F$1740)</f>
        <v>4</v>
      </c>
      <c r="D6" s="21">
        <f t="shared" ref="D6:D35" si="0">SUM(I6:V6)</f>
        <v>402</v>
      </c>
      <c r="E6" s="21">
        <f>COUNTIFS(BASE!$A$6:$A$1740,A6,BASE!$M$6:$M$1740,"SAUVÉ")</f>
        <v>0</v>
      </c>
      <c r="F6" s="21">
        <f>COUNTIFS(BASE!$A$6:$A$1740,A6,BASE!$M$6:$M$1740,"CHARGÉ")</f>
        <v>0</v>
      </c>
      <c r="G6" s="21">
        <f>COUNTIFS(BASE!$A$6:$A$1740,A6,BASE!$M$6:$M$1740,"NON CHARGÉ")</f>
        <v>4</v>
      </c>
      <c r="H6" s="21">
        <f>COUNTIFS(BASE!$A$6:$A$1740,A6,BASE!$M$6:$M$1740,"ANNULÉ")</f>
        <v>0</v>
      </c>
      <c r="I6" s="21">
        <v>402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>
      <c r="A7" s="22">
        <v>46267</v>
      </c>
      <c r="B7" s="21">
        <f>COUNTIF(BASE!$A$6:$A$1740,A7)</f>
        <v>5</v>
      </c>
      <c r="C7" s="21">
        <f>SUMIF(BASE!$A$6:$A$1740,A7,BASE!$F$6:$F$1740)</f>
        <v>5</v>
      </c>
      <c r="D7" s="21">
        <f t="shared" si="0"/>
        <v>371</v>
      </c>
      <c r="E7" s="21">
        <f>COUNTIFS(BASE!$A$6:$A$1740,A7,BASE!$M$6:$M$1740,"SAUVÉ")</f>
        <v>0</v>
      </c>
      <c r="F7" s="21">
        <f>COUNTIFS(BASE!$A$6:$A$1740,A7,BASE!$M$6:$M$1740,"CHARGÉ")</f>
        <v>2</v>
      </c>
      <c r="G7" s="21">
        <f>COUNTIFS(BASE!$A$6:$A$1740,A7,BASE!$M$6:$M$1740,"NON CHARGÉ")</f>
        <v>3</v>
      </c>
      <c r="H7" s="21">
        <f>COUNTIFS(BASE!$A$6:$A$1740,A7,BASE!$M$6:$M$1740,"ANNULÉ")</f>
        <v>0</v>
      </c>
      <c r="I7" s="21">
        <v>371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>
      <c r="A8" s="22">
        <v>46268</v>
      </c>
      <c r="B8" s="21">
        <f>COUNTIF(BASE!$A$6:$A$1740,A8)</f>
        <v>23</v>
      </c>
      <c r="C8" s="21">
        <f>SUMIF(BASE!$A$6:$A$1740,A8,BASE!$F$6:$F$1740)</f>
        <v>23</v>
      </c>
      <c r="D8" s="21">
        <f t="shared" si="0"/>
        <v>501</v>
      </c>
      <c r="E8" s="21">
        <f>COUNTIFS(BASE!$A$6:$A$1740,A8,BASE!$M$6:$M$1740,"SAUVÉ")</f>
        <v>3</v>
      </c>
      <c r="F8" s="21">
        <f>COUNTIFS(BASE!$A$6:$A$1740,A8,BASE!$M$6:$M$1740,"CHARGÉ")</f>
        <v>2</v>
      </c>
      <c r="G8" s="21">
        <f>COUNTIFS(BASE!$A$6:$A$1740,A8,BASE!$M$6:$M$1740,"NON CHARGÉ")</f>
        <v>18</v>
      </c>
      <c r="H8" s="21">
        <f>COUNTIFS(BASE!$A$6:$A$1740,A8,BASE!$M$6:$M$1740,"ANNULÉ")</f>
        <v>0</v>
      </c>
      <c r="I8" s="21">
        <v>501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>
      <c r="A9" s="22">
        <v>46269</v>
      </c>
      <c r="B9" s="21">
        <f>COUNTIF(BASE!$A$6:$A$1740,A9)</f>
        <v>10</v>
      </c>
      <c r="C9" s="21">
        <f>SUMIF(BASE!$A$6:$A$1740,A9,BASE!$F$6:$F$1740)</f>
        <v>10</v>
      </c>
      <c r="D9" s="21">
        <f t="shared" si="0"/>
        <v>521</v>
      </c>
      <c r="E9" s="21">
        <f>COUNTIFS(BASE!$A$6:$A$1740,A9,BASE!$M$6:$M$1740,"SAUVÉ")</f>
        <v>2</v>
      </c>
      <c r="F9" s="21">
        <f>COUNTIFS(BASE!$A$6:$A$1740,A9,BASE!$M$6:$M$1740,"CHARGÉ")</f>
        <v>2</v>
      </c>
      <c r="G9" s="21">
        <f>COUNTIFS(BASE!$A$6:$A$1740,A9,BASE!$M$6:$M$1740,"NON CHARGÉ")</f>
        <v>6</v>
      </c>
      <c r="H9" s="21">
        <f>COUNTIFS(BASE!$A$6:$A$1740,A9,BASE!$M$6:$M$1740,"ANNULÉ")</f>
        <v>0</v>
      </c>
      <c r="I9" s="21">
        <v>521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>
      <c r="A10" s="22">
        <v>46270</v>
      </c>
      <c r="B10" s="21">
        <f>COUNTIF(BASE!$A$6:$A$1740,A10)</f>
        <v>23</v>
      </c>
      <c r="C10" s="21">
        <f>SUMIF(BASE!$A$6:$A$1740,A10,BASE!$F$6:$F$1740)</f>
        <v>23</v>
      </c>
      <c r="D10" s="21">
        <f t="shared" si="0"/>
        <v>567</v>
      </c>
      <c r="E10" s="21">
        <f>COUNTIFS(BASE!$A$6:$A$1740,A10,BASE!$M$6:$M$1740,"SAUVÉ")</f>
        <v>4</v>
      </c>
      <c r="F10" s="21">
        <f>COUNTIFS(BASE!$A$6:$A$1740,A10,BASE!$M$6:$M$1740,"CHARGÉ")</f>
        <v>1</v>
      </c>
      <c r="G10" s="21">
        <f>COUNTIFS(BASE!$A$6:$A$1740,A10,BASE!$M$6:$M$1740,"NON CHARGÉ")</f>
        <v>18</v>
      </c>
      <c r="H10" s="21">
        <f>COUNTIFS(BASE!$A$6:$A$1740,A10,BASE!$M$6:$M$1740,"ANNULÉ")</f>
        <v>0</v>
      </c>
      <c r="I10" s="21">
        <v>567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>
      <c r="A11" s="22">
        <v>46271</v>
      </c>
      <c r="B11" s="21">
        <f>COUNTIF(BASE!$A$6:$A$1740,A11)</f>
        <v>12</v>
      </c>
      <c r="C11" s="21">
        <f>SUMIF(BASE!$A$6:$A$1740,A11,BASE!$F$6:$F$1740)</f>
        <v>12</v>
      </c>
      <c r="D11" s="21">
        <f t="shared" si="0"/>
        <v>743</v>
      </c>
      <c r="E11" s="21">
        <f>COUNTIFS(BASE!$A$6:$A$1740,A11,BASE!$M$6:$M$1740,"SAUVÉ")</f>
        <v>0</v>
      </c>
      <c r="F11" s="21">
        <f>COUNTIFS(BASE!$A$6:$A$1740,A11,BASE!$M$6:$M$1740,"CHARGÉ")</f>
        <v>2</v>
      </c>
      <c r="G11" s="21">
        <f>COUNTIFS(BASE!$A$6:$A$1740,A11,BASE!$M$6:$M$1740,"NON CHARGÉ")</f>
        <v>10</v>
      </c>
      <c r="H11" s="21">
        <f>COUNTIFS(BASE!$A$6:$A$1740,A11,BASE!$M$6:$M$1740,"ANNULÉ")</f>
        <v>0</v>
      </c>
      <c r="I11" s="21">
        <v>743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>
      <c r="A12" s="22">
        <v>46272</v>
      </c>
      <c r="B12" s="21">
        <f>COUNTIF(BASE!$A$6:$A$1740,A12)</f>
        <v>7</v>
      </c>
      <c r="C12" s="21">
        <f>SUMIF(BASE!$A$6:$A$1740,A12,BASE!$F$6:$F$1740)</f>
        <v>7</v>
      </c>
      <c r="D12" s="21">
        <f t="shared" si="0"/>
        <v>599</v>
      </c>
      <c r="E12" s="21">
        <f>COUNTIFS(BASE!$A$6:$A$1740,A12,BASE!$M$6:$M$1740,"SAUVÉ")</f>
        <v>0</v>
      </c>
      <c r="F12" s="21">
        <f>COUNTIFS(BASE!$A$6:$A$1740,A12,BASE!$M$6:$M$1740,"CHARGÉ")</f>
        <v>3</v>
      </c>
      <c r="G12" s="21">
        <f>COUNTIFS(BASE!$A$6:$A$1740,A12,BASE!$M$6:$M$1740,"NON CHARGÉ")</f>
        <v>4</v>
      </c>
      <c r="H12" s="21">
        <f>COUNTIFS(BASE!$A$6:$A$1740,A12,BASE!$M$6:$M$1740,"ANNULÉ")</f>
        <v>0</v>
      </c>
      <c r="I12" s="21">
        <v>599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>
      <c r="A13" s="22">
        <v>46273</v>
      </c>
      <c r="B13" s="21">
        <f>COUNTIF(BASE!$A$6:$A$1740,A13)</f>
        <v>7</v>
      </c>
      <c r="C13" s="21">
        <f>SUMIF(BASE!$A$6:$A$1740,A13,BASE!$F$6:$F$1740)</f>
        <v>7</v>
      </c>
      <c r="D13" s="21">
        <f t="shared" si="0"/>
        <v>489</v>
      </c>
      <c r="E13" s="21">
        <f>COUNTIFS(BASE!$A$6:$A$1740,A13,BASE!$M$6:$M$1740,"SAUVÉ")</f>
        <v>2</v>
      </c>
      <c r="F13" s="21">
        <f>COUNTIFS(BASE!$A$6:$A$1740,A13,BASE!$M$6:$M$1740,"CHARGÉ")</f>
        <v>3</v>
      </c>
      <c r="G13" s="21">
        <f>COUNTIFS(BASE!$A$6:$A$1740,A13,BASE!$M$6:$M$1740,"NON CHARGÉ")</f>
        <v>2</v>
      </c>
      <c r="H13" s="21">
        <f>COUNTIFS(BASE!$A$6:$A$1740,A13,BASE!$M$6:$M$1740,"ANNULÉ")</f>
        <v>0</v>
      </c>
      <c r="I13" s="21">
        <v>489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>
      <c r="A14" s="22">
        <v>46274</v>
      </c>
      <c r="B14" s="21">
        <f>COUNTIF(BASE!$A$6:$A$1740,A14)</f>
        <v>20</v>
      </c>
      <c r="C14" s="21">
        <f>SUMIF(BASE!$A$6:$A$1740,A14,BASE!$F$6:$F$1740)</f>
        <v>20</v>
      </c>
      <c r="D14" s="21">
        <f t="shared" si="0"/>
        <v>592</v>
      </c>
      <c r="E14" s="21">
        <f>COUNTIFS(BASE!$A$6:$A$1740,A14,BASE!$M$6:$M$1740,"SAUVÉ")</f>
        <v>2</v>
      </c>
      <c r="F14" s="21">
        <f>COUNTIFS(BASE!$A$6:$A$1740,A14,BASE!$M$6:$M$1740,"CHARGÉ")</f>
        <v>4</v>
      </c>
      <c r="G14" s="21">
        <f>COUNTIFS(BASE!$A$6:$A$1740,A14,BASE!$M$6:$M$1740,"NON CHARGÉ")</f>
        <v>14</v>
      </c>
      <c r="H14" s="21">
        <f>COUNTIFS(BASE!$A$6:$A$1740,A14,BASE!$M$6:$M$1740,"ANNULÉ")</f>
        <v>0</v>
      </c>
      <c r="I14" s="21">
        <v>592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>
      <c r="A15" s="22">
        <v>46275</v>
      </c>
      <c r="B15" s="21">
        <f>COUNTIF(BASE!$A$6:$A$1740,A15)</f>
        <v>13</v>
      </c>
      <c r="C15" s="21">
        <f>SUMIF(BASE!$A$6:$A$1740,A15,BASE!$F$6:$F$1740)</f>
        <v>13</v>
      </c>
      <c r="D15" s="21">
        <f t="shared" si="0"/>
        <v>551</v>
      </c>
      <c r="E15" s="21">
        <f>COUNTIFS(BASE!$A$6:$A$1740,A15,BASE!$M$6:$M$1740,"SAUVÉ")</f>
        <v>4</v>
      </c>
      <c r="F15" s="21">
        <f>COUNTIFS(BASE!$A$6:$A$1740,A15,BASE!$M$6:$M$1740,"CHARGÉ")</f>
        <v>2</v>
      </c>
      <c r="G15" s="21">
        <f>COUNTIFS(BASE!$A$6:$A$1740,A15,BASE!$M$6:$M$1740,"NON CHARGÉ")</f>
        <v>7</v>
      </c>
      <c r="H15" s="21">
        <f>COUNTIFS(BASE!$A$6:$A$1740,A15,BASE!$M$6:$M$1740,"ANNULÉ")</f>
        <v>0</v>
      </c>
      <c r="I15" s="21">
        <v>551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>
      <c r="A16" s="22">
        <v>46276</v>
      </c>
      <c r="B16" s="21">
        <f>COUNTIF(BASE!$A$6:$A$1740,A16)</f>
        <v>4</v>
      </c>
      <c r="C16" s="21">
        <f>SUMIF(BASE!$A$6:$A$1740,A16,BASE!$F$6:$F$1740)</f>
        <v>4</v>
      </c>
      <c r="D16" s="21">
        <f t="shared" si="0"/>
        <v>546</v>
      </c>
      <c r="E16" s="21">
        <f>COUNTIFS(BASE!$A$6:$A$1740,A16,BASE!$M$6:$M$1740,"SAUVÉ")</f>
        <v>0</v>
      </c>
      <c r="F16" s="21">
        <f>COUNTIFS(BASE!$A$6:$A$1740,A16,BASE!$M$6:$M$1740,"CHARGÉ")</f>
        <v>1</v>
      </c>
      <c r="G16" s="21">
        <f>COUNTIFS(BASE!$A$6:$A$1740,A16,BASE!$M$6:$M$1740,"NON CHARGÉ")</f>
        <v>3</v>
      </c>
      <c r="H16" s="21">
        <f>COUNTIFS(BASE!$A$6:$A$1740,A16,BASE!$M$6:$M$1740,"ANNULÉ")</f>
        <v>0</v>
      </c>
      <c r="I16" s="21">
        <v>546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>
      <c r="A17" s="22">
        <v>46277</v>
      </c>
      <c r="B17" s="21">
        <f>COUNTIF(BASE!$A$6:$A$1740,A17)</f>
        <v>7</v>
      </c>
      <c r="C17" s="21">
        <f>SUMIF(BASE!$A$6:$A$1740,A17,BASE!$F$6:$F$1740)</f>
        <v>7</v>
      </c>
      <c r="D17" s="21">
        <f t="shared" si="0"/>
        <v>576</v>
      </c>
      <c r="E17" s="21">
        <f>COUNTIFS(BASE!$A$6:$A$1740,A17,BASE!$M$6:$M$1740,"SAUVÉ")</f>
        <v>1</v>
      </c>
      <c r="F17" s="21">
        <f>COUNTIFS(BASE!$A$6:$A$1740,A17,BASE!$M$6:$M$1740,"CHARGÉ")</f>
        <v>1</v>
      </c>
      <c r="G17" s="21">
        <f>COUNTIFS(BASE!$A$6:$A$1740,A17,BASE!$M$6:$M$1740,"NON CHARGÉ")</f>
        <v>5</v>
      </c>
      <c r="H17" s="21">
        <f>COUNTIFS(BASE!$A$6:$A$1740,A17,BASE!$M$6:$M$1740,"ANNULÉ")</f>
        <v>0</v>
      </c>
      <c r="I17" s="21">
        <v>576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>
      <c r="A18" s="22">
        <v>46278</v>
      </c>
      <c r="B18" s="21">
        <f>COUNTIF(BASE!$A$6:$A$1740,A18)</f>
        <v>12</v>
      </c>
      <c r="C18" s="21">
        <f>SUMIF(BASE!$A$6:$A$1740,A18,BASE!$F$6:$F$1740)</f>
        <v>12</v>
      </c>
      <c r="D18" s="21">
        <f t="shared" si="0"/>
        <v>781</v>
      </c>
      <c r="E18" s="21">
        <f>COUNTIFS(BASE!$A$6:$A$1740,A18,BASE!$M$6:$M$1740,"SAUVÉ")</f>
        <v>4</v>
      </c>
      <c r="F18" s="21">
        <f>COUNTIFS(BASE!$A$6:$A$1740,A18,BASE!$M$6:$M$1740,"CHARGÉ")</f>
        <v>2</v>
      </c>
      <c r="G18" s="21">
        <f>COUNTIFS(BASE!$A$6:$A$1740,A18,BASE!$M$6:$M$1740,"NON CHARGÉ")</f>
        <v>6</v>
      </c>
      <c r="H18" s="21">
        <f>COUNTIFS(BASE!$A$6:$A$1740,A18,BASE!$M$6:$M$1740,"ANNULÉ")</f>
        <v>0</v>
      </c>
      <c r="I18" s="21">
        <v>781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22">
        <v>46279</v>
      </c>
      <c r="B19" s="21">
        <f>COUNTIF(BASE!$A$6:$A$1740,A19)</f>
        <v>13</v>
      </c>
      <c r="C19" s="21">
        <f>SUMIF(BASE!$A$6:$A$1740,A19,BASE!$F$6:$F$1740)</f>
        <v>13</v>
      </c>
      <c r="D19" s="21">
        <f t="shared" si="0"/>
        <v>706</v>
      </c>
      <c r="E19" s="21">
        <f>COUNTIFS(BASE!$A$6:$A$1740,A19,BASE!$M$6:$M$1740,"SAUVÉ")</f>
        <v>1</v>
      </c>
      <c r="F19" s="21">
        <f>COUNTIFS(BASE!$A$6:$A$1740,A19,BASE!$M$6:$M$1740,"CHARGÉ")</f>
        <v>4</v>
      </c>
      <c r="G19" s="21">
        <f>COUNTIFS(BASE!$A$6:$A$1740,A19,BASE!$M$6:$M$1740,"NON CHARGÉ")</f>
        <v>8</v>
      </c>
      <c r="H19" s="21">
        <f>COUNTIFS(BASE!$A$6:$A$1740,A19,BASE!$M$6:$M$1740,"ANNULÉ")</f>
        <v>0</v>
      </c>
      <c r="I19" s="21">
        <v>706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>
      <c r="A20" s="22">
        <v>46280</v>
      </c>
      <c r="B20" s="21">
        <f>COUNTIF(BASE!$A$6:$A$1740,A20)</f>
        <v>15</v>
      </c>
      <c r="C20" s="21">
        <f>SUMIF(BASE!$A$6:$A$1740,A20,BASE!$F$6:$F$1740)</f>
        <v>15</v>
      </c>
      <c r="D20" s="21">
        <f t="shared" si="0"/>
        <v>497</v>
      </c>
      <c r="E20" s="21">
        <f>COUNTIFS(BASE!$A$6:$A$1740,A20,BASE!$M$6:$M$1740,"SAUVÉ")</f>
        <v>0</v>
      </c>
      <c r="F20" s="21">
        <f>COUNTIFS(BASE!$A$6:$A$1740,A20,BASE!$M$6:$M$1740,"CHARGÉ")</f>
        <v>1</v>
      </c>
      <c r="G20" s="21">
        <f>COUNTIFS(BASE!$A$6:$A$1740,A20,BASE!$M$6:$M$1740,"NON CHARGÉ")</f>
        <v>14</v>
      </c>
      <c r="H20" s="21">
        <f>COUNTIFS(BASE!$A$6:$A$1740,A20,BASE!$M$6:$M$1740,"ANNULÉ")</f>
        <v>0</v>
      </c>
      <c r="I20" s="21">
        <v>497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>
      <c r="A21" s="22">
        <v>46281</v>
      </c>
      <c r="B21" s="21">
        <f>COUNTIF(BASE!$A$6:$A$1740,A21)</f>
        <v>3</v>
      </c>
      <c r="C21" s="21">
        <f>SUMIF(BASE!$A$6:$A$1740,A21,BASE!$F$6:$F$1740)</f>
        <v>3</v>
      </c>
      <c r="D21" s="21">
        <f t="shared" si="0"/>
        <v>497</v>
      </c>
      <c r="E21" s="21">
        <f>COUNTIFS(BASE!$A$6:$A$1740,A21,BASE!$M$6:$M$1740,"SAUVÉ")</f>
        <v>0</v>
      </c>
      <c r="F21" s="21">
        <f>COUNTIFS(BASE!$A$6:$A$1740,A21,BASE!$M$6:$M$1740,"CHARGÉ")</f>
        <v>1</v>
      </c>
      <c r="G21" s="21">
        <f>COUNTIFS(BASE!$A$6:$A$1740,A21,BASE!$M$6:$M$1740,"NON CHARGÉ")</f>
        <v>2</v>
      </c>
      <c r="H21" s="21">
        <f>COUNTIFS(BASE!$A$6:$A$1740,A21,BASE!$M$6:$M$1740,"ANNULÉ")</f>
        <v>0</v>
      </c>
      <c r="I21" s="21">
        <v>497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22">
        <v>46282</v>
      </c>
      <c r="B22" s="21">
        <f>COUNTIF(BASE!$A$6:$A$1740,A22)</f>
        <v>11</v>
      </c>
      <c r="C22" s="21">
        <f>SUMIF(BASE!$A$6:$A$1740,A22,BASE!$F$6:$F$1740)</f>
        <v>11</v>
      </c>
      <c r="D22" s="21">
        <f t="shared" si="0"/>
        <v>617</v>
      </c>
      <c r="E22" s="21">
        <f>COUNTIFS(BASE!$A$6:$A$1740,A22,BASE!$M$6:$M$1740,"SAUVÉ")</f>
        <v>2</v>
      </c>
      <c r="F22" s="21">
        <f>COUNTIFS(BASE!$A$6:$A$1740,A22,BASE!$M$6:$M$1740,"CHARGÉ")</f>
        <v>5</v>
      </c>
      <c r="G22" s="21">
        <f>COUNTIFS(BASE!$A$6:$A$1740,A22,BASE!$M$6:$M$1740,"NON CHARGÉ")</f>
        <v>4</v>
      </c>
      <c r="H22" s="21">
        <f>COUNTIFS(BASE!$A$6:$A$1740,A22,BASE!$M$6:$M$1740,"ANNULÉ")</f>
        <v>0</v>
      </c>
      <c r="I22" s="21">
        <v>617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1:22">
      <c r="A23" s="22">
        <v>46283</v>
      </c>
      <c r="B23" s="21">
        <f>COUNTIF(BASE!$A$6:$A$1740,A23)</f>
        <v>8</v>
      </c>
      <c r="C23" s="21">
        <f>SUMIF(BASE!$A$6:$A$1740,A23,BASE!$F$6:$F$1740)</f>
        <v>8</v>
      </c>
      <c r="D23" s="21">
        <f t="shared" si="0"/>
        <v>585</v>
      </c>
      <c r="E23" s="21">
        <f>COUNTIFS(BASE!$A$6:$A$1740,A23,BASE!$M$6:$M$1740,"SAUVÉ")</f>
        <v>4</v>
      </c>
      <c r="F23" s="21">
        <f>COUNTIFS(BASE!$A$6:$A$1740,A23,BASE!$M$6:$M$1740,"CHARGÉ")</f>
        <v>2</v>
      </c>
      <c r="G23" s="21">
        <f>COUNTIFS(BASE!$A$6:$A$1740,A23,BASE!$M$6:$M$1740,"NON CHARGÉ")</f>
        <v>2</v>
      </c>
      <c r="H23" s="21">
        <f>COUNTIFS(BASE!$A$6:$A$1740,A23,BASE!$M$6:$M$1740,"ANNULÉ")</f>
        <v>0</v>
      </c>
      <c r="I23" s="21">
        <v>585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1:22">
      <c r="A24" s="22">
        <v>46284</v>
      </c>
      <c r="B24" s="21">
        <f>COUNTIF(BASE!$A$6:$A$1740,A24)</f>
        <v>12</v>
      </c>
      <c r="C24" s="21">
        <f>SUMIF(BASE!$A$6:$A$1740,A24,BASE!$F$6:$F$1740)</f>
        <v>12</v>
      </c>
      <c r="D24" s="21">
        <f t="shared" si="0"/>
        <v>533</v>
      </c>
      <c r="E24" s="21">
        <f>COUNTIFS(BASE!$A$6:$A$1740,A24,BASE!$M$6:$M$1740,"SAUVÉ")</f>
        <v>3</v>
      </c>
      <c r="F24" s="21">
        <f>COUNTIFS(BASE!$A$6:$A$1740,A24,BASE!$M$6:$M$1740,"CHARGÉ")</f>
        <v>3</v>
      </c>
      <c r="G24" s="21">
        <f>COUNTIFS(BASE!$A$6:$A$1740,A24,BASE!$M$6:$M$1740,"NON CHARGÉ")</f>
        <v>6</v>
      </c>
      <c r="H24" s="21">
        <f>COUNTIFS(BASE!$A$6:$A$1740,A24,BASE!$M$6:$M$1740,"ANNULÉ")</f>
        <v>0</v>
      </c>
      <c r="I24" s="21">
        <v>533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spans="1:22">
      <c r="A25" s="22">
        <v>46285</v>
      </c>
      <c r="B25" s="21">
        <f>COUNTIF(BASE!$A$6:$A$1740,A25)</f>
        <v>18</v>
      </c>
      <c r="C25" s="21">
        <f>SUMIF(BASE!$A$6:$A$1740,A25,BASE!$F$6:$F$1740)</f>
        <v>18</v>
      </c>
      <c r="D25" s="21">
        <f t="shared" si="0"/>
        <v>843</v>
      </c>
      <c r="E25" s="21">
        <f>COUNTIFS(BASE!$A$6:$A$1740,A25,BASE!$M$6:$M$1740,"SAUVÉ")</f>
        <v>2</v>
      </c>
      <c r="F25" s="21">
        <f>COUNTIFS(BASE!$A$6:$A$1740,A25,BASE!$M$6:$M$1740,"CHARGÉ")</f>
        <v>14</v>
      </c>
      <c r="G25" s="21">
        <f>COUNTIFS(BASE!$A$6:$A$1740,A25,BASE!$M$6:$M$1740,"NON CHARGÉ")</f>
        <v>2</v>
      </c>
      <c r="H25" s="21">
        <f>COUNTIFS(BASE!$A$6:$A$1740,A25,BASE!$M$6:$M$1740,"ANNULÉ")</f>
        <v>0</v>
      </c>
      <c r="I25" s="21">
        <v>843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spans="1:22">
      <c r="A26" s="22">
        <v>46286</v>
      </c>
      <c r="B26" s="21">
        <f>COUNTIF(BASE!$A$6:$A$1740,A26)</f>
        <v>7</v>
      </c>
      <c r="C26" s="21">
        <f>SUMIF(BASE!$A$6:$A$1740,A26,BASE!$F$6:$F$1740)</f>
        <v>7</v>
      </c>
      <c r="D26" s="21">
        <f t="shared" si="0"/>
        <v>681</v>
      </c>
      <c r="E26" s="21">
        <f>COUNTIFS(BASE!$A$6:$A$1740,A26,BASE!$M$6:$M$1740,"SAUVÉ")</f>
        <v>1</v>
      </c>
      <c r="F26" s="21">
        <f>COUNTIFS(BASE!$A$6:$A$1740,A26,BASE!$M$6:$M$1740,"CHARGÉ")</f>
        <v>0</v>
      </c>
      <c r="G26" s="21">
        <f>COUNTIFS(BASE!$A$6:$A$1740,A26,BASE!$M$6:$M$1740,"NON CHARGÉ")</f>
        <v>6</v>
      </c>
      <c r="H26" s="21">
        <f>COUNTIFS(BASE!$A$6:$A$1740,A26,BASE!$M$6:$M$1740,"ANNULÉ")</f>
        <v>0</v>
      </c>
      <c r="I26" s="21">
        <v>681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2">
      <c r="A27" s="22">
        <v>46287</v>
      </c>
      <c r="B27" s="21">
        <f>COUNTIF(BASE!$A$6:$A$1740,A27)</f>
        <v>13</v>
      </c>
      <c r="C27" s="21">
        <f>SUMIF(BASE!$A$6:$A$1740,A27,BASE!$F$6:$F$1740)</f>
        <v>13</v>
      </c>
      <c r="D27" s="21">
        <f t="shared" si="0"/>
        <v>468</v>
      </c>
      <c r="E27" s="21">
        <f>COUNTIFS(BASE!$A$6:$A$1740,A27,BASE!$M$6:$M$1740,"SAUVÉ")</f>
        <v>2</v>
      </c>
      <c r="F27" s="21">
        <f>COUNTIFS(BASE!$A$6:$A$1740,A27,BASE!$M$6:$M$1740,"CHARGÉ")</f>
        <v>4</v>
      </c>
      <c r="G27" s="21">
        <f>COUNTIFS(BASE!$A$6:$A$1740,A27,BASE!$M$6:$M$1740,"NON CHARGÉ")</f>
        <v>7</v>
      </c>
      <c r="H27" s="21">
        <f>COUNTIFS(BASE!$A$6:$A$1740,A27,BASE!$M$6:$M$1740,"ANNULÉ")</f>
        <v>0</v>
      </c>
      <c r="I27" s="21">
        <v>468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spans="1:22">
      <c r="A28" s="22">
        <v>46288</v>
      </c>
      <c r="B28" s="21">
        <f>COUNTIF(BASE!$A$6:$A$1740,A28)</f>
        <v>6</v>
      </c>
      <c r="C28" s="21">
        <f>SUMIF(BASE!$A$6:$A$1740,A28,BASE!$F$6:$F$1740)</f>
        <v>6</v>
      </c>
      <c r="D28" s="21">
        <f t="shared" si="0"/>
        <v>563</v>
      </c>
      <c r="E28" s="21">
        <f>COUNTIFS(BASE!$A$6:$A$1740,A28,BASE!$M$6:$M$1740,"SAUVÉ")</f>
        <v>4</v>
      </c>
      <c r="F28" s="21">
        <f>COUNTIFS(BASE!$A$6:$A$1740,A28,BASE!$M$6:$M$1740,"CHARGÉ")</f>
        <v>1</v>
      </c>
      <c r="G28" s="21">
        <f>COUNTIFS(BASE!$A$6:$A$1740,A28,BASE!$M$6:$M$1740,"NON CHARGÉ")</f>
        <v>1</v>
      </c>
      <c r="H28" s="21">
        <f>COUNTIFS(BASE!$A$6:$A$1740,A28,BASE!$M$6:$M$1740,"ANNULÉ")</f>
        <v>0</v>
      </c>
      <c r="I28" s="21">
        <v>563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spans="1:22">
      <c r="A29" s="22">
        <v>46289</v>
      </c>
      <c r="B29" s="21">
        <f>COUNTIF(BASE!$A$6:$A$1740,A29)</f>
        <v>8</v>
      </c>
      <c r="C29" s="21">
        <f>SUMIF(BASE!$A$6:$A$1740,A29,BASE!$F$6:$F$1740)</f>
        <v>8</v>
      </c>
      <c r="D29" s="21">
        <f t="shared" si="0"/>
        <v>632</v>
      </c>
      <c r="E29" s="21">
        <f>COUNTIFS(BASE!$A$6:$A$1740,A29,BASE!$M$6:$M$1740,"SAUVÉ")</f>
        <v>0</v>
      </c>
      <c r="F29" s="21">
        <f>COUNTIFS(BASE!$A$6:$A$1740,A29,BASE!$M$6:$M$1740,"CHARGÉ")</f>
        <v>3</v>
      </c>
      <c r="G29" s="21">
        <f>COUNTIFS(BASE!$A$6:$A$1740,A29,BASE!$M$6:$M$1740,"NON CHARGÉ")</f>
        <v>5</v>
      </c>
      <c r="H29" s="21">
        <f>COUNTIFS(BASE!$A$6:$A$1740,A29,BASE!$M$6:$M$1740,"ANNULÉ")</f>
        <v>0</v>
      </c>
      <c r="I29" s="21">
        <v>632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spans="1:22">
      <c r="A30" s="22">
        <v>46290</v>
      </c>
      <c r="B30" s="21">
        <f>COUNTIF(BASE!$A$6:$A$1740,A30)</f>
        <v>9</v>
      </c>
      <c r="C30" s="21">
        <f>SUMIF(BASE!$A$6:$A$1740,A30,BASE!$F$6:$F$1740)</f>
        <v>9</v>
      </c>
      <c r="D30" s="21">
        <f t="shared" si="0"/>
        <v>552</v>
      </c>
      <c r="E30" s="21">
        <f>COUNTIFS(BASE!$A$6:$A$1740,A30,BASE!$M$6:$M$1740,"SAUVÉ")</f>
        <v>0</v>
      </c>
      <c r="F30" s="21">
        <f>COUNTIFS(BASE!$A$6:$A$1740,A30,BASE!$M$6:$M$1740,"CHARGÉ")</f>
        <v>5</v>
      </c>
      <c r="G30" s="21">
        <f>COUNTIFS(BASE!$A$6:$A$1740,A30,BASE!$M$6:$M$1740,"NON CHARGÉ")</f>
        <v>4</v>
      </c>
      <c r="H30" s="21">
        <f>COUNTIFS(BASE!$A$6:$A$1740,A30,BASE!$M$6:$M$1740,"ANNULÉ")</f>
        <v>0</v>
      </c>
      <c r="I30" s="21">
        <v>552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spans="1:22">
      <c r="A31" s="22">
        <v>46291</v>
      </c>
      <c r="B31" s="21">
        <f>COUNTIF(BASE!$A$6:$A$1740,A31)</f>
        <v>2</v>
      </c>
      <c r="C31" s="21">
        <f>SUMIF(BASE!$A$6:$A$1740,A31,BASE!$F$6:$F$1740)</f>
        <v>2</v>
      </c>
      <c r="D31" s="21">
        <f t="shared" si="0"/>
        <v>489</v>
      </c>
      <c r="E31" s="21">
        <f>COUNTIFS(BASE!$A$6:$A$1740,A31,BASE!$M$6:$M$1740,"SAUVÉ")</f>
        <v>1</v>
      </c>
      <c r="F31" s="21">
        <f>COUNTIFS(BASE!$A$6:$A$1740,A31,BASE!$M$6:$M$1740,"CHARGÉ")</f>
        <v>0</v>
      </c>
      <c r="G31" s="21">
        <f>COUNTIFS(BASE!$A$6:$A$1740,A31,BASE!$M$6:$M$1740,"NON CHARGÉ")</f>
        <v>1</v>
      </c>
      <c r="H31" s="21">
        <f>COUNTIFS(BASE!$A$6:$A$1740,A31,BASE!$M$6:$M$1740,"ANNULÉ")</f>
        <v>0</v>
      </c>
      <c r="I31" s="21">
        <v>489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spans="1:22">
      <c r="A32" s="22">
        <v>46292</v>
      </c>
      <c r="B32" s="21">
        <f>COUNTIF(BASE!$A$6:$A$1740,A32)</f>
        <v>6</v>
      </c>
      <c r="C32" s="21">
        <f>SUMIF(BASE!$A$6:$A$1740,A32,BASE!$F$6:$F$1740)</f>
        <v>6</v>
      </c>
      <c r="D32" s="21">
        <f t="shared" si="0"/>
        <v>869</v>
      </c>
      <c r="E32" s="21">
        <f>COUNTIFS(BASE!$A$6:$A$1740,A32,BASE!$M$6:$M$1740,"SAUVÉ")</f>
        <v>0</v>
      </c>
      <c r="F32" s="21">
        <f>COUNTIFS(BASE!$A$6:$A$1740,A32,BASE!$M$6:$M$1740,"CHARGÉ")</f>
        <v>2</v>
      </c>
      <c r="G32" s="21">
        <f>COUNTIFS(BASE!$A$6:$A$1740,A32,BASE!$M$6:$M$1740,"NON CHARGÉ")</f>
        <v>4</v>
      </c>
      <c r="H32" s="21">
        <f>COUNTIFS(BASE!$A$6:$A$1740,A32,BASE!$M$6:$M$1740,"ANNULÉ")</f>
        <v>0</v>
      </c>
      <c r="I32" s="21">
        <v>869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spans="1:22">
      <c r="A33" s="22">
        <v>46293</v>
      </c>
      <c r="B33" s="21">
        <f>COUNTIF(BASE!$A$6:$A$1740,A33)</f>
        <v>8</v>
      </c>
      <c r="C33" s="21">
        <f>SUMIF(BASE!$A$6:$A$1740,A33,BASE!$F$6:$F$1740)</f>
        <v>8</v>
      </c>
      <c r="D33" s="21">
        <f t="shared" si="0"/>
        <v>669</v>
      </c>
      <c r="E33" s="21">
        <f>COUNTIFS(BASE!$A$6:$A$1740,A33,BASE!$M$6:$M$1740,"SAUVÉ")</f>
        <v>0</v>
      </c>
      <c r="F33" s="21">
        <f>COUNTIFS(BASE!$A$6:$A$1740,A33,BASE!$M$6:$M$1740,"CHARGÉ")</f>
        <v>4</v>
      </c>
      <c r="G33" s="21">
        <f>COUNTIFS(BASE!$A$6:$A$1740,A33,BASE!$M$6:$M$1740,"NON CHARGÉ")</f>
        <v>4</v>
      </c>
      <c r="H33" s="21">
        <f>COUNTIFS(BASE!$A$6:$A$1740,A33,BASE!$M$6:$M$1740,"ANNULÉ")</f>
        <v>0</v>
      </c>
      <c r="I33" s="21">
        <v>669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spans="1:22">
      <c r="A34" s="22">
        <v>46294</v>
      </c>
      <c r="B34" s="21">
        <f>COUNTIF(BASE!$A$6:$A$1740,A34)</f>
        <v>8</v>
      </c>
      <c r="C34" s="21">
        <f>SUMIF(BASE!$A$6:$A$1740,A34,BASE!$F$6:$F$1740)</f>
        <v>8</v>
      </c>
      <c r="D34" s="21">
        <f t="shared" si="0"/>
        <v>535</v>
      </c>
      <c r="E34" s="21">
        <f>COUNTIFS(BASE!$A$6:$A$1740,A34,BASE!$M$6:$M$1740,"SAUVÉ")</f>
        <v>0</v>
      </c>
      <c r="F34" s="21">
        <f>COUNTIFS(BASE!$A$6:$A$1740,A34,BASE!$M$6:$M$1740,"CHARGÉ")</f>
        <v>3</v>
      </c>
      <c r="G34" s="21">
        <f>COUNTIFS(BASE!$A$6:$A$1740,A34,BASE!$M$6:$M$1740,"NON CHARGÉ")</f>
        <v>5</v>
      </c>
      <c r="H34" s="21">
        <f>COUNTIFS(BASE!$A$6:$A$1740,A34,BASE!$M$6:$M$1740,"ANNULÉ")</f>
        <v>0</v>
      </c>
      <c r="I34" s="21">
        <v>535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spans="1:22">
      <c r="A35" s="22">
        <v>46295</v>
      </c>
      <c r="B35" s="21">
        <f>COUNTIF(BASE!$A$6:$A$1740,A35)</f>
        <v>8</v>
      </c>
      <c r="C35" s="21">
        <f>SUMIF(BASE!$A$6:$A$1740,A35,BASE!$F$6:$F$1740)</f>
        <v>8</v>
      </c>
      <c r="D35" s="21">
        <f t="shared" si="0"/>
        <v>535</v>
      </c>
      <c r="E35" s="21">
        <f>COUNTIFS(BASE!$A$6:$A$1740,A35,BASE!$M$6:$M$1740,"SAUVÉ")</f>
        <v>2</v>
      </c>
      <c r="F35" s="21">
        <f>COUNTIFS(BASE!$A$6:$A$1740,A35,BASE!$M$6:$M$1740,"CHARGÉ")</f>
        <v>5</v>
      </c>
      <c r="G35" s="21">
        <f>COUNTIFS(BASE!$A$6:$A$1740,A35,BASE!$M$6:$M$1740,"NON CHARGÉ")</f>
        <v>1</v>
      </c>
      <c r="H35" s="21">
        <f>COUNTIFS(BASE!$A$6:$A$1740,A35,BASE!$M$6:$M$1740,"ANNULÉ")</f>
        <v>0</v>
      </c>
      <c r="I35" s="21">
        <v>535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spans="1:22" ht="24" customHeight="1">
      <c r="A36" s="2" t="s">
        <v>19</v>
      </c>
      <c r="B36" s="10">
        <f t="shared" ref="B36:I36" si="1">SUM(B6:B35)</f>
        <v>302</v>
      </c>
      <c r="C36" s="10">
        <f t="shared" si="1"/>
        <v>302</v>
      </c>
      <c r="D36" s="10">
        <f t="shared" si="1"/>
        <v>17510</v>
      </c>
      <c r="E36" s="10">
        <f t="shared" si="1"/>
        <v>44</v>
      </c>
      <c r="F36" s="10">
        <f t="shared" si="1"/>
        <v>82</v>
      </c>
      <c r="G36" s="10">
        <f t="shared" si="1"/>
        <v>176</v>
      </c>
      <c r="H36" s="21">
        <f t="shared" si="1"/>
        <v>0</v>
      </c>
      <c r="I36" s="21">
        <f t="shared" si="1"/>
        <v>17510</v>
      </c>
    </row>
  </sheetData>
  <mergeCells count="4">
    <mergeCell ref="A1:V2"/>
    <mergeCell ref="A3:V3"/>
    <mergeCell ref="A4:H4"/>
    <mergeCell ref="I4:V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4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8.796875" defaultRowHeight="13.8"/>
  <cols>
    <col min="1" max="1" width="15" customWidth="1"/>
    <col min="2" max="2" width="9" customWidth="1"/>
    <col min="3" max="4" width="13" customWidth="1"/>
    <col min="5" max="5" width="20" customWidth="1"/>
    <col min="6" max="6" width="12" customWidth="1"/>
    <col min="7" max="7" width="16" customWidth="1"/>
    <col min="8" max="8" width="14" customWidth="1"/>
    <col min="9" max="9" width="31" customWidth="1"/>
    <col min="10" max="11" width="35" customWidth="1"/>
    <col min="12" max="12" width="45" customWidth="1"/>
    <col min="13" max="13" width="16" customWidth="1"/>
    <col min="14" max="14" width="39" customWidth="1"/>
    <col min="16" max="16" width="19.296875" bestFit="1" customWidth="1"/>
    <col min="17" max="17" width="15.3984375" bestFit="1" customWidth="1"/>
    <col min="18" max="18" width="18.796875" bestFit="1" customWidth="1"/>
  </cols>
  <sheetData>
    <row r="1" spans="1:53" ht="27" customHeight="1">
      <c r="A1" s="27" t="s">
        <v>960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AZ1" t="s">
        <v>20</v>
      </c>
      <c r="BA1" t="s">
        <v>0</v>
      </c>
    </row>
    <row r="2" spans="1:53" ht="27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AZ2" t="s">
        <v>2</v>
      </c>
      <c r="BA2">
        <f>RÉCAPITULATIF!G6</f>
        <v>44</v>
      </c>
    </row>
    <row r="3" spans="1:53" ht="24" customHeight="1">
      <c r="A3" s="28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AZ3" t="s">
        <v>3</v>
      </c>
      <c r="BA3">
        <f>RÉCAPITULATIF!J6</f>
        <v>82</v>
      </c>
    </row>
    <row r="4" spans="1:53">
      <c r="A4" t="s">
        <v>50</v>
      </c>
      <c r="AZ4" t="s">
        <v>4</v>
      </c>
      <c r="BA4">
        <f>RÉCAPITULATIF!M6</f>
        <v>176</v>
      </c>
    </row>
    <row r="5" spans="1:53" ht="30" customHeight="1">
      <c r="A5" s="1" t="s">
        <v>26</v>
      </c>
      <c r="B5" s="1" t="s">
        <v>14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20</v>
      </c>
      <c r="N5" s="1" t="s">
        <v>37</v>
      </c>
      <c r="P5" t="s">
        <v>56</v>
      </c>
      <c r="Q5" t="s">
        <v>57</v>
      </c>
      <c r="R5" t="s">
        <v>58</v>
      </c>
      <c r="AZ5" t="s">
        <v>5</v>
      </c>
      <c r="BA5">
        <f>RÉCAPITULATIF!P6</f>
        <v>0</v>
      </c>
    </row>
    <row r="6" spans="1:53" ht="22.95" customHeight="1">
      <c r="A6" s="20">
        <v>46266</v>
      </c>
      <c r="B6" t="s">
        <v>18</v>
      </c>
      <c r="C6" t="s">
        <v>62</v>
      </c>
      <c r="D6" t="s">
        <v>63</v>
      </c>
      <c r="E6" t="s">
        <v>64</v>
      </c>
      <c r="F6">
        <v>1</v>
      </c>
      <c r="G6" t="s">
        <v>65</v>
      </c>
      <c r="I6" t="s">
        <v>66</v>
      </c>
      <c r="K6" t="s">
        <v>67</v>
      </c>
      <c r="L6" t="s">
        <v>68</v>
      </c>
      <c r="M6" t="s">
        <v>69</v>
      </c>
      <c r="N6" t="s">
        <v>70</v>
      </c>
      <c r="P6">
        <f t="shared" ref="P6:P69" si="0">COUNTIF($E$6:$E$1740,E6)</f>
        <v>1</v>
      </c>
      <c r="Q6" t="str">
        <f>IF(AND(P6&gt;1,COUNTIF($E$6:E6,E6)=1),MAX($Q$5:Q5)+1,"")</f>
        <v/>
      </c>
      <c r="R6" t="str">
        <f t="shared" ref="R6:R69" si="1">IF(Q6="","",IF(COUNTIFS($E$6:$E$1740,E6,$A$6:$A$1740,A6,$C$6:$C$1740,C6)&lt;P6,"LÉGITIME",IF(COUNTIFS($E$6:$E$1740,E6,$A$6:$A$1740,A6,$C$6:$C$1740,C6,$M$6:$M$1740,M6)&lt;P6,"STATUT DIFFÉRENT","VRAI DOUBLON")))</f>
        <v/>
      </c>
    </row>
    <row r="7" spans="1:53" ht="22.95" customHeight="1">
      <c r="A7" s="20">
        <v>46266</v>
      </c>
      <c r="B7" t="s">
        <v>18</v>
      </c>
      <c r="C7" t="s">
        <v>62</v>
      </c>
      <c r="D7" t="s">
        <v>63</v>
      </c>
      <c r="E7" t="s">
        <v>71</v>
      </c>
      <c r="F7">
        <v>1</v>
      </c>
      <c r="G7" t="s">
        <v>65</v>
      </c>
      <c r="I7" t="s">
        <v>66</v>
      </c>
      <c r="K7" t="s">
        <v>67</v>
      </c>
      <c r="L7" t="s">
        <v>68</v>
      </c>
      <c r="M7" t="s">
        <v>69</v>
      </c>
      <c r="N7" t="s">
        <v>70</v>
      </c>
      <c r="P7">
        <f t="shared" si="0"/>
        <v>1</v>
      </c>
      <c r="Q7" t="str">
        <f>IF(AND(P7&gt;1,COUNTIF($E$6:E7,E7)=1),MAX($Q$5:Q6)+1,"")</f>
        <v/>
      </c>
      <c r="R7" t="str">
        <f t="shared" si="1"/>
        <v/>
      </c>
    </row>
    <row r="8" spans="1:53" ht="22.95" customHeight="1">
      <c r="A8" s="20">
        <v>46266</v>
      </c>
      <c r="B8" t="s">
        <v>18</v>
      </c>
      <c r="C8" t="s">
        <v>62</v>
      </c>
      <c r="D8" t="s">
        <v>63</v>
      </c>
      <c r="E8" t="s">
        <v>72</v>
      </c>
      <c r="F8">
        <v>1</v>
      </c>
      <c r="G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P8">
        <f t="shared" si="0"/>
        <v>1</v>
      </c>
      <c r="Q8" t="str">
        <f>IF(AND(P8&gt;1,COUNTIF($E$6:E8,E8)=1),MAX($Q$5:Q7)+1,"")</f>
        <v/>
      </c>
      <c r="R8" t="str">
        <f t="shared" si="1"/>
        <v/>
      </c>
    </row>
    <row r="9" spans="1:53" ht="22.95" customHeight="1">
      <c r="A9" s="20">
        <v>46266</v>
      </c>
      <c r="B9" t="s">
        <v>18</v>
      </c>
      <c r="C9" t="s">
        <v>62</v>
      </c>
      <c r="D9" t="s">
        <v>63</v>
      </c>
      <c r="E9" t="s">
        <v>73</v>
      </c>
      <c r="F9">
        <v>1</v>
      </c>
      <c r="G9" t="s">
        <v>65</v>
      </c>
      <c r="I9" t="s">
        <v>66</v>
      </c>
      <c r="K9" t="s">
        <v>67</v>
      </c>
      <c r="L9" t="s">
        <v>68</v>
      </c>
      <c r="M9" t="s">
        <v>69</v>
      </c>
      <c r="N9" t="s">
        <v>70</v>
      </c>
      <c r="P9">
        <f t="shared" si="0"/>
        <v>1</v>
      </c>
      <c r="Q9" t="str">
        <f>IF(AND(P9&gt;1,COUNTIF($E$6:E9,E9)=1),MAX($Q$5:Q8)+1,"")</f>
        <v/>
      </c>
      <c r="R9" t="str">
        <f t="shared" si="1"/>
        <v/>
      </c>
    </row>
    <row r="10" spans="1:53" ht="22.95" customHeight="1">
      <c r="A10" s="20">
        <v>46267</v>
      </c>
      <c r="B10" t="s">
        <v>18</v>
      </c>
      <c r="C10" t="s">
        <v>74</v>
      </c>
      <c r="D10" t="s">
        <v>75</v>
      </c>
      <c r="E10" t="s">
        <v>76</v>
      </c>
      <c r="F10">
        <v>1</v>
      </c>
      <c r="G10" t="s">
        <v>77</v>
      </c>
      <c r="I10" t="s">
        <v>78</v>
      </c>
      <c r="K10" t="s">
        <v>78</v>
      </c>
      <c r="L10" t="s">
        <v>79</v>
      </c>
      <c r="M10" t="s">
        <v>69</v>
      </c>
      <c r="N10" t="s">
        <v>80</v>
      </c>
      <c r="P10">
        <f t="shared" si="0"/>
        <v>1</v>
      </c>
      <c r="Q10" t="str">
        <f>IF(AND(P10&gt;1,COUNTIF($E$6:E10,E10)=1),MAX($Q$5:Q9)+1,"")</f>
        <v/>
      </c>
      <c r="R10" t="str">
        <f t="shared" si="1"/>
        <v/>
      </c>
    </row>
    <row r="11" spans="1:53" ht="22.95" customHeight="1">
      <c r="A11" s="20">
        <v>46267</v>
      </c>
      <c r="B11" t="s">
        <v>18</v>
      </c>
      <c r="C11" t="s">
        <v>81</v>
      </c>
      <c r="D11" t="s">
        <v>82</v>
      </c>
      <c r="E11" t="s">
        <v>83</v>
      </c>
      <c r="F11">
        <v>1</v>
      </c>
      <c r="G11" t="s">
        <v>84</v>
      </c>
      <c r="I11" t="s">
        <v>85</v>
      </c>
      <c r="L11" t="s">
        <v>86</v>
      </c>
      <c r="M11" t="s">
        <v>69</v>
      </c>
      <c r="N11" t="s">
        <v>70</v>
      </c>
      <c r="P11">
        <f t="shared" si="0"/>
        <v>1</v>
      </c>
      <c r="Q11" t="str">
        <f>IF(AND(P11&gt;1,COUNTIF($E$6:E11,E11)=1),MAX($Q$5:Q10)+1,"")</f>
        <v/>
      </c>
      <c r="R11" t="str">
        <f t="shared" si="1"/>
        <v/>
      </c>
    </row>
    <row r="12" spans="1:53" ht="22.95" customHeight="1">
      <c r="A12" s="20">
        <v>46267</v>
      </c>
      <c r="B12" t="s">
        <v>18</v>
      </c>
      <c r="C12" t="s">
        <v>87</v>
      </c>
      <c r="D12" t="s">
        <v>88</v>
      </c>
      <c r="E12" t="s">
        <v>89</v>
      </c>
      <c r="F12">
        <v>1</v>
      </c>
      <c r="G12" t="s">
        <v>39</v>
      </c>
      <c r="I12" t="s">
        <v>90</v>
      </c>
      <c r="K12" t="s">
        <v>90</v>
      </c>
      <c r="L12" t="s">
        <v>91</v>
      </c>
      <c r="M12" t="s">
        <v>92</v>
      </c>
      <c r="P12">
        <f t="shared" si="0"/>
        <v>1</v>
      </c>
      <c r="Q12" t="str">
        <f>IF(AND(P12&gt;1,COUNTIF($E$6:E12,E12)=1),MAX($Q$5:Q11)+1,"")</f>
        <v/>
      </c>
      <c r="R12" t="str">
        <f t="shared" si="1"/>
        <v/>
      </c>
    </row>
    <row r="13" spans="1:53" ht="22.95" customHeight="1">
      <c r="A13" s="20">
        <v>46267</v>
      </c>
      <c r="B13" t="s">
        <v>18</v>
      </c>
      <c r="C13" t="s">
        <v>87</v>
      </c>
      <c r="D13" t="s">
        <v>88</v>
      </c>
      <c r="E13" t="s">
        <v>93</v>
      </c>
      <c r="F13">
        <v>1</v>
      </c>
      <c r="G13" t="s">
        <v>39</v>
      </c>
      <c r="I13" t="s">
        <v>90</v>
      </c>
      <c r="K13" t="s">
        <v>94</v>
      </c>
      <c r="L13" t="s">
        <v>95</v>
      </c>
      <c r="M13" t="s">
        <v>69</v>
      </c>
      <c r="N13" t="s">
        <v>96</v>
      </c>
      <c r="P13">
        <f t="shared" si="0"/>
        <v>1</v>
      </c>
      <c r="Q13" t="str">
        <f>IF(AND(P13&gt;1,COUNTIF($E$6:E13,E13)=1),MAX($Q$5:Q12)+1,"")</f>
        <v/>
      </c>
      <c r="R13" t="str">
        <f t="shared" si="1"/>
        <v/>
      </c>
    </row>
    <row r="14" spans="1:53" ht="22.95" customHeight="1">
      <c r="A14" s="20">
        <v>46267</v>
      </c>
      <c r="B14" t="s">
        <v>18</v>
      </c>
      <c r="C14" t="s">
        <v>97</v>
      </c>
      <c r="D14" t="s">
        <v>98</v>
      </c>
      <c r="E14" t="s">
        <v>99</v>
      </c>
      <c r="F14">
        <v>1</v>
      </c>
      <c r="G14" t="s">
        <v>65</v>
      </c>
      <c r="I14" t="s">
        <v>78</v>
      </c>
      <c r="J14" t="s">
        <v>100</v>
      </c>
      <c r="K14" t="s">
        <v>67</v>
      </c>
      <c r="L14" t="s">
        <v>101</v>
      </c>
      <c r="M14" t="s">
        <v>92</v>
      </c>
      <c r="P14">
        <f t="shared" si="0"/>
        <v>1</v>
      </c>
      <c r="Q14" t="str">
        <f>IF(AND(P14&gt;1,COUNTIF($E$6:E14,E14)=1),MAX($Q$5:Q13)+1,"")</f>
        <v/>
      </c>
      <c r="R14" t="str">
        <f t="shared" si="1"/>
        <v/>
      </c>
    </row>
    <row r="15" spans="1:53" ht="22.95" customHeight="1">
      <c r="A15" s="20">
        <v>46268</v>
      </c>
      <c r="B15" t="s">
        <v>18</v>
      </c>
      <c r="C15" t="s">
        <v>102</v>
      </c>
      <c r="D15" t="s">
        <v>103</v>
      </c>
      <c r="E15" t="s">
        <v>104</v>
      </c>
      <c r="F15">
        <v>1</v>
      </c>
      <c r="G15" t="s">
        <v>39</v>
      </c>
      <c r="I15" t="s">
        <v>105</v>
      </c>
      <c r="K15" t="s">
        <v>106</v>
      </c>
      <c r="L15" t="s">
        <v>107</v>
      </c>
      <c r="M15" t="s">
        <v>69</v>
      </c>
      <c r="N15" t="s">
        <v>108</v>
      </c>
      <c r="P15">
        <f t="shared" si="0"/>
        <v>1</v>
      </c>
      <c r="Q15" t="str">
        <f>IF(AND(P15&gt;1,COUNTIF($E$6:E15,E15)=1),MAX($Q$5:Q14)+1,"")</f>
        <v/>
      </c>
      <c r="R15" t="str">
        <f t="shared" si="1"/>
        <v/>
      </c>
    </row>
    <row r="16" spans="1:53" ht="22.95" customHeight="1">
      <c r="A16" s="20">
        <v>46268</v>
      </c>
      <c r="B16" t="s">
        <v>18</v>
      </c>
      <c r="C16" t="s">
        <v>102</v>
      </c>
      <c r="D16" t="s">
        <v>103</v>
      </c>
      <c r="E16" t="s">
        <v>109</v>
      </c>
      <c r="F16">
        <v>1</v>
      </c>
      <c r="G16" t="s">
        <v>39</v>
      </c>
      <c r="I16" t="s">
        <v>110</v>
      </c>
      <c r="L16" t="s">
        <v>111</v>
      </c>
      <c r="M16" t="s">
        <v>69</v>
      </c>
      <c r="N16" t="s">
        <v>108</v>
      </c>
      <c r="P16">
        <f t="shared" si="0"/>
        <v>1</v>
      </c>
      <c r="Q16" t="str">
        <f>IF(AND(P16&gt;1,COUNTIF($E$6:E16,E16)=1),MAX($Q$5:Q15)+1,"")</f>
        <v/>
      </c>
      <c r="R16" t="str">
        <f t="shared" si="1"/>
        <v/>
      </c>
    </row>
    <row r="17" spans="1:18" ht="22.95" customHeight="1">
      <c r="A17" s="20">
        <v>46268</v>
      </c>
      <c r="B17" t="s">
        <v>18</v>
      </c>
      <c r="C17" t="s">
        <v>102</v>
      </c>
      <c r="D17" t="s">
        <v>103</v>
      </c>
      <c r="E17" t="s">
        <v>112</v>
      </c>
      <c r="F17">
        <v>1</v>
      </c>
      <c r="G17" t="s">
        <v>113</v>
      </c>
      <c r="H17" t="s">
        <v>114</v>
      </c>
      <c r="I17" t="s">
        <v>110</v>
      </c>
      <c r="K17" t="s">
        <v>115</v>
      </c>
      <c r="L17" t="s">
        <v>116</v>
      </c>
      <c r="M17" t="s">
        <v>69</v>
      </c>
      <c r="N17" t="s">
        <v>108</v>
      </c>
      <c r="P17">
        <f t="shared" si="0"/>
        <v>1</v>
      </c>
      <c r="Q17" t="str">
        <f>IF(AND(P17&gt;1,COUNTIF($E$6:E17,E17)=1),MAX($Q$5:Q16)+1,"")</f>
        <v/>
      </c>
      <c r="R17" t="str">
        <f t="shared" si="1"/>
        <v/>
      </c>
    </row>
    <row r="18" spans="1:18" ht="22.95" customHeight="1">
      <c r="A18" s="20">
        <v>46268</v>
      </c>
      <c r="B18" t="s">
        <v>18</v>
      </c>
      <c r="C18" t="s">
        <v>81</v>
      </c>
      <c r="D18" t="s">
        <v>82</v>
      </c>
      <c r="E18" t="s">
        <v>117</v>
      </c>
      <c r="F18">
        <v>1</v>
      </c>
      <c r="G18" t="s">
        <v>39</v>
      </c>
      <c r="I18" t="s">
        <v>118</v>
      </c>
      <c r="L18" t="s">
        <v>119</v>
      </c>
      <c r="M18" t="s">
        <v>69</v>
      </c>
      <c r="N18" t="s">
        <v>96</v>
      </c>
      <c r="P18">
        <f t="shared" si="0"/>
        <v>1</v>
      </c>
      <c r="Q18" t="str">
        <f>IF(AND(P18&gt;1,COUNTIF($E$6:E18,E18)=1),MAX($Q$5:Q17)+1,"")</f>
        <v/>
      </c>
      <c r="R18" t="str">
        <f t="shared" si="1"/>
        <v/>
      </c>
    </row>
    <row r="19" spans="1:18" ht="22.95" customHeight="1">
      <c r="A19" s="20">
        <v>46268</v>
      </c>
      <c r="B19" t="s">
        <v>18</v>
      </c>
      <c r="C19" t="s">
        <v>81</v>
      </c>
      <c r="D19" t="s">
        <v>82</v>
      </c>
      <c r="E19" t="s">
        <v>120</v>
      </c>
      <c r="F19">
        <v>1</v>
      </c>
      <c r="G19" t="s">
        <v>39</v>
      </c>
      <c r="I19" t="s">
        <v>121</v>
      </c>
      <c r="K19" t="s">
        <v>122</v>
      </c>
      <c r="L19" t="s">
        <v>123</v>
      </c>
      <c r="M19" t="s">
        <v>69</v>
      </c>
      <c r="N19" t="s">
        <v>96</v>
      </c>
      <c r="P19">
        <f t="shared" si="0"/>
        <v>1</v>
      </c>
      <c r="Q19" t="str">
        <f>IF(AND(P19&gt;1,COUNTIF($E$6:E19,E19)=1),MAX($Q$5:Q18)+1,"")</f>
        <v/>
      </c>
      <c r="R19" t="str">
        <f t="shared" si="1"/>
        <v/>
      </c>
    </row>
    <row r="20" spans="1:18" ht="22.95" customHeight="1">
      <c r="A20" s="20">
        <v>46268</v>
      </c>
      <c r="B20" t="s">
        <v>18</v>
      </c>
      <c r="C20" t="s">
        <v>81</v>
      </c>
      <c r="D20" t="s">
        <v>82</v>
      </c>
      <c r="E20" t="s">
        <v>124</v>
      </c>
      <c r="F20">
        <v>1</v>
      </c>
      <c r="G20" t="s">
        <v>125</v>
      </c>
      <c r="H20" t="s">
        <v>126</v>
      </c>
      <c r="I20" t="s">
        <v>127</v>
      </c>
      <c r="K20" t="s">
        <v>122</v>
      </c>
      <c r="L20" t="s">
        <v>128</v>
      </c>
      <c r="M20" t="s">
        <v>69</v>
      </c>
      <c r="N20" t="s">
        <v>96</v>
      </c>
      <c r="P20">
        <f t="shared" si="0"/>
        <v>1</v>
      </c>
      <c r="Q20" t="str">
        <f>IF(AND(P20&gt;1,COUNTIF($E$6:E20,E20)=1),MAX($Q$5:Q19)+1,"")</f>
        <v/>
      </c>
      <c r="R20" t="str">
        <f t="shared" si="1"/>
        <v/>
      </c>
    </row>
    <row r="21" spans="1:18" ht="22.95" customHeight="1">
      <c r="A21" s="20">
        <v>46268</v>
      </c>
      <c r="B21" t="s">
        <v>18</v>
      </c>
      <c r="C21" t="s">
        <v>81</v>
      </c>
      <c r="D21" t="s">
        <v>82</v>
      </c>
      <c r="E21" t="s">
        <v>129</v>
      </c>
      <c r="F21">
        <v>1</v>
      </c>
      <c r="G21" t="s">
        <v>125</v>
      </c>
      <c r="H21" t="s">
        <v>126</v>
      </c>
      <c r="I21" t="s">
        <v>130</v>
      </c>
      <c r="K21" t="s">
        <v>122</v>
      </c>
      <c r="L21" t="s">
        <v>128</v>
      </c>
      <c r="M21" t="s">
        <v>69</v>
      </c>
      <c r="N21" t="s">
        <v>96</v>
      </c>
      <c r="P21">
        <f t="shared" si="0"/>
        <v>1</v>
      </c>
      <c r="Q21" t="str">
        <f>IF(AND(P21&gt;1,COUNTIF($E$6:E21,E21)=1),MAX($Q$5:Q20)+1,"")</f>
        <v/>
      </c>
      <c r="R21" t="str">
        <f t="shared" si="1"/>
        <v/>
      </c>
    </row>
    <row r="22" spans="1:18" ht="22.95" customHeight="1">
      <c r="A22" s="20">
        <v>46268</v>
      </c>
      <c r="B22" t="s">
        <v>18</v>
      </c>
      <c r="C22" t="s">
        <v>81</v>
      </c>
      <c r="D22" t="s">
        <v>82</v>
      </c>
      <c r="E22" t="s">
        <v>131</v>
      </c>
      <c r="F22">
        <v>1</v>
      </c>
      <c r="G22" t="s">
        <v>125</v>
      </c>
      <c r="H22" t="s">
        <v>126</v>
      </c>
      <c r="I22" t="s">
        <v>127</v>
      </c>
      <c r="K22" t="s">
        <v>122</v>
      </c>
      <c r="L22" t="s">
        <v>128</v>
      </c>
      <c r="M22" t="s">
        <v>69</v>
      </c>
      <c r="N22" t="s">
        <v>96</v>
      </c>
      <c r="P22">
        <f t="shared" si="0"/>
        <v>1</v>
      </c>
      <c r="Q22" t="str">
        <f>IF(AND(P22&gt;1,COUNTIF($E$6:E22,E22)=1),MAX($Q$5:Q21)+1,"")</f>
        <v/>
      </c>
      <c r="R22" t="str">
        <f t="shared" si="1"/>
        <v/>
      </c>
    </row>
    <row r="23" spans="1:18" ht="22.95" customHeight="1">
      <c r="A23" s="20">
        <v>46268</v>
      </c>
      <c r="B23" t="s">
        <v>18</v>
      </c>
      <c r="C23" t="s">
        <v>81</v>
      </c>
      <c r="D23" t="s">
        <v>82</v>
      </c>
      <c r="E23" t="s">
        <v>132</v>
      </c>
      <c r="F23">
        <v>1</v>
      </c>
      <c r="G23" t="s">
        <v>113</v>
      </c>
      <c r="H23" t="s">
        <v>114</v>
      </c>
      <c r="I23" t="s">
        <v>133</v>
      </c>
      <c r="K23" t="s">
        <v>122</v>
      </c>
      <c r="L23" t="s">
        <v>134</v>
      </c>
      <c r="M23" t="s">
        <v>69</v>
      </c>
      <c r="N23" t="s">
        <v>96</v>
      </c>
      <c r="P23">
        <f t="shared" si="0"/>
        <v>1</v>
      </c>
      <c r="Q23" t="str">
        <f>IF(AND(P23&gt;1,COUNTIF($E$6:E23,E23)=1),MAX($Q$5:Q22)+1,"")</f>
        <v/>
      </c>
      <c r="R23" t="str">
        <f t="shared" si="1"/>
        <v/>
      </c>
    </row>
    <row r="24" spans="1:18" ht="22.95" customHeight="1">
      <c r="A24" s="20">
        <v>46268</v>
      </c>
      <c r="B24" t="s">
        <v>18</v>
      </c>
      <c r="C24" t="s">
        <v>81</v>
      </c>
      <c r="D24" t="s">
        <v>82</v>
      </c>
      <c r="E24" t="s">
        <v>135</v>
      </c>
      <c r="F24">
        <v>1</v>
      </c>
      <c r="G24" t="s">
        <v>113</v>
      </c>
      <c r="H24" t="s">
        <v>114</v>
      </c>
      <c r="I24" t="s">
        <v>136</v>
      </c>
      <c r="K24" t="s">
        <v>122</v>
      </c>
      <c r="L24" t="s">
        <v>134</v>
      </c>
      <c r="M24" t="s">
        <v>69</v>
      </c>
      <c r="N24" t="s">
        <v>96</v>
      </c>
      <c r="P24">
        <f t="shared" si="0"/>
        <v>1</v>
      </c>
      <c r="Q24" t="str">
        <f>IF(AND(P24&gt;1,COUNTIF($E$6:E24,E24)=1),MAX($Q$5:Q23)+1,"")</f>
        <v/>
      </c>
      <c r="R24" t="str">
        <f t="shared" si="1"/>
        <v/>
      </c>
    </row>
    <row r="25" spans="1:18" ht="22.95" customHeight="1">
      <c r="A25" s="20">
        <v>46268</v>
      </c>
      <c r="B25" t="s">
        <v>18</v>
      </c>
      <c r="C25" t="s">
        <v>81</v>
      </c>
      <c r="D25" t="s">
        <v>82</v>
      </c>
      <c r="E25" t="s">
        <v>137</v>
      </c>
      <c r="F25">
        <v>1</v>
      </c>
      <c r="G25" t="s">
        <v>113</v>
      </c>
      <c r="H25" t="s">
        <v>114</v>
      </c>
      <c r="I25" t="s">
        <v>136</v>
      </c>
      <c r="K25" t="s">
        <v>122</v>
      </c>
      <c r="L25" t="s">
        <v>134</v>
      </c>
      <c r="M25" t="s">
        <v>69</v>
      </c>
      <c r="N25" t="s">
        <v>96</v>
      </c>
      <c r="P25">
        <f t="shared" si="0"/>
        <v>1</v>
      </c>
      <c r="Q25" t="str">
        <f>IF(AND(P25&gt;1,COUNTIF($E$6:E25,E25)=1),MAX($Q$5:Q24)+1,"")</f>
        <v/>
      </c>
      <c r="R25" t="str">
        <f t="shared" si="1"/>
        <v/>
      </c>
    </row>
    <row r="26" spans="1:18" ht="22.95" customHeight="1">
      <c r="A26" s="20">
        <v>46268</v>
      </c>
      <c r="B26" t="s">
        <v>18</v>
      </c>
      <c r="C26" t="s">
        <v>81</v>
      </c>
      <c r="D26" t="s">
        <v>82</v>
      </c>
      <c r="E26" t="s">
        <v>138</v>
      </c>
      <c r="F26">
        <v>1</v>
      </c>
      <c r="G26" t="s">
        <v>113</v>
      </c>
      <c r="H26" t="s">
        <v>114</v>
      </c>
      <c r="I26" t="s">
        <v>136</v>
      </c>
      <c r="K26" t="s">
        <v>122</v>
      </c>
      <c r="L26" t="s">
        <v>134</v>
      </c>
      <c r="M26" t="s">
        <v>69</v>
      </c>
      <c r="N26" t="s">
        <v>96</v>
      </c>
      <c r="P26">
        <f t="shared" si="0"/>
        <v>1</v>
      </c>
      <c r="Q26" t="str">
        <f>IF(AND(P26&gt;1,COUNTIF($E$6:E26,E26)=1),MAX($Q$5:Q25)+1,"")</f>
        <v/>
      </c>
      <c r="R26" t="str">
        <f t="shared" si="1"/>
        <v/>
      </c>
    </row>
    <row r="27" spans="1:18" ht="22.95" customHeight="1">
      <c r="A27" s="20">
        <v>46268</v>
      </c>
      <c r="B27" t="s">
        <v>18</v>
      </c>
      <c r="C27" t="s">
        <v>81</v>
      </c>
      <c r="D27" t="s">
        <v>82</v>
      </c>
      <c r="E27" t="s">
        <v>139</v>
      </c>
      <c r="F27">
        <v>1</v>
      </c>
      <c r="G27" t="s">
        <v>113</v>
      </c>
      <c r="H27" t="s">
        <v>114</v>
      </c>
      <c r="I27" t="s">
        <v>67</v>
      </c>
      <c r="K27" t="s">
        <v>78</v>
      </c>
      <c r="L27" t="s">
        <v>134</v>
      </c>
      <c r="M27" t="s">
        <v>69</v>
      </c>
      <c r="N27" t="s">
        <v>96</v>
      </c>
      <c r="P27">
        <f t="shared" si="0"/>
        <v>1</v>
      </c>
      <c r="Q27" t="str">
        <f>IF(AND(P27&gt;1,COUNTIF($E$6:E27,E27)=1),MAX($Q$5:Q26)+1,"")</f>
        <v/>
      </c>
      <c r="R27" t="str">
        <f t="shared" si="1"/>
        <v/>
      </c>
    </row>
    <row r="28" spans="1:18" ht="22.95" customHeight="1">
      <c r="A28" s="20">
        <v>46268</v>
      </c>
      <c r="B28" t="s">
        <v>18</v>
      </c>
      <c r="C28" t="s">
        <v>81</v>
      </c>
      <c r="D28" t="s">
        <v>82</v>
      </c>
      <c r="E28" t="s">
        <v>140</v>
      </c>
      <c r="F28">
        <v>1</v>
      </c>
      <c r="G28" t="s">
        <v>39</v>
      </c>
      <c r="I28" t="s">
        <v>141</v>
      </c>
      <c r="K28" t="s">
        <v>122</v>
      </c>
      <c r="L28" t="s">
        <v>142</v>
      </c>
      <c r="M28" t="s">
        <v>69</v>
      </c>
      <c r="N28" t="s">
        <v>143</v>
      </c>
      <c r="P28">
        <f t="shared" si="0"/>
        <v>1</v>
      </c>
      <c r="Q28" t="str">
        <f>IF(AND(P28&gt;1,COUNTIF($E$6:E28,E28)=1),MAX($Q$5:Q27)+1,"")</f>
        <v/>
      </c>
      <c r="R28" t="str">
        <f t="shared" si="1"/>
        <v/>
      </c>
    </row>
    <row r="29" spans="1:18" ht="22.95" customHeight="1">
      <c r="A29" s="20">
        <v>46268</v>
      </c>
      <c r="B29" t="s">
        <v>18</v>
      </c>
      <c r="C29" t="s">
        <v>81</v>
      </c>
      <c r="D29" t="s">
        <v>82</v>
      </c>
      <c r="E29" t="s">
        <v>144</v>
      </c>
      <c r="F29">
        <v>1</v>
      </c>
      <c r="G29" t="s">
        <v>145</v>
      </c>
      <c r="H29" t="s">
        <v>146</v>
      </c>
      <c r="I29" t="s">
        <v>147</v>
      </c>
      <c r="K29" t="s">
        <v>122</v>
      </c>
      <c r="L29" t="s">
        <v>148</v>
      </c>
      <c r="M29" t="s">
        <v>69</v>
      </c>
      <c r="N29" t="s">
        <v>143</v>
      </c>
      <c r="P29">
        <f t="shared" si="0"/>
        <v>1</v>
      </c>
      <c r="Q29" t="str">
        <f>IF(AND(P29&gt;1,COUNTIF($E$6:E29,E29)=1),MAX($Q$5:Q28)+1,"")</f>
        <v/>
      </c>
      <c r="R29" t="str">
        <f t="shared" si="1"/>
        <v/>
      </c>
    </row>
    <row r="30" spans="1:18" ht="22.95" customHeight="1">
      <c r="A30" s="20">
        <v>46268</v>
      </c>
      <c r="B30" t="s">
        <v>18</v>
      </c>
      <c r="C30" t="s">
        <v>81</v>
      </c>
      <c r="D30" t="s">
        <v>82</v>
      </c>
      <c r="E30" t="s">
        <v>149</v>
      </c>
      <c r="F30">
        <v>1</v>
      </c>
      <c r="G30" t="s">
        <v>125</v>
      </c>
      <c r="H30" t="s">
        <v>126</v>
      </c>
      <c r="I30" t="s">
        <v>67</v>
      </c>
      <c r="K30" t="s">
        <v>78</v>
      </c>
      <c r="L30" t="s">
        <v>150</v>
      </c>
      <c r="M30" t="s">
        <v>69</v>
      </c>
      <c r="N30" t="s">
        <v>80</v>
      </c>
      <c r="P30">
        <f t="shared" si="0"/>
        <v>1</v>
      </c>
      <c r="Q30" t="str">
        <f>IF(AND(P30&gt;1,COUNTIF($E$6:E30,E30)=1),MAX($Q$5:Q29)+1,"")</f>
        <v/>
      </c>
      <c r="R30" t="str">
        <f t="shared" si="1"/>
        <v/>
      </c>
    </row>
    <row r="31" spans="1:18" ht="22.95" customHeight="1">
      <c r="A31" s="20">
        <v>46268</v>
      </c>
      <c r="B31" t="s">
        <v>18</v>
      </c>
      <c r="C31" t="s">
        <v>81</v>
      </c>
      <c r="D31" t="s">
        <v>82</v>
      </c>
      <c r="E31" t="s">
        <v>151</v>
      </c>
      <c r="F31">
        <v>1</v>
      </c>
      <c r="G31" t="s">
        <v>113</v>
      </c>
      <c r="H31" t="s">
        <v>114</v>
      </c>
      <c r="I31" t="s">
        <v>67</v>
      </c>
      <c r="K31" t="s">
        <v>78</v>
      </c>
      <c r="L31" t="s">
        <v>152</v>
      </c>
      <c r="M31" t="s">
        <v>69</v>
      </c>
      <c r="N31" t="s">
        <v>96</v>
      </c>
      <c r="P31">
        <f t="shared" si="0"/>
        <v>1</v>
      </c>
      <c r="Q31" t="str">
        <f>IF(AND(P31&gt;1,COUNTIF($E$6:E31,E31)=1),MAX($Q$5:Q30)+1,"")</f>
        <v/>
      </c>
      <c r="R31" t="str">
        <f t="shared" si="1"/>
        <v/>
      </c>
    </row>
    <row r="32" spans="1:18" ht="22.95" customHeight="1">
      <c r="A32" s="20">
        <v>46268</v>
      </c>
      <c r="B32" t="s">
        <v>18</v>
      </c>
      <c r="C32" t="s">
        <v>81</v>
      </c>
      <c r="D32" t="s">
        <v>82</v>
      </c>
      <c r="E32" t="s">
        <v>153</v>
      </c>
      <c r="F32">
        <v>1</v>
      </c>
      <c r="G32" t="s">
        <v>125</v>
      </c>
      <c r="H32" t="s">
        <v>126</v>
      </c>
      <c r="I32" t="s">
        <v>67</v>
      </c>
      <c r="J32" t="s">
        <v>154</v>
      </c>
      <c r="K32" t="s">
        <v>78</v>
      </c>
      <c r="L32" t="s">
        <v>155</v>
      </c>
      <c r="M32" t="s">
        <v>92</v>
      </c>
      <c r="P32">
        <f t="shared" si="0"/>
        <v>1</v>
      </c>
      <c r="Q32" t="str">
        <f>IF(AND(P32&gt;1,COUNTIF($E$6:E32,E32)=1),MAX($Q$5:Q31)+1,"")</f>
        <v/>
      </c>
      <c r="R32" t="str">
        <f t="shared" si="1"/>
        <v/>
      </c>
    </row>
    <row r="33" spans="1:18" ht="22.95" customHeight="1">
      <c r="A33" s="20">
        <v>46268</v>
      </c>
      <c r="B33" t="s">
        <v>18</v>
      </c>
      <c r="C33" t="s">
        <v>81</v>
      </c>
      <c r="D33" t="s">
        <v>82</v>
      </c>
      <c r="E33" t="s">
        <v>156</v>
      </c>
      <c r="F33">
        <v>1</v>
      </c>
      <c r="G33" t="s">
        <v>125</v>
      </c>
      <c r="H33" t="s">
        <v>126</v>
      </c>
      <c r="I33" t="s">
        <v>67</v>
      </c>
      <c r="K33" t="s">
        <v>78</v>
      </c>
      <c r="L33" t="s">
        <v>157</v>
      </c>
      <c r="M33" t="s">
        <v>69</v>
      </c>
      <c r="N33" t="s">
        <v>80</v>
      </c>
      <c r="P33">
        <f t="shared" si="0"/>
        <v>1</v>
      </c>
      <c r="Q33" t="str">
        <f>IF(AND(P33&gt;1,COUNTIF($E$6:E33,E33)=1),MAX($Q$5:Q32)+1,"")</f>
        <v/>
      </c>
      <c r="R33" t="str">
        <f t="shared" si="1"/>
        <v/>
      </c>
    </row>
    <row r="34" spans="1:18" ht="22.95" customHeight="1">
      <c r="A34" s="20">
        <v>46268</v>
      </c>
      <c r="B34" t="s">
        <v>18</v>
      </c>
      <c r="C34" t="s">
        <v>87</v>
      </c>
      <c r="D34" t="s">
        <v>88</v>
      </c>
      <c r="E34" t="s">
        <v>158</v>
      </c>
      <c r="F34">
        <v>1</v>
      </c>
      <c r="G34" t="s">
        <v>39</v>
      </c>
      <c r="I34" t="s">
        <v>67</v>
      </c>
      <c r="J34" t="s">
        <v>159</v>
      </c>
      <c r="L34" t="s">
        <v>160</v>
      </c>
      <c r="M34" t="s">
        <v>92</v>
      </c>
      <c r="P34">
        <f t="shared" si="0"/>
        <v>1</v>
      </c>
      <c r="Q34" t="str">
        <f>IF(AND(P34&gt;1,COUNTIF($E$6:E34,E34)=1),MAX($Q$5:Q33)+1,"")</f>
        <v/>
      </c>
      <c r="R34" t="str">
        <f t="shared" si="1"/>
        <v/>
      </c>
    </row>
    <row r="35" spans="1:18" ht="22.95" customHeight="1">
      <c r="A35" s="20">
        <v>46268</v>
      </c>
      <c r="B35" t="s">
        <v>18</v>
      </c>
      <c r="C35" t="s">
        <v>81</v>
      </c>
      <c r="D35" t="s">
        <v>161</v>
      </c>
      <c r="E35" t="s">
        <v>162</v>
      </c>
      <c r="F35">
        <v>1</v>
      </c>
      <c r="G35" t="s">
        <v>39</v>
      </c>
      <c r="I35" t="s">
        <v>67</v>
      </c>
      <c r="J35" t="s">
        <v>163</v>
      </c>
      <c r="K35" t="s">
        <v>78</v>
      </c>
      <c r="L35" t="s">
        <v>164</v>
      </c>
      <c r="M35" t="s">
        <v>38</v>
      </c>
      <c r="P35">
        <f t="shared" si="0"/>
        <v>1</v>
      </c>
      <c r="Q35" t="str">
        <f>IF(AND(P35&gt;1,COUNTIF($E$6:E35,E35)=1),MAX($Q$5:Q34)+1,"")</f>
        <v/>
      </c>
      <c r="R35" t="str">
        <f t="shared" si="1"/>
        <v/>
      </c>
    </row>
    <row r="36" spans="1:18" ht="22.95" customHeight="1">
      <c r="A36" s="20">
        <v>46268</v>
      </c>
      <c r="B36" t="s">
        <v>18</v>
      </c>
      <c r="C36" t="s">
        <v>81</v>
      </c>
      <c r="D36" t="s">
        <v>98</v>
      </c>
      <c r="E36" t="s">
        <v>165</v>
      </c>
      <c r="F36">
        <v>1</v>
      </c>
      <c r="G36" t="s">
        <v>65</v>
      </c>
      <c r="I36" t="s">
        <v>66</v>
      </c>
      <c r="K36" t="s">
        <v>166</v>
      </c>
      <c r="L36" t="s">
        <v>167</v>
      </c>
      <c r="M36" t="s">
        <v>38</v>
      </c>
      <c r="P36">
        <f t="shared" si="0"/>
        <v>1</v>
      </c>
      <c r="Q36" t="str">
        <f>IF(AND(P36&gt;1,COUNTIF($E$6:E36,E36)=1),MAX($Q$5:Q35)+1,"")</f>
        <v/>
      </c>
      <c r="R36" t="str">
        <f t="shared" si="1"/>
        <v/>
      </c>
    </row>
    <row r="37" spans="1:18" ht="22.95" customHeight="1">
      <c r="A37" s="20">
        <v>46268</v>
      </c>
      <c r="B37" t="s">
        <v>18</v>
      </c>
      <c r="C37" t="s">
        <v>81</v>
      </c>
      <c r="D37" t="s">
        <v>98</v>
      </c>
      <c r="E37" t="s">
        <v>168</v>
      </c>
      <c r="F37">
        <v>1</v>
      </c>
      <c r="G37" t="s">
        <v>65</v>
      </c>
      <c r="I37" t="s">
        <v>169</v>
      </c>
      <c r="K37" t="s">
        <v>40</v>
      </c>
      <c r="L37" t="s">
        <v>170</v>
      </c>
      <c r="M37" t="s">
        <v>38</v>
      </c>
      <c r="P37">
        <f t="shared" si="0"/>
        <v>1</v>
      </c>
      <c r="Q37" t="str">
        <f>IF(AND(P37&gt;1,COUNTIF($E$6:E37,E37)=1),MAX($Q$5:Q36)+1,"")</f>
        <v/>
      </c>
      <c r="R37" t="str">
        <f t="shared" si="1"/>
        <v/>
      </c>
    </row>
    <row r="38" spans="1:18" ht="22.95" customHeight="1">
      <c r="A38" s="20">
        <v>46269</v>
      </c>
      <c r="B38" t="s">
        <v>18</v>
      </c>
      <c r="C38" t="s">
        <v>74</v>
      </c>
      <c r="D38" t="s">
        <v>75</v>
      </c>
      <c r="E38" t="s">
        <v>171</v>
      </c>
      <c r="F38">
        <v>1</v>
      </c>
      <c r="G38" t="s">
        <v>172</v>
      </c>
      <c r="H38" t="s">
        <v>173</v>
      </c>
      <c r="I38" t="s">
        <v>174</v>
      </c>
      <c r="K38" t="s">
        <v>175</v>
      </c>
      <c r="L38" t="s">
        <v>176</v>
      </c>
      <c r="M38" t="s">
        <v>38</v>
      </c>
      <c r="P38">
        <f t="shared" si="0"/>
        <v>1</v>
      </c>
      <c r="Q38" t="str">
        <f>IF(AND(P38&gt;1,COUNTIF($E$6:E38,E38)=1),MAX($Q$5:Q37)+1,"")</f>
        <v/>
      </c>
      <c r="R38" t="str">
        <f t="shared" si="1"/>
        <v/>
      </c>
    </row>
    <row r="39" spans="1:18" ht="22.95" customHeight="1">
      <c r="A39" s="20">
        <v>46269</v>
      </c>
      <c r="B39" t="s">
        <v>18</v>
      </c>
      <c r="C39" t="s">
        <v>74</v>
      </c>
      <c r="D39" t="s">
        <v>75</v>
      </c>
      <c r="E39" t="s">
        <v>177</v>
      </c>
      <c r="F39">
        <v>1</v>
      </c>
      <c r="H39" t="s">
        <v>173</v>
      </c>
      <c r="I39" t="s">
        <v>178</v>
      </c>
      <c r="L39" t="s">
        <v>179</v>
      </c>
      <c r="M39" t="s">
        <v>69</v>
      </c>
      <c r="N39" t="s">
        <v>143</v>
      </c>
      <c r="P39">
        <f t="shared" si="0"/>
        <v>1</v>
      </c>
      <c r="Q39" t="str">
        <f>IF(AND(P39&gt;1,COUNTIF($E$6:E39,E39)=1),MAX($Q$5:Q38)+1,"")</f>
        <v/>
      </c>
      <c r="R39" t="str">
        <f t="shared" si="1"/>
        <v/>
      </c>
    </row>
    <row r="40" spans="1:18" ht="22.95" customHeight="1">
      <c r="A40" s="20">
        <v>46269</v>
      </c>
      <c r="B40" t="s">
        <v>18</v>
      </c>
      <c r="C40" t="s">
        <v>74</v>
      </c>
      <c r="D40" t="s">
        <v>75</v>
      </c>
      <c r="E40" t="s">
        <v>180</v>
      </c>
      <c r="F40">
        <v>1</v>
      </c>
      <c r="G40" t="s">
        <v>172</v>
      </c>
      <c r="H40" t="s">
        <v>173</v>
      </c>
      <c r="I40" t="s">
        <v>181</v>
      </c>
      <c r="K40" t="s">
        <v>175</v>
      </c>
      <c r="L40" t="s">
        <v>182</v>
      </c>
      <c r="M40" t="s">
        <v>69</v>
      </c>
      <c r="N40" t="s">
        <v>183</v>
      </c>
      <c r="P40">
        <f t="shared" si="0"/>
        <v>1</v>
      </c>
      <c r="Q40" t="str">
        <f>IF(AND(P40&gt;1,COUNTIF($E$6:E40,E40)=1),MAX($Q$5:Q39)+1,"")</f>
        <v/>
      </c>
      <c r="R40" t="str">
        <f t="shared" si="1"/>
        <v/>
      </c>
    </row>
    <row r="41" spans="1:18" ht="22.95" customHeight="1">
      <c r="A41" s="20">
        <v>46269</v>
      </c>
      <c r="B41" t="s">
        <v>18</v>
      </c>
      <c r="C41" t="s">
        <v>74</v>
      </c>
      <c r="D41" t="s">
        <v>75</v>
      </c>
      <c r="E41" t="s">
        <v>184</v>
      </c>
      <c r="F41">
        <v>1</v>
      </c>
      <c r="G41" t="s">
        <v>172</v>
      </c>
      <c r="H41" t="s">
        <v>173</v>
      </c>
      <c r="I41" t="s">
        <v>181</v>
      </c>
      <c r="K41" t="s">
        <v>175</v>
      </c>
      <c r="L41" t="s">
        <v>185</v>
      </c>
      <c r="M41" t="s">
        <v>69</v>
      </c>
      <c r="N41" t="s">
        <v>183</v>
      </c>
      <c r="P41">
        <f t="shared" si="0"/>
        <v>1</v>
      </c>
      <c r="Q41" t="str">
        <f>IF(AND(P41&gt;1,COUNTIF($E$6:E41,E41)=1),MAX($Q$5:Q40)+1,"")</f>
        <v/>
      </c>
      <c r="R41" t="str">
        <f t="shared" si="1"/>
        <v/>
      </c>
    </row>
    <row r="42" spans="1:18" ht="22.95" customHeight="1">
      <c r="A42" s="20">
        <v>46269</v>
      </c>
      <c r="B42" t="s">
        <v>18</v>
      </c>
      <c r="C42" t="s">
        <v>74</v>
      </c>
      <c r="D42" t="s">
        <v>75</v>
      </c>
      <c r="E42" t="s">
        <v>186</v>
      </c>
      <c r="F42">
        <v>1</v>
      </c>
      <c r="G42" t="s">
        <v>172</v>
      </c>
      <c r="H42" t="s">
        <v>173</v>
      </c>
      <c r="I42" t="s">
        <v>187</v>
      </c>
      <c r="K42" t="s">
        <v>175</v>
      </c>
      <c r="L42" t="s">
        <v>188</v>
      </c>
      <c r="M42" t="s">
        <v>69</v>
      </c>
      <c r="N42" t="s">
        <v>183</v>
      </c>
      <c r="P42">
        <f t="shared" si="0"/>
        <v>1</v>
      </c>
      <c r="Q42" t="str">
        <f>IF(AND(P42&gt;1,COUNTIF($E$6:E42,E42)=1),MAX($Q$5:Q41)+1,"")</f>
        <v/>
      </c>
      <c r="R42" t="str">
        <f t="shared" si="1"/>
        <v/>
      </c>
    </row>
    <row r="43" spans="1:18" ht="22.95" customHeight="1">
      <c r="A43" s="20">
        <v>46269</v>
      </c>
      <c r="B43" t="s">
        <v>18</v>
      </c>
      <c r="C43" t="s">
        <v>81</v>
      </c>
      <c r="D43" t="s">
        <v>82</v>
      </c>
      <c r="E43" t="s">
        <v>189</v>
      </c>
      <c r="F43">
        <v>1</v>
      </c>
      <c r="I43" t="s">
        <v>190</v>
      </c>
      <c r="K43" t="s">
        <v>191</v>
      </c>
      <c r="L43" t="s">
        <v>192</v>
      </c>
      <c r="M43" t="s">
        <v>92</v>
      </c>
      <c r="P43">
        <f t="shared" si="0"/>
        <v>1</v>
      </c>
      <c r="Q43" t="str">
        <f>IF(AND(P43&gt;1,COUNTIF($E$6:E43,E43)=1),MAX($Q$5:Q42)+1,"")</f>
        <v/>
      </c>
      <c r="R43" t="str">
        <f t="shared" si="1"/>
        <v/>
      </c>
    </row>
    <row r="44" spans="1:18" ht="22.95" customHeight="1">
      <c r="A44" s="20">
        <v>46269</v>
      </c>
      <c r="B44" t="s">
        <v>18</v>
      </c>
      <c r="C44" t="s">
        <v>62</v>
      </c>
      <c r="D44" t="s">
        <v>161</v>
      </c>
      <c r="E44" t="s">
        <v>193</v>
      </c>
      <c r="F44">
        <v>1</v>
      </c>
      <c r="G44" t="s">
        <v>65</v>
      </c>
      <c r="I44" t="s">
        <v>194</v>
      </c>
      <c r="K44" t="s">
        <v>122</v>
      </c>
      <c r="L44" t="s">
        <v>195</v>
      </c>
      <c r="M44" t="s">
        <v>69</v>
      </c>
      <c r="N44" t="s">
        <v>143</v>
      </c>
      <c r="P44">
        <f t="shared" si="0"/>
        <v>1</v>
      </c>
      <c r="Q44" t="str">
        <f>IF(AND(P44&gt;1,COUNTIF($E$6:E44,E44)=1),MAX($Q$5:Q43)+1,"")</f>
        <v/>
      </c>
      <c r="R44" t="str">
        <f t="shared" si="1"/>
        <v/>
      </c>
    </row>
    <row r="45" spans="1:18" ht="22.95" customHeight="1">
      <c r="A45" s="20">
        <v>46269</v>
      </c>
      <c r="B45" t="s">
        <v>18</v>
      </c>
      <c r="C45" t="s">
        <v>97</v>
      </c>
      <c r="D45" t="s">
        <v>98</v>
      </c>
      <c r="E45" t="s">
        <v>196</v>
      </c>
      <c r="F45">
        <v>1</v>
      </c>
      <c r="G45" t="s">
        <v>197</v>
      </c>
      <c r="H45" t="s">
        <v>198</v>
      </c>
      <c r="I45" t="s">
        <v>199</v>
      </c>
      <c r="K45" t="s">
        <v>200</v>
      </c>
      <c r="L45" t="s">
        <v>201</v>
      </c>
      <c r="M45" t="s">
        <v>38</v>
      </c>
      <c r="P45">
        <f t="shared" si="0"/>
        <v>1</v>
      </c>
      <c r="Q45" t="str">
        <f>IF(AND(P45&gt;1,COUNTIF($E$6:E45,E45)=1),MAX($Q$5:Q44)+1,"")</f>
        <v/>
      </c>
      <c r="R45" t="str">
        <f t="shared" si="1"/>
        <v/>
      </c>
    </row>
    <row r="46" spans="1:18" ht="22.95" customHeight="1">
      <c r="A46" s="20">
        <v>46269</v>
      </c>
      <c r="B46" t="s">
        <v>18</v>
      </c>
      <c r="C46" t="s">
        <v>97</v>
      </c>
      <c r="D46" t="s">
        <v>98</v>
      </c>
      <c r="E46" t="s">
        <v>202</v>
      </c>
      <c r="F46">
        <v>1</v>
      </c>
      <c r="G46" t="s">
        <v>172</v>
      </c>
      <c r="H46" t="s">
        <v>203</v>
      </c>
      <c r="I46" t="s">
        <v>204</v>
      </c>
      <c r="J46" t="s">
        <v>205</v>
      </c>
      <c r="K46" t="s">
        <v>206</v>
      </c>
      <c r="L46" t="s">
        <v>207</v>
      </c>
      <c r="M46" t="s">
        <v>69</v>
      </c>
      <c r="N46" t="s">
        <v>143</v>
      </c>
      <c r="P46">
        <f t="shared" si="0"/>
        <v>1</v>
      </c>
      <c r="Q46" t="str">
        <f>IF(AND(P46&gt;1,COUNTIF($E$6:E46,E46)=1),MAX($Q$5:Q45)+1,"")</f>
        <v/>
      </c>
      <c r="R46" t="str">
        <f t="shared" si="1"/>
        <v/>
      </c>
    </row>
    <row r="47" spans="1:18" ht="22.95" customHeight="1">
      <c r="A47" s="20">
        <v>46269</v>
      </c>
      <c r="B47" t="s">
        <v>18</v>
      </c>
      <c r="C47" t="s">
        <v>97</v>
      </c>
      <c r="D47" t="s">
        <v>98</v>
      </c>
      <c r="E47" t="s">
        <v>208</v>
      </c>
      <c r="F47">
        <v>1</v>
      </c>
      <c r="G47" t="s">
        <v>209</v>
      </c>
      <c r="I47" t="s">
        <v>66</v>
      </c>
      <c r="K47" t="s">
        <v>210</v>
      </c>
      <c r="L47" t="s">
        <v>211</v>
      </c>
      <c r="M47" t="s">
        <v>92</v>
      </c>
      <c r="P47">
        <f t="shared" si="0"/>
        <v>1</v>
      </c>
      <c r="Q47" t="str">
        <f>IF(AND(P47&gt;1,COUNTIF($E$6:E47,E47)=1),MAX($Q$5:Q46)+1,"")</f>
        <v/>
      </c>
      <c r="R47" t="str">
        <f t="shared" si="1"/>
        <v/>
      </c>
    </row>
    <row r="48" spans="1:18" ht="22.95" customHeight="1">
      <c r="A48" s="20">
        <v>46270</v>
      </c>
      <c r="B48" t="s">
        <v>18</v>
      </c>
      <c r="C48" t="s">
        <v>74</v>
      </c>
      <c r="D48" t="s">
        <v>75</v>
      </c>
      <c r="E48" t="s">
        <v>212</v>
      </c>
      <c r="F48">
        <v>1</v>
      </c>
      <c r="G48" t="s">
        <v>213</v>
      </c>
      <c r="H48" t="s">
        <v>214</v>
      </c>
      <c r="I48" t="s">
        <v>215</v>
      </c>
      <c r="L48" t="s">
        <v>216</v>
      </c>
      <c r="M48" t="s">
        <v>69</v>
      </c>
      <c r="N48" t="s">
        <v>217</v>
      </c>
      <c r="P48">
        <f t="shared" si="0"/>
        <v>1</v>
      </c>
      <c r="Q48" t="str">
        <f>IF(AND(P48&gt;1,COUNTIF($E$6:E48,E48)=1),MAX($Q$5:Q47)+1,"")</f>
        <v/>
      </c>
      <c r="R48" t="str">
        <f t="shared" si="1"/>
        <v/>
      </c>
    </row>
    <row r="49" spans="1:18" ht="22.95" customHeight="1">
      <c r="A49" s="20">
        <v>46270</v>
      </c>
      <c r="B49" t="s">
        <v>18</v>
      </c>
      <c r="C49" t="s">
        <v>74</v>
      </c>
      <c r="D49" t="s">
        <v>75</v>
      </c>
      <c r="E49" t="s">
        <v>218</v>
      </c>
      <c r="F49">
        <v>1</v>
      </c>
      <c r="G49" t="s">
        <v>65</v>
      </c>
      <c r="I49" t="s">
        <v>219</v>
      </c>
      <c r="K49" t="s">
        <v>40</v>
      </c>
      <c r="L49" t="s">
        <v>220</v>
      </c>
      <c r="M49" t="s">
        <v>69</v>
      </c>
      <c r="N49" t="s">
        <v>143</v>
      </c>
      <c r="P49">
        <f t="shared" si="0"/>
        <v>1</v>
      </c>
      <c r="Q49" t="str">
        <f>IF(AND(P49&gt;1,COUNTIF($E$6:E49,E49)=1),MAX($Q$5:Q48)+1,"")</f>
        <v/>
      </c>
      <c r="R49" t="str">
        <f t="shared" si="1"/>
        <v/>
      </c>
    </row>
    <row r="50" spans="1:18" ht="22.95" customHeight="1">
      <c r="A50" s="20">
        <v>46270</v>
      </c>
      <c r="B50" t="s">
        <v>18</v>
      </c>
      <c r="C50" t="s">
        <v>74</v>
      </c>
      <c r="D50" t="s">
        <v>75</v>
      </c>
      <c r="E50" t="s">
        <v>221</v>
      </c>
      <c r="F50">
        <v>1</v>
      </c>
      <c r="G50" t="s">
        <v>65</v>
      </c>
      <c r="I50" t="s">
        <v>222</v>
      </c>
      <c r="L50" t="s">
        <v>223</v>
      </c>
      <c r="M50" t="s">
        <v>69</v>
      </c>
      <c r="N50" t="s">
        <v>143</v>
      </c>
      <c r="P50">
        <f t="shared" si="0"/>
        <v>1</v>
      </c>
      <c r="Q50" t="str">
        <f>IF(AND(P50&gt;1,COUNTIF($E$6:E50,E50)=1),MAX($Q$5:Q49)+1,"")</f>
        <v/>
      </c>
      <c r="R50" t="str">
        <f t="shared" si="1"/>
        <v/>
      </c>
    </row>
    <row r="51" spans="1:18" ht="22.95" customHeight="1">
      <c r="A51" s="20">
        <v>46270</v>
      </c>
      <c r="B51" t="s">
        <v>18</v>
      </c>
      <c r="C51" t="s">
        <v>81</v>
      </c>
      <c r="D51" t="s">
        <v>82</v>
      </c>
      <c r="E51" t="s">
        <v>224</v>
      </c>
      <c r="F51">
        <v>1</v>
      </c>
      <c r="G51" t="s">
        <v>65</v>
      </c>
      <c r="I51" t="s">
        <v>225</v>
      </c>
      <c r="L51" t="s">
        <v>226</v>
      </c>
      <c r="M51" t="s">
        <v>38</v>
      </c>
      <c r="P51">
        <f t="shared" si="0"/>
        <v>1</v>
      </c>
      <c r="Q51" t="str">
        <f>IF(AND(P51&gt;1,COUNTIF($E$6:E51,E51)=1),MAX($Q$5:Q50)+1,"")</f>
        <v/>
      </c>
      <c r="R51" t="str">
        <f t="shared" si="1"/>
        <v/>
      </c>
    </row>
    <row r="52" spans="1:18" ht="22.95" customHeight="1">
      <c r="A52" s="20">
        <v>46270</v>
      </c>
      <c r="B52" t="s">
        <v>18</v>
      </c>
      <c r="C52" t="s">
        <v>81</v>
      </c>
      <c r="D52" t="s">
        <v>82</v>
      </c>
      <c r="E52" t="s">
        <v>227</v>
      </c>
      <c r="F52">
        <v>1</v>
      </c>
      <c r="G52" t="s">
        <v>39</v>
      </c>
      <c r="I52" t="s">
        <v>228</v>
      </c>
      <c r="L52" t="s">
        <v>226</v>
      </c>
      <c r="M52" t="s">
        <v>38</v>
      </c>
      <c r="P52">
        <f t="shared" si="0"/>
        <v>1</v>
      </c>
      <c r="Q52" t="str">
        <f>IF(AND(P52&gt;1,COUNTIF($E$6:E52,E52)=1),MAX($Q$5:Q51)+1,"")</f>
        <v/>
      </c>
      <c r="R52" t="str">
        <f t="shared" si="1"/>
        <v/>
      </c>
    </row>
    <row r="53" spans="1:18" ht="22.95" customHeight="1">
      <c r="A53" s="20">
        <v>46270</v>
      </c>
      <c r="B53" t="s">
        <v>18</v>
      </c>
      <c r="C53" t="s">
        <v>81</v>
      </c>
      <c r="D53" t="s">
        <v>82</v>
      </c>
      <c r="E53" t="s">
        <v>229</v>
      </c>
      <c r="F53">
        <v>1</v>
      </c>
      <c r="G53" t="s">
        <v>39</v>
      </c>
      <c r="I53" t="s">
        <v>230</v>
      </c>
      <c r="L53" t="s">
        <v>226</v>
      </c>
      <c r="M53" t="s">
        <v>38</v>
      </c>
      <c r="P53">
        <f t="shared" si="0"/>
        <v>1</v>
      </c>
      <c r="Q53" t="str">
        <f>IF(AND(P53&gt;1,COUNTIF($E$6:E53,E53)=1),MAX($Q$5:Q52)+1,"")</f>
        <v/>
      </c>
      <c r="R53" t="str">
        <f t="shared" si="1"/>
        <v/>
      </c>
    </row>
    <row r="54" spans="1:18" ht="22.95" customHeight="1">
      <c r="A54" s="20">
        <v>46270</v>
      </c>
      <c r="B54" t="s">
        <v>18</v>
      </c>
      <c r="C54" t="s">
        <v>81</v>
      </c>
      <c r="D54" t="s">
        <v>82</v>
      </c>
      <c r="E54" t="s">
        <v>231</v>
      </c>
      <c r="F54">
        <v>1</v>
      </c>
      <c r="G54" t="s">
        <v>65</v>
      </c>
      <c r="I54" t="s">
        <v>232</v>
      </c>
      <c r="L54" t="s">
        <v>233</v>
      </c>
      <c r="M54" t="s">
        <v>38</v>
      </c>
      <c r="P54">
        <f t="shared" si="0"/>
        <v>1</v>
      </c>
      <c r="Q54" t="str">
        <f>IF(AND(P54&gt;1,COUNTIF($E$6:E54,E54)=1),MAX($Q$5:Q53)+1,"")</f>
        <v/>
      </c>
      <c r="R54" t="str">
        <f t="shared" si="1"/>
        <v/>
      </c>
    </row>
    <row r="55" spans="1:18" ht="22.95" customHeight="1">
      <c r="A55" s="20">
        <v>46270</v>
      </c>
      <c r="B55" t="s">
        <v>18</v>
      </c>
      <c r="C55" t="s">
        <v>81</v>
      </c>
      <c r="D55" t="s">
        <v>82</v>
      </c>
      <c r="E55" t="s">
        <v>234</v>
      </c>
      <c r="F55">
        <v>1</v>
      </c>
      <c r="G55" t="s">
        <v>235</v>
      </c>
      <c r="H55" t="s">
        <v>236</v>
      </c>
      <c r="I55" t="s">
        <v>237</v>
      </c>
      <c r="K55" t="s">
        <v>238</v>
      </c>
      <c r="L55" t="s">
        <v>239</v>
      </c>
      <c r="M55" t="s">
        <v>69</v>
      </c>
      <c r="N55" t="s">
        <v>217</v>
      </c>
      <c r="P55">
        <f t="shared" si="0"/>
        <v>1</v>
      </c>
      <c r="Q55" t="str">
        <f>IF(AND(P55&gt;1,COUNTIF($E$6:E55,E55)=1),MAX($Q$5:Q54)+1,"")</f>
        <v/>
      </c>
      <c r="R55" t="str">
        <f t="shared" si="1"/>
        <v/>
      </c>
    </row>
    <row r="56" spans="1:18" ht="22.95" customHeight="1">
      <c r="A56" s="20">
        <v>46270</v>
      </c>
      <c r="B56" t="s">
        <v>18</v>
      </c>
      <c r="C56" t="s">
        <v>81</v>
      </c>
      <c r="D56" t="s">
        <v>82</v>
      </c>
      <c r="E56" t="s">
        <v>240</v>
      </c>
      <c r="F56">
        <v>1</v>
      </c>
      <c r="G56" t="s">
        <v>235</v>
      </c>
      <c r="H56" t="s">
        <v>236</v>
      </c>
      <c r="I56" t="s">
        <v>237</v>
      </c>
      <c r="K56" t="s">
        <v>238</v>
      </c>
      <c r="L56" t="s">
        <v>239</v>
      </c>
      <c r="M56" t="s">
        <v>69</v>
      </c>
      <c r="N56" t="s">
        <v>217</v>
      </c>
      <c r="P56">
        <f t="shared" si="0"/>
        <v>1</v>
      </c>
      <c r="Q56" t="str">
        <f>IF(AND(P56&gt;1,COUNTIF($E$6:E56,E56)=1),MAX($Q$5:Q55)+1,"")</f>
        <v/>
      </c>
      <c r="R56" t="str">
        <f t="shared" si="1"/>
        <v/>
      </c>
    </row>
    <row r="57" spans="1:18" ht="22.95" customHeight="1">
      <c r="A57" s="20">
        <v>46270</v>
      </c>
      <c r="B57" t="s">
        <v>18</v>
      </c>
      <c r="C57" t="s">
        <v>81</v>
      </c>
      <c r="D57" t="s">
        <v>82</v>
      </c>
      <c r="E57" t="s">
        <v>241</v>
      </c>
      <c r="F57">
        <v>1</v>
      </c>
      <c r="G57" t="s">
        <v>235</v>
      </c>
      <c r="H57" t="s">
        <v>236</v>
      </c>
      <c r="I57" t="s">
        <v>237</v>
      </c>
      <c r="K57" t="s">
        <v>238</v>
      </c>
      <c r="L57" t="s">
        <v>242</v>
      </c>
      <c r="M57" t="s">
        <v>69</v>
      </c>
      <c r="N57" t="s">
        <v>217</v>
      </c>
      <c r="P57">
        <f t="shared" si="0"/>
        <v>1</v>
      </c>
      <c r="Q57" t="str">
        <f>IF(AND(P57&gt;1,COUNTIF($E$6:E57,E57)=1),MAX($Q$5:Q56)+1,"")</f>
        <v/>
      </c>
      <c r="R57" t="str">
        <f t="shared" si="1"/>
        <v/>
      </c>
    </row>
    <row r="58" spans="1:18" ht="22.95" customHeight="1">
      <c r="A58" s="20">
        <v>46270</v>
      </c>
      <c r="B58" t="s">
        <v>18</v>
      </c>
      <c r="C58" t="s">
        <v>81</v>
      </c>
      <c r="D58" t="s">
        <v>82</v>
      </c>
      <c r="E58" t="s">
        <v>243</v>
      </c>
      <c r="F58">
        <v>1</v>
      </c>
      <c r="G58" t="s">
        <v>235</v>
      </c>
      <c r="H58" t="s">
        <v>236</v>
      </c>
      <c r="I58" t="s">
        <v>244</v>
      </c>
      <c r="K58" t="s">
        <v>238</v>
      </c>
      <c r="L58" t="s">
        <v>245</v>
      </c>
      <c r="M58" t="s">
        <v>69</v>
      </c>
      <c r="N58" t="s">
        <v>217</v>
      </c>
      <c r="P58">
        <f t="shared" si="0"/>
        <v>1</v>
      </c>
      <c r="Q58" t="str">
        <f>IF(AND(P58&gt;1,COUNTIF($E$6:E58,E58)=1),MAX($Q$5:Q57)+1,"")</f>
        <v/>
      </c>
      <c r="R58" t="str">
        <f t="shared" si="1"/>
        <v/>
      </c>
    </row>
    <row r="59" spans="1:18" ht="22.95" customHeight="1">
      <c r="A59" s="20">
        <v>46270</v>
      </c>
      <c r="B59" t="s">
        <v>18</v>
      </c>
      <c r="C59" t="s">
        <v>81</v>
      </c>
      <c r="D59" t="s">
        <v>82</v>
      </c>
      <c r="E59" t="s">
        <v>246</v>
      </c>
      <c r="F59">
        <v>1</v>
      </c>
      <c r="G59" t="s">
        <v>247</v>
      </c>
      <c r="H59" t="s">
        <v>214</v>
      </c>
      <c r="I59" t="s">
        <v>248</v>
      </c>
      <c r="K59" t="s">
        <v>238</v>
      </c>
      <c r="L59" t="s">
        <v>249</v>
      </c>
      <c r="M59" t="s">
        <v>69</v>
      </c>
      <c r="N59" t="s">
        <v>217</v>
      </c>
      <c r="P59">
        <f t="shared" si="0"/>
        <v>1</v>
      </c>
      <c r="Q59" t="str">
        <f>IF(AND(P59&gt;1,COUNTIF($E$6:E59,E59)=1),MAX($Q$5:Q58)+1,"")</f>
        <v/>
      </c>
      <c r="R59" t="str">
        <f t="shared" si="1"/>
        <v/>
      </c>
    </row>
    <row r="60" spans="1:18" ht="22.95" customHeight="1">
      <c r="A60" s="20">
        <v>46270</v>
      </c>
      <c r="B60" t="s">
        <v>18</v>
      </c>
      <c r="C60" t="s">
        <v>87</v>
      </c>
      <c r="D60" t="s">
        <v>88</v>
      </c>
      <c r="E60" t="s">
        <v>250</v>
      </c>
      <c r="F60">
        <v>1</v>
      </c>
      <c r="G60" t="s">
        <v>65</v>
      </c>
      <c r="I60" t="s">
        <v>90</v>
      </c>
      <c r="K60" t="s">
        <v>40</v>
      </c>
      <c r="L60" t="s">
        <v>251</v>
      </c>
      <c r="M60" t="s">
        <v>69</v>
      </c>
      <c r="N60" t="s">
        <v>143</v>
      </c>
      <c r="P60">
        <f t="shared" si="0"/>
        <v>1</v>
      </c>
      <c r="Q60" t="str">
        <f>IF(AND(P60&gt;1,COUNTIF($E$6:E60,E60)=1),MAX($Q$5:Q59)+1,"")</f>
        <v/>
      </c>
      <c r="R60" t="str">
        <f t="shared" si="1"/>
        <v/>
      </c>
    </row>
    <row r="61" spans="1:18" ht="22.95" customHeight="1">
      <c r="A61" s="20">
        <v>46270</v>
      </c>
      <c r="B61" t="s">
        <v>18</v>
      </c>
      <c r="C61" t="s">
        <v>87</v>
      </c>
      <c r="D61" t="s">
        <v>88</v>
      </c>
      <c r="E61" t="s">
        <v>252</v>
      </c>
      <c r="F61">
        <v>1</v>
      </c>
      <c r="G61" t="s">
        <v>65</v>
      </c>
      <c r="I61" t="s">
        <v>90</v>
      </c>
      <c r="K61" t="s">
        <v>40</v>
      </c>
      <c r="L61" t="s">
        <v>251</v>
      </c>
      <c r="M61" t="s">
        <v>69</v>
      </c>
      <c r="N61" t="s">
        <v>143</v>
      </c>
      <c r="P61">
        <f t="shared" si="0"/>
        <v>1</v>
      </c>
      <c r="Q61" t="str">
        <f>IF(AND(P61&gt;1,COUNTIF($E$6:E61,E61)=1),MAX($Q$5:Q60)+1,"")</f>
        <v/>
      </c>
      <c r="R61" t="str">
        <f t="shared" si="1"/>
        <v/>
      </c>
    </row>
    <row r="62" spans="1:18" ht="22.95" customHeight="1">
      <c r="A62" s="20">
        <v>46270</v>
      </c>
      <c r="B62" t="s">
        <v>18</v>
      </c>
      <c r="C62" t="s">
        <v>62</v>
      </c>
      <c r="D62" t="s">
        <v>63</v>
      </c>
      <c r="E62" t="s">
        <v>253</v>
      </c>
      <c r="F62">
        <v>1</v>
      </c>
      <c r="G62" t="s">
        <v>254</v>
      </c>
      <c r="I62" t="s">
        <v>78</v>
      </c>
      <c r="L62" t="s">
        <v>255</v>
      </c>
      <c r="M62" t="s">
        <v>69</v>
      </c>
      <c r="N62" t="s">
        <v>217</v>
      </c>
      <c r="P62">
        <f t="shared" si="0"/>
        <v>1</v>
      </c>
      <c r="Q62" t="str">
        <f>IF(AND(P62&gt;1,COUNTIF($E$6:E62,E62)=1),MAX($Q$5:Q61)+1,"")</f>
        <v/>
      </c>
      <c r="R62" t="str">
        <f t="shared" si="1"/>
        <v/>
      </c>
    </row>
    <row r="63" spans="1:18" ht="22.95" customHeight="1">
      <c r="A63" s="20">
        <v>46270</v>
      </c>
      <c r="B63" t="s">
        <v>18</v>
      </c>
      <c r="C63" t="s">
        <v>62</v>
      </c>
      <c r="D63" t="s">
        <v>63</v>
      </c>
      <c r="E63" t="s">
        <v>256</v>
      </c>
      <c r="F63">
        <v>1</v>
      </c>
      <c r="G63" t="s">
        <v>254</v>
      </c>
      <c r="H63" t="s">
        <v>257</v>
      </c>
      <c r="L63" t="s">
        <v>258</v>
      </c>
      <c r="M63" t="s">
        <v>69</v>
      </c>
      <c r="N63" t="s">
        <v>217</v>
      </c>
      <c r="P63">
        <f t="shared" si="0"/>
        <v>1</v>
      </c>
      <c r="Q63" t="str">
        <f>IF(AND(P63&gt;1,COUNTIF($E$6:E63,E63)=1),MAX($Q$5:Q62)+1,"")</f>
        <v/>
      </c>
      <c r="R63" t="str">
        <f t="shared" si="1"/>
        <v/>
      </c>
    </row>
    <row r="64" spans="1:18" ht="22.95" customHeight="1">
      <c r="A64" s="20">
        <v>46270</v>
      </c>
      <c r="B64" t="s">
        <v>18</v>
      </c>
      <c r="C64" t="s">
        <v>62</v>
      </c>
      <c r="D64" t="s">
        <v>63</v>
      </c>
      <c r="E64" t="s">
        <v>259</v>
      </c>
      <c r="F64">
        <v>1</v>
      </c>
      <c r="G64" t="s">
        <v>254</v>
      </c>
      <c r="H64" t="s">
        <v>257</v>
      </c>
      <c r="L64" t="s">
        <v>260</v>
      </c>
      <c r="M64" t="s">
        <v>69</v>
      </c>
      <c r="N64" t="s">
        <v>217</v>
      </c>
      <c r="P64">
        <f t="shared" si="0"/>
        <v>1</v>
      </c>
      <c r="Q64" t="str">
        <f>IF(AND(P64&gt;1,COUNTIF($E$6:E64,E64)=1),MAX($Q$5:Q63)+1,"")</f>
        <v/>
      </c>
      <c r="R64" t="str">
        <f t="shared" si="1"/>
        <v/>
      </c>
    </row>
    <row r="65" spans="1:18" ht="22.95" customHeight="1">
      <c r="A65" s="20">
        <v>46270</v>
      </c>
      <c r="B65" t="s">
        <v>18</v>
      </c>
      <c r="C65" t="s">
        <v>62</v>
      </c>
      <c r="D65" t="s">
        <v>63</v>
      </c>
      <c r="E65" t="s">
        <v>261</v>
      </c>
      <c r="F65">
        <v>1</v>
      </c>
      <c r="G65" t="s">
        <v>254</v>
      </c>
      <c r="H65" t="s">
        <v>257</v>
      </c>
      <c r="L65" t="s">
        <v>262</v>
      </c>
      <c r="M65" t="s">
        <v>69</v>
      </c>
      <c r="N65" t="s">
        <v>217</v>
      </c>
      <c r="P65">
        <f t="shared" si="0"/>
        <v>1</v>
      </c>
      <c r="Q65" t="str">
        <f>IF(AND(P65&gt;1,COUNTIF($E$6:E65,E65)=1),MAX($Q$5:Q64)+1,"")</f>
        <v/>
      </c>
      <c r="R65" t="str">
        <f t="shared" si="1"/>
        <v/>
      </c>
    </row>
    <row r="66" spans="1:18" ht="22.95" customHeight="1">
      <c r="A66" s="20">
        <v>46270</v>
      </c>
      <c r="B66" t="s">
        <v>18</v>
      </c>
      <c r="C66" t="s">
        <v>62</v>
      </c>
      <c r="D66" t="s">
        <v>63</v>
      </c>
      <c r="E66" t="s">
        <v>263</v>
      </c>
      <c r="F66">
        <v>1</v>
      </c>
      <c r="G66" t="s">
        <v>254</v>
      </c>
      <c r="H66" t="s">
        <v>257</v>
      </c>
      <c r="L66" t="s">
        <v>262</v>
      </c>
      <c r="M66" t="s">
        <v>69</v>
      </c>
      <c r="N66" t="s">
        <v>217</v>
      </c>
      <c r="P66">
        <f t="shared" si="0"/>
        <v>1</v>
      </c>
      <c r="Q66" t="str">
        <f>IF(AND(P66&gt;1,COUNTIF($E$6:E66,E66)=1),MAX($Q$5:Q65)+1,"")</f>
        <v/>
      </c>
      <c r="R66" t="str">
        <f t="shared" si="1"/>
        <v/>
      </c>
    </row>
    <row r="67" spans="1:18" ht="22.95" customHeight="1">
      <c r="A67" s="20">
        <v>46270</v>
      </c>
      <c r="B67" t="s">
        <v>18</v>
      </c>
      <c r="C67" t="s">
        <v>62</v>
      </c>
      <c r="D67" t="s">
        <v>63</v>
      </c>
      <c r="E67" t="s">
        <v>264</v>
      </c>
      <c r="F67">
        <v>1</v>
      </c>
      <c r="G67" t="s">
        <v>254</v>
      </c>
      <c r="H67" t="s">
        <v>257</v>
      </c>
      <c r="L67" t="s">
        <v>262</v>
      </c>
      <c r="M67" t="s">
        <v>69</v>
      </c>
      <c r="N67" t="s">
        <v>217</v>
      </c>
      <c r="P67">
        <f t="shared" si="0"/>
        <v>1</v>
      </c>
      <c r="Q67" t="str">
        <f>IF(AND(P67&gt;1,COUNTIF($E$6:E67,E67)=1),MAX($Q$5:Q66)+1,"")</f>
        <v/>
      </c>
      <c r="R67" t="str">
        <f t="shared" si="1"/>
        <v/>
      </c>
    </row>
    <row r="68" spans="1:18" ht="22.95" customHeight="1">
      <c r="A68" s="20">
        <v>46270</v>
      </c>
      <c r="B68" t="s">
        <v>18</v>
      </c>
      <c r="C68" t="s">
        <v>62</v>
      </c>
      <c r="D68" t="s">
        <v>63</v>
      </c>
      <c r="E68" t="s">
        <v>265</v>
      </c>
      <c r="F68">
        <v>1</v>
      </c>
      <c r="G68" t="s">
        <v>254</v>
      </c>
      <c r="H68" t="s">
        <v>257</v>
      </c>
      <c r="L68" t="s">
        <v>258</v>
      </c>
      <c r="M68" t="s">
        <v>69</v>
      </c>
      <c r="N68" t="s">
        <v>217</v>
      </c>
      <c r="P68">
        <f t="shared" si="0"/>
        <v>1</v>
      </c>
      <c r="Q68" t="str">
        <f>IF(AND(P68&gt;1,COUNTIF($E$6:E68,E68)=1),MAX($Q$5:Q67)+1,"")</f>
        <v/>
      </c>
      <c r="R68" t="str">
        <f t="shared" si="1"/>
        <v/>
      </c>
    </row>
    <row r="69" spans="1:18" ht="22.95" customHeight="1">
      <c r="A69" s="20">
        <v>46270</v>
      </c>
      <c r="B69" t="s">
        <v>18</v>
      </c>
      <c r="C69" t="s">
        <v>62</v>
      </c>
      <c r="D69" t="s">
        <v>63</v>
      </c>
      <c r="E69" t="s">
        <v>266</v>
      </c>
      <c r="F69">
        <v>1</v>
      </c>
      <c r="G69" t="s">
        <v>39</v>
      </c>
      <c r="L69" t="s">
        <v>267</v>
      </c>
      <c r="M69" t="s">
        <v>92</v>
      </c>
      <c r="P69">
        <f t="shared" si="0"/>
        <v>1</v>
      </c>
      <c r="Q69" t="str">
        <f>IF(AND(P69&gt;1,COUNTIF($E$6:E69,E69)=1),MAX($Q$5:Q68)+1,"")</f>
        <v/>
      </c>
      <c r="R69" t="str">
        <f t="shared" si="1"/>
        <v/>
      </c>
    </row>
    <row r="70" spans="1:18" ht="22.95" customHeight="1">
      <c r="A70" s="20">
        <v>46270</v>
      </c>
      <c r="B70" t="s">
        <v>18</v>
      </c>
      <c r="C70" t="s">
        <v>62</v>
      </c>
      <c r="D70" t="s">
        <v>63</v>
      </c>
      <c r="E70" t="s">
        <v>268</v>
      </c>
      <c r="F70">
        <v>1</v>
      </c>
      <c r="G70" t="s">
        <v>254</v>
      </c>
      <c r="H70" t="s">
        <v>257</v>
      </c>
      <c r="I70" t="s">
        <v>78</v>
      </c>
      <c r="L70" t="s">
        <v>269</v>
      </c>
      <c r="M70" t="s">
        <v>69</v>
      </c>
      <c r="N70" t="s">
        <v>217</v>
      </c>
      <c r="P70">
        <f t="shared" ref="P70:P133" si="2">COUNTIF($E$6:$E$1740,E70)</f>
        <v>1</v>
      </c>
      <c r="Q70" t="str">
        <f>IF(AND(P70&gt;1,COUNTIF($E$6:E70,E70)=1),MAX($Q$5:Q69)+1,"")</f>
        <v/>
      </c>
      <c r="R70" t="str">
        <f t="shared" ref="R70:R133" si="3">IF(Q70="","",IF(COUNTIFS($E$6:$E$1740,E70,$A$6:$A$1740,A70,$C$6:$C$1740,C70)&lt;P70,"LÉGITIME",IF(COUNTIFS($E$6:$E$1740,E70,$A$6:$A$1740,A70,$C$6:$C$1740,C70,$M$6:$M$1740,M70)&lt;P70,"STATUT DIFFÉRENT","VRAI DOUBLON")))</f>
        <v/>
      </c>
    </row>
    <row r="71" spans="1:18" ht="22.95" customHeight="1">
      <c r="A71" s="20">
        <v>46271</v>
      </c>
      <c r="B71" t="s">
        <v>18</v>
      </c>
      <c r="C71" t="s">
        <v>102</v>
      </c>
      <c r="D71" t="s">
        <v>103</v>
      </c>
      <c r="E71" t="s">
        <v>270</v>
      </c>
      <c r="F71">
        <v>1</v>
      </c>
      <c r="G71" t="s">
        <v>65</v>
      </c>
      <c r="I71" t="s">
        <v>271</v>
      </c>
      <c r="L71" t="s">
        <v>272</v>
      </c>
      <c r="M71" t="s">
        <v>69</v>
      </c>
      <c r="N71" t="s">
        <v>143</v>
      </c>
      <c r="P71">
        <f t="shared" si="2"/>
        <v>1</v>
      </c>
      <c r="Q71" t="str">
        <f>IF(AND(P71&gt;1,COUNTIF($E$6:E71,E71)=1),MAX($Q$5:Q70)+1,"")</f>
        <v/>
      </c>
      <c r="R71" t="str">
        <f t="shared" si="3"/>
        <v/>
      </c>
    </row>
    <row r="72" spans="1:18" ht="22.95" customHeight="1">
      <c r="A72" s="20">
        <v>46271</v>
      </c>
      <c r="B72" t="s">
        <v>18</v>
      </c>
      <c r="C72" t="s">
        <v>102</v>
      </c>
      <c r="D72" t="s">
        <v>103</v>
      </c>
      <c r="E72" t="s">
        <v>273</v>
      </c>
      <c r="F72">
        <v>1</v>
      </c>
      <c r="G72" t="s">
        <v>39</v>
      </c>
      <c r="L72" t="s">
        <v>274</v>
      </c>
      <c r="M72" t="s">
        <v>92</v>
      </c>
      <c r="P72">
        <f t="shared" si="2"/>
        <v>1</v>
      </c>
      <c r="Q72" t="str">
        <f>IF(AND(P72&gt;1,COUNTIF($E$6:E72,E72)=1),MAX($Q$5:Q71)+1,"")</f>
        <v/>
      </c>
      <c r="R72" t="str">
        <f t="shared" si="3"/>
        <v/>
      </c>
    </row>
    <row r="73" spans="1:18" ht="22.95" customHeight="1">
      <c r="A73" s="20">
        <v>46271</v>
      </c>
      <c r="B73" t="s">
        <v>18</v>
      </c>
      <c r="C73" t="s">
        <v>81</v>
      </c>
      <c r="D73" t="s">
        <v>82</v>
      </c>
      <c r="E73" t="s">
        <v>275</v>
      </c>
      <c r="F73">
        <v>1</v>
      </c>
      <c r="I73" t="s">
        <v>276</v>
      </c>
      <c r="K73" t="s">
        <v>277</v>
      </c>
      <c r="L73" t="s">
        <v>278</v>
      </c>
      <c r="M73" t="s">
        <v>69</v>
      </c>
      <c r="N73" t="s">
        <v>279</v>
      </c>
      <c r="P73">
        <f t="shared" si="2"/>
        <v>1</v>
      </c>
      <c r="Q73" t="str">
        <f>IF(AND(P73&gt;1,COUNTIF($E$6:E73,E73)=1),MAX($Q$5:Q72)+1,"")</f>
        <v/>
      </c>
      <c r="R73" t="str">
        <f t="shared" si="3"/>
        <v/>
      </c>
    </row>
    <row r="74" spans="1:18" ht="22.95" customHeight="1">
      <c r="A74" s="20">
        <v>46271</v>
      </c>
      <c r="B74" t="s">
        <v>18</v>
      </c>
      <c r="C74" t="s">
        <v>81</v>
      </c>
      <c r="D74" t="s">
        <v>82</v>
      </c>
      <c r="E74" t="s">
        <v>280</v>
      </c>
      <c r="F74">
        <v>1</v>
      </c>
      <c r="I74" t="s">
        <v>276</v>
      </c>
      <c r="K74" t="s">
        <v>277</v>
      </c>
      <c r="L74" t="s">
        <v>281</v>
      </c>
      <c r="M74" t="s">
        <v>69</v>
      </c>
      <c r="N74" t="s">
        <v>279</v>
      </c>
      <c r="P74">
        <f t="shared" si="2"/>
        <v>1</v>
      </c>
      <c r="Q74" t="str">
        <f>IF(AND(P74&gt;1,COUNTIF($E$6:E74,E74)=1),MAX($Q$5:Q73)+1,"")</f>
        <v/>
      </c>
      <c r="R74" t="str">
        <f t="shared" si="3"/>
        <v/>
      </c>
    </row>
    <row r="75" spans="1:18" ht="22.95" customHeight="1">
      <c r="A75" s="20">
        <v>46271</v>
      </c>
      <c r="B75" t="s">
        <v>18</v>
      </c>
      <c r="C75" t="s">
        <v>81</v>
      </c>
      <c r="D75" t="s">
        <v>82</v>
      </c>
      <c r="E75" t="s">
        <v>282</v>
      </c>
      <c r="F75">
        <v>1</v>
      </c>
      <c r="I75" t="s">
        <v>283</v>
      </c>
      <c r="K75" t="s">
        <v>284</v>
      </c>
      <c r="L75" t="s">
        <v>285</v>
      </c>
      <c r="M75" t="s">
        <v>69</v>
      </c>
      <c r="N75" t="s">
        <v>279</v>
      </c>
      <c r="P75">
        <f t="shared" si="2"/>
        <v>1</v>
      </c>
      <c r="Q75" t="str">
        <f>IF(AND(P75&gt;1,COUNTIF($E$6:E75,E75)=1),MAX($Q$5:Q74)+1,"")</f>
        <v/>
      </c>
      <c r="R75" t="str">
        <f t="shared" si="3"/>
        <v/>
      </c>
    </row>
    <row r="76" spans="1:18" ht="22.95" customHeight="1">
      <c r="A76" s="20">
        <v>46271</v>
      </c>
      <c r="B76" t="s">
        <v>18</v>
      </c>
      <c r="C76" t="s">
        <v>81</v>
      </c>
      <c r="D76" t="s">
        <v>82</v>
      </c>
      <c r="E76" t="s">
        <v>286</v>
      </c>
      <c r="F76">
        <v>1</v>
      </c>
      <c r="I76" t="s">
        <v>283</v>
      </c>
      <c r="K76" t="s">
        <v>284</v>
      </c>
      <c r="L76" t="s">
        <v>287</v>
      </c>
      <c r="M76" t="s">
        <v>69</v>
      </c>
      <c r="N76" t="s">
        <v>279</v>
      </c>
      <c r="P76">
        <f t="shared" si="2"/>
        <v>1</v>
      </c>
      <c r="Q76" t="str">
        <f>IF(AND(P76&gt;1,COUNTIF($E$6:E76,E76)=1),MAX($Q$5:Q75)+1,"")</f>
        <v/>
      </c>
      <c r="R76" t="str">
        <f t="shared" si="3"/>
        <v/>
      </c>
    </row>
    <row r="77" spans="1:18" ht="22.95" customHeight="1">
      <c r="A77" s="20">
        <v>46271</v>
      </c>
      <c r="B77" t="s">
        <v>18</v>
      </c>
      <c r="C77" t="s">
        <v>81</v>
      </c>
      <c r="D77" t="s">
        <v>82</v>
      </c>
      <c r="E77" t="s">
        <v>288</v>
      </c>
      <c r="F77">
        <v>1</v>
      </c>
      <c r="G77" t="s">
        <v>39</v>
      </c>
      <c r="I77" t="s">
        <v>289</v>
      </c>
      <c r="K77" t="s">
        <v>40</v>
      </c>
      <c r="L77" t="s">
        <v>290</v>
      </c>
      <c r="M77" t="s">
        <v>92</v>
      </c>
      <c r="P77">
        <f t="shared" si="2"/>
        <v>1</v>
      </c>
      <c r="Q77" t="str">
        <f>IF(AND(P77&gt;1,COUNTIF($E$6:E77,E77)=1),MAX($Q$5:Q76)+1,"")</f>
        <v/>
      </c>
      <c r="R77" t="str">
        <f t="shared" si="3"/>
        <v/>
      </c>
    </row>
    <row r="78" spans="1:18" ht="22.95" customHeight="1">
      <c r="A78" s="20">
        <v>46271</v>
      </c>
      <c r="B78" t="s">
        <v>18</v>
      </c>
      <c r="C78" t="s">
        <v>87</v>
      </c>
      <c r="D78" t="s">
        <v>88</v>
      </c>
      <c r="E78" t="s">
        <v>291</v>
      </c>
      <c r="F78">
        <v>1</v>
      </c>
      <c r="G78" t="s">
        <v>65</v>
      </c>
      <c r="I78" t="s">
        <v>292</v>
      </c>
      <c r="K78" t="s">
        <v>115</v>
      </c>
      <c r="L78" t="s">
        <v>293</v>
      </c>
      <c r="M78" t="s">
        <v>69</v>
      </c>
      <c r="N78" t="s">
        <v>143</v>
      </c>
      <c r="P78">
        <f t="shared" si="2"/>
        <v>1</v>
      </c>
      <c r="Q78" t="str">
        <f>IF(AND(P78&gt;1,COUNTIF($E$6:E78,E78)=1),MAX($Q$5:Q77)+1,"")</f>
        <v/>
      </c>
      <c r="R78" t="str">
        <f t="shared" si="3"/>
        <v/>
      </c>
    </row>
    <row r="79" spans="1:18" ht="22.95" customHeight="1">
      <c r="A79" s="20">
        <v>46271</v>
      </c>
      <c r="B79" t="s">
        <v>18</v>
      </c>
      <c r="C79" t="s">
        <v>97</v>
      </c>
      <c r="D79" t="s">
        <v>98</v>
      </c>
      <c r="E79" t="s">
        <v>294</v>
      </c>
      <c r="F79">
        <v>1</v>
      </c>
      <c r="G79" t="s">
        <v>65</v>
      </c>
      <c r="I79" t="s">
        <v>78</v>
      </c>
      <c r="K79" t="s">
        <v>78</v>
      </c>
      <c r="L79" t="s">
        <v>295</v>
      </c>
      <c r="M79" t="s">
        <v>69</v>
      </c>
      <c r="N79" t="s">
        <v>143</v>
      </c>
      <c r="P79">
        <f t="shared" si="2"/>
        <v>1</v>
      </c>
      <c r="Q79" t="str">
        <f>IF(AND(P79&gt;1,COUNTIF($E$6:E79,E79)=1),MAX($Q$5:Q78)+1,"")</f>
        <v/>
      </c>
      <c r="R79" t="str">
        <f t="shared" si="3"/>
        <v/>
      </c>
    </row>
    <row r="80" spans="1:18" ht="22.95" customHeight="1">
      <c r="A80" s="20">
        <v>46271</v>
      </c>
      <c r="B80" t="s">
        <v>18</v>
      </c>
      <c r="C80" t="s">
        <v>97</v>
      </c>
      <c r="D80" t="s">
        <v>98</v>
      </c>
      <c r="E80" t="s">
        <v>296</v>
      </c>
      <c r="F80">
        <v>1</v>
      </c>
      <c r="G80" t="s">
        <v>65</v>
      </c>
      <c r="I80" t="s">
        <v>78</v>
      </c>
      <c r="K80" t="s">
        <v>78</v>
      </c>
      <c r="L80" t="s">
        <v>295</v>
      </c>
      <c r="M80" t="s">
        <v>69</v>
      </c>
      <c r="N80" t="s">
        <v>143</v>
      </c>
      <c r="P80">
        <f t="shared" si="2"/>
        <v>1</v>
      </c>
      <c r="Q80" t="str">
        <f>IF(AND(P80&gt;1,COUNTIF($E$6:E80,E80)=1),MAX($Q$5:Q79)+1,"")</f>
        <v/>
      </c>
      <c r="R80" t="str">
        <f t="shared" si="3"/>
        <v/>
      </c>
    </row>
    <row r="81" spans="1:18" ht="22.95" customHeight="1">
      <c r="A81" s="20">
        <v>46271</v>
      </c>
      <c r="B81" t="s">
        <v>18</v>
      </c>
      <c r="C81" t="s">
        <v>97</v>
      </c>
      <c r="D81" t="s">
        <v>98</v>
      </c>
      <c r="E81" t="s">
        <v>297</v>
      </c>
      <c r="F81">
        <v>1</v>
      </c>
      <c r="G81" t="s">
        <v>65</v>
      </c>
      <c r="I81" t="s">
        <v>78</v>
      </c>
      <c r="K81" t="s">
        <v>78</v>
      </c>
      <c r="L81" t="s">
        <v>298</v>
      </c>
      <c r="M81" t="s">
        <v>69</v>
      </c>
      <c r="N81" t="s">
        <v>143</v>
      </c>
      <c r="P81">
        <f t="shared" si="2"/>
        <v>1</v>
      </c>
      <c r="Q81" t="str">
        <f>IF(AND(P81&gt;1,COUNTIF($E$6:E81,E81)=1),MAX($Q$5:Q80)+1,"")</f>
        <v/>
      </c>
      <c r="R81" t="str">
        <f t="shared" si="3"/>
        <v/>
      </c>
    </row>
    <row r="82" spans="1:18" ht="22.95" customHeight="1">
      <c r="A82" s="20">
        <v>46271</v>
      </c>
      <c r="B82" t="s">
        <v>18</v>
      </c>
      <c r="C82" t="s">
        <v>97</v>
      </c>
      <c r="D82" t="s">
        <v>98</v>
      </c>
      <c r="E82" t="s">
        <v>299</v>
      </c>
      <c r="F82">
        <v>1</v>
      </c>
      <c r="G82" t="s">
        <v>65</v>
      </c>
      <c r="I82" t="s">
        <v>78</v>
      </c>
      <c r="K82" t="s">
        <v>78</v>
      </c>
      <c r="L82" t="s">
        <v>300</v>
      </c>
      <c r="M82" t="s">
        <v>69</v>
      </c>
      <c r="N82" t="s">
        <v>143</v>
      </c>
      <c r="P82">
        <f t="shared" si="2"/>
        <v>1</v>
      </c>
      <c r="Q82" t="str">
        <f>IF(AND(P82&gt;1,COUNTIF($E$6:E82,E82)=1),MAX($Q$5:Q81)+1,"")</f>
        <v/>
      </c>
      <c r="R82" t="str">
        <f t="shared" si="3"/>
        <v/>
      </c>
    </row>
    <row r="83" spans="1:18" ht="22.95" customHeight="1">
      <c r="A83" s="20">
        <v>46272</v>
      </c>
      <c r="B83" t="s">
        <v>18</v>
      </c>
      <c r="C83" t="s">
        <v>74</v>
      </c>
      <c r="D83" t="s">
        <v>75</v>
      </c>
      <c r="E83" t="s">
        <v>301</v>
      </c>
      <c r="F83">
        <v>1</v>
      </c>
      <c r="G83" t="s">
        <v>302</v>
      </c>
      <c r="H83" t="s">
        <v>303</v>
      </c>
      <c r="I83" t="s">
        <v>304</v>
      </c>
      <c r="K83" t="s">
        <v>305</v>
      </c>
      <c r="L83" t="s">
        <v>306</v>
      </c>
      <c r="M83" t="s">
        <v>69</v>
      </c>
      <c r="N83" t="s">
        <v>217</v>
      </c>
      <c r="P83">
        <f t="shared" si="2"/>
        <v>1</v>
      </c>
      <c r="Q83" t="str">
        <f>IF(AND(P83&gt;1,COUNTIF($E$6:E83,E83)=1),MAX($Q$5:Q82)+1,"")</f>
        <v/>
      </c>
      <c r="R83" t="str">
        <f t="shared" si="3"/>
        <v/>
      </c>
    </row>
    <row r="84" spans="1:18" ht="22.95" customHeight="1">
      <c r="A84" s="20">
        <v>46272</v>
      </c>
      <c r="B84" t="s">
        <v>18</v>
      </c>
      <c r="C84" t="s">
        <v>74</v>
      </c>
      <c r="D84" t="s">
        <v>75</v>
      </c>
      <c r="E84" t="s">
        <v>307</v>
      </c>
      <c r="F84">
        <v>1</v>
      </c>
      <c r="G84" t="s">
        <v>302</v>
      </c>
      <c r="H84" t="s">
        <v>303</v>
      </c>
      <c r="I84" t="s">
        <v>304</v>
      </c>
      <c r="K84" t="s">
        <v>305</v>
      </c>
      <c r="L84" t="s">
        <v>308</v>
      </c>
      <c r="M84" t="s">
        <v>69</v>
      </c>
      <c r="N84" t="s">
        <v>309</v>
      </c>
      <c r="P84">
        <f t="shared" si="2"/>
        <v>1</v>
      </c>
      <c r="Q84" t="str">
        <f>IF(AND(P84&gt;1,COUNTIF($E$6:E84,E84)=1),MAX($Q$5:Q83)+1,"")</f>
        <v/>
      </c>
      <c r="R84" t="str">
        <f t="shared" si="3"/>
        <v/>
      </c>
    </row>
    <row r="85" spans="1:18" ht="22.95" customHeight="1">
      <c r="A85" s="20">
        <v>46272</v>
      </c>
      <c r="B85" t="s">
        <v>18</v>
      </c>
      <c r="C85" t="s">
        <v>74</v>
      </c>
      <c r="D85" t="s">
        <v>75</v>
      </c>
      <c r="E85" t="s">
        <v>310</v>
      </c>
      <c r="F85">
        <v>1</v>
      </c>
      <c r="G85" t="s">
        <v>302</v>
      </c>
      <c r="H85" t="s">
        <v>303</v>
      </c>
      <c r="I85" t="s">
        <v>304</v>
      </c>
      <c r="K85" t="s">
        <v>305</v>
      </c>
      <c r="L85" t="s">
        <v>311</v>
      </c>
      <c r="M85" t="s">
        <v>69</v>
      </c>
      <c r="N85" t="s">
        <v>309</v>
      </c>
      <c r="P85">
        <f t="shared" si="2"/>
        <v>1</v>
      </c>
      <c r="Q85" t="str">
        <f>IF(AND(P85&gt;1,COUNTIF($E$6:E85,E85)=1),MAX($Q$5:Q84)+1,"")</f>
        <v/>
      </c>
      <c r="R85" t="str">
        <f t="shared" si="3"/>
        <v/>
      </c>
    </row>
    <row r="86" spans="1:18" ht="22.95" customHeight="1">
      <c r="A86" s="20">
        <v>46272</v>
      </c>
      <c r="B86" t="s">
        <v>18</v>
      </c>
      <c r="C86" t="s">
        <v>74</v>
      </c>
      <c r="D86" t="s">
        <v>75</v>
      </c>
      <c r="E86" t="s">
        <v>312</v>
      </c>
      <c r="F86">
        <v>1</v>
      </c>
      <c r="G86" t="s">
        <v>39</v>
      </c>
      <c r="I86" t="s">
        <v>313</v>
      </c>
      <c r="J86" t="s">
        <v>100</v>
      </c>
      <c r="K86" t="s">
        <v>40</v>
      </c>
      <c r="L86" t="s">
        <v>314</v>
      </c>
      <c r="M86" t="s">
        <v>92</v>
      </c>
      <c r="P86">
        <f t="shared" si="2"/>
        <v>1</v>
      </c>
      <c r="Q86" t="str">
        <f>IF(AND(P86&gt;1,COUNTIF($E$6:E86,E86)=1),MAX($Q$5:Q85)+1,"")</f>
        <v/>
      </c>
      <c r="R86" t="str">
        <f t="shared" si="3"/>
        <v/>
      </c>
    </row>
    <row r="87" spans="1:18" ht="22.95" customHeight="1">
      <c r="A87" s="20">
        <v>46272</v>
      </c>
      <c r="B87" t="s">
        <v>18</v>
      </c>
      <c r="C87" t="s">
        <v>87</v>
      </c>
      <c r="D87" t="s">
        <v>88</v>
      </c>
      <c r="E87" t="s">
        <v>315</v>
      </c>
      <c r="F87">
        <v>1</v>
      </c>
      <c r="G87" t="s">
        <v>316</v>
      </c>
      <c r="I87" t="s">
        <v>317</v>
      </c>
      <c r="K87" t="s">
        <v>318</v>
      </c>
      <c r="L87" t="s">
        <v>319</v>
      </c>
      <c r="M87" t="s">
        <v>92</v>
      </c>
      <c r="P87">
        <f t="shared" si="2"/>
        <v>1</v>
      </c>
      <c r="Q87" t="str">
        <f>IF(AND(P87&gt;1,COUNTIF($E$6:E87,E87)=1),MAX($Q$5:Q86)+1,"")</f>
        <v/>
      </c>
      <c r="R87" t="str">
        <f t="shared" si="3"/>
        <v/>
      </c>
    </row>
    <row r="88" spans="1:18" ht="22.95" customHeight="1">
      <c r="A88" s="20">
        <v>46272</v>
      </c>
      <c r="B88" t="s">
        <v>18</v>
      </c>
      <c r="C88" t="s">
        <v>62</v>
      </c>
      <c r="D88" t="s">
        <v>161</v>
      </c>
      <c r="E88" t="s">
        <v>320</v>
      </c>
      <c r="F88">
        <v>1</v>
      </c>
      <c r="G88" t="s">
        <v>39</v>
      </c>
      <c r="I88" t="s">
        <v>66</v>
      </c>
      <c r="J88" t="s">
        <v>154</v>
      </c>
      <c r="K88" t="s">
        <v>40</v>
      </c>
      <c r="L88" t="s">
        <v>321</v>
      </c>
      <c r="M88" t="s">
        <v>92</v>
      </c>
      <c r="P88">
        <f t="shared" si="2"/>
        <v>1</v>
      </c>
      <c r="Q88" t="str">
        <f>IF(AND(P88&gt;1,COUNTIF($E$6:E88,E88)=1),MAX($Q$5:Q87)+1,"")</f>
        <v/>
      </c>
      <c r="R88" t="str">
        <f t="shared" si="3"/>
        <v/>
      </c>
    </row>
    <row r="89" spans="1:18" ht="22.95" customHeight="1">
      <c r="A89" s="20">
        <v>46272</v>
      </c>
      <c r="B89" t="s">
        <v>18</v>
      </c>
      <c r="C89" t="s">
        <v>97</v>
      </c>
      <c r="D89" t="s">
        <v>98</v>
      </c>
      <c r="E89" t="s">
        <v>322</v>
      </c>
      <c r="F89">
        <v>1</v>
      </c>
      <c r="G89" t="s">
        <v>65</v>
      </c>
      <c r="I89" t="s">
        <v>66</v>
      </c>
      <c r="K89" t="s">
        <v>323</v>
      </c>
      <c r="L89" t="s">
        <v>324</v>
      </c>
      <c r="M89" t="s">
        <v>69</v>
      </c>
      <c r="N89" t="s">
        <v>70</v>
      </c>
      <c r="P89">
        <f t="shared" si="2"/>
        <v>1</v>
      </c>
      <c r="Q89" t="str">
        <f>IF(AND(P89&gt;1,COUNTIF($E$6:E89,E89)=1),MAX($Q$5:Q88)+1,"")</f>
        <v/>
      </c>
      <c r="R89" t="str">
        <f t="shared" si="3"/>
        <v/>
      </c>
    </row>
    <row r="90" spans="1:18" ht="22.95" customHeight="1">
      <c r="A90" s="20">
        <v>46273</v>
      </c>
      <c r="B90" t="s">
        <v>18</v>
      </c>
      <c r="C90" t="s">
        <v>74</v>
      </c>
      <c r="D90" t="s">
        <v>75</v>
      </c>
      <c r="E90" t="s">
        <v>325</v>
      </c>
      <c r="F90">
        <v>1</v>
      </c>
      <c r="G90" t="s">
        <v>326</v>
      </c>
      <c r="H90" t="s">
        <v>327</v>
      </c>
      <c r="I90" t="s">
        <v>90</v>
      </c>
      <c r="K90" t="s">
        <v>40</v>
      </c>
      <c r="L90" t="s">
        <v>328</v>
      </c>
      <c r="M90" t="s">
        <v>92</v>
      </c>
      <c r="P90">
        <f t="shared" si="2"/>
        <v>1</v>
      </c>
      <c r="Q90" t="str">
        <f>IF(AND(P90&gt;1,COUNTIF($E$6:E90,E90)=1),MAX($Q$5:Q89)+1,"")</f>
        <v/>
      </c>
      <c r="R90" t="str">
        <f t="shared" si="3"/>
        <v/>
      </c>
    </row>
    <row r="91" spans="1:18" ht="22.95" customHeight="1">
      <c r="A91" s="20">
        <v>46273</v>
      </c>
      <c r="B91" t="s">
        <v>18</v>
      </c>
      <c r="C91" t="s">
        <v>74</v>
      </c>
      <c r="D91" t="s">
        <v>75</v>
      </c>
      <c r="E91" t="s">
        <v>329</v>
      </c>
      <c r="F91">
        <v>1</v>
      </c>
      <c r="G91" t="s">
        <v>330</v>
      </c>
      <c r="H91" t="s">
        <v>331</v>
      </c>
      <c r="I91" t="s">
        <v>90</v>
      </c>
      <c r="K91" t="s">
        <v>40</v>
      </c>
      <c r="L91" t="s">
        <v>332</v>
      </c>
      <c r="M91" t="s">
        <v>38</v>
      </c>
      <c r="P91">
        <f t="shared" si="2"/>
        <v>1</v>
      </c>
      <c r="Q91" t="str">
        <f>IF(AND(P91&gt;1,COUNTIF($E$6:E91,E91)=1),MAX($Q$5:Q90)+1,"")</f>
        <v/>
      </c>
      <c r="R91" t="str">
        <f t="shared" si="3"/>
        <v/>
      </c>
    </row>
    <row r="92" spans="1:18" ht="22.95" customHeight="1">
      <c r="A92" s="20">
        <v>46273</v>
      </c>
      <c r="B92" t="s">
        <v>18</v>
      </c>
      <c r="C92" t="s">
        <v>74</v>
      </c>
      <c r="D92" t="s">
        <v>75</v>
      </c>
      <c r="E92" t="s">
        <v>333</v>
      </c>
      <c r="F92">
        <v>1</v>
      </c>
      <c r="I92" t="s">
        <v>334</v>
      </c>
      <c r="K92" t="s">
        <v>40</v>
      </c>
      <c r="L92" t="s">
        <v>335</v>
      </c>
      <c r="M92" t="s">
        <v>38</v>
      </c>
      <c r="P92">
        <f t="shared" si="2"/>
        <v>1</v>
      </c>
      <c r="Q92" t="str">
        <f>IF(AND(P92&gt;1,COUNTIF($E$6:E92,E92)=1),MAX($Q$5:Q91)+1,"")</f>
        <v/>
      </c>
      <c r="R92" t="str">
        <f t="shared" si="3"/>
        <v/>
      </c>
    </row>
    <row r="93" spans="1:18" ht="22.95" customHeight="1">
      <c r="A93" s="20">
        <v>46273</v>
      </c>
      <c r="B93" t="s">
        <v>18</v>
      </c>
      <c r="C93" t="s">
        <v>74</v>
      </c>
      <c r="D93" t="s">
        <v>75</v>
      </c>
      <c r="E93" t="s">
        <v>336</v>
      </c>
      <c r="F93">
        <v>1</v>
      </c>
      <c r="G93" t="s">
        <v>65</v>
      </c>
      <c r="I93" t="s">
        <v>337</v>
      </c>
      <c r="K93" t="s">
        <v>40</v>
      </c>
      <c r="L93" t="s">
        <v>338</v>
      </c>
      <c r="M93" t="s">
        <v>69</v>
      </c>
      <c r="P93">
        <f t="shared" si="2"/>
        <v>1</v>
      </c>
      <c r="Q93" t="str">
        <f>IF(AND(P93&gt;1,COUNTIF($E$6:E93,E93)=1),MAX($Q$5:Q92)+1,"")</f>
        <v/>
      </c>
      <c r="R93" t="str">
        <f t="shared" si="3"/>
        <v/>
      </c>
    </row>
    <row r="94" spans="1:18" ht="22.95" customHeight="1">
      <c r="A94" s="20">
        <v>46273</v>
      </c>
      <c r="B94" t="s">
        <v>18</v>
      </c>
      <c r="C94" t="s">
        <v>74</v>
      </c>
      <c r="D94" t="s">
        <v>75</v>
      </c>
      <c r="E94" t="s">
        <v>339</v>
      </c>
      <c r="F94">
        <v>1</v>
      </c>
      <c r="G94" t="s">
        <v>39</v>
      </c>
      <c r="I94" t="s">
        <v>340</v>
      </c>
      <c r="K94" t="s">
        <v>40</v>
      </c>
      <c r="L94" t="s">
        <v>341</v>
      </c>
      <c r="M94" t="s">
        <v>69</v>
      </c>
      <c r="N94" t="s">
        <v>96</v>
      </c>
      <c r="P94">
        <f t="shared" si="2"/>
        <v>1</v>
      </c>
      <c r="Q94" t="str">
        <f>IF(AND(P94&gt;1,COUNTIF($E$6:E94,E94)=1),MAX($Q$5:Q93)+1,"")</f>
        <v/>
      </c>
      <c r="R94" t="str">
        <f t="shared" si="3"/>
        <v/>
      </c>
    </row>
    <row r="95" spans="1:18" ht="22.95" customHeight="1">
      <c r="A95" s="20">
        <v>46273</v>
      </c>
      <c r="B95" t="s">
        <v>18</v>
      </c>
      <c r="C95" t="s">
        <v>74</v>
      </c>
      <c r="D95" t="s">
        <v>75</v>
      </c>
      <c r="E95" t="s">
        <v>342</v>
      </c>
      <c r="F95">
        <v>1</v>
      </c>
      <c r="G95" t="s">
        <v>39</v>
      </c>
      <c r="I95" t="s">
        <v>343</v>
      </c>
      <c r="J95" t="s">
        <v>159</v>
      </c>
      <c r="K95" t="s">
        <v>40</v>
      </c>
      <c r="L95" t="s">
        <v>344</v>
      </c>
      <c r="M95" t="s">
        <v>92</v>
      </c>
      <c r="P95">
        <f t="shared" si="2"/>
        <v>1</v>
      </c>
      <c r="Q95" t="str">
        <f>IF(AND(P95&gt;1,COUNTIF($E$6:E95,E95)=1),MAX($Q$5:Q94)+1,"")</f>
        <v/>
      </c>
      <c r="R95" t="str">
        <f t="shared" si="3"/>
        <v/>
      </c>
    </row>
    <row r="96" spans="1:18" ht="22.95" customHeight="1">
      <c r="A96" s="20">
        <v>46273</v>
      </c>
      <c r="B96" t="s">
        <v>18</v>
      </c>
      <c r="C96" t="s">
        <v>74</v>
      </c>
      <c r="D96" t="s">
        <v>75</v>
      </c>
      <c r="E96" t="s">
        <v>345</v>
      </c>
      <c r="F96">
        <v>1</v>
      </c>
      <c r="G96" t="s">
        <v>39</v>
      </c>
      <c r="I96" t="s">
        <v>346</v>
      </c>
      <c r="J96" t="s">
        <v>154</v>
      </c>
      <c r="K96" t="s">
        <v>40</v>
      </c>
      <c r="L96" t="s">
        <v>347</v>
      </c>
      <c r="M96" t="s">
        <v>92</v>
      </c>
      <c r="P96">
        <f t="shared" si="2"/>
        <v>1</v>
      </c>
      <c r="Q96" t="str">
        <f>IF(AND(P96&gt;1,COUNTIF($E$6:E96,E96)=1),MAX($Q$5:Q95)+1,"")</f>
        <v/>
      </c>
      <c r="R96" t="str">
        <f t="shared" si="3"/>
        <v/>
      </c>
    </row>
    <row r="97" spans="1:18" ht="22.95" customHeight="1">
      <c r="A97" s="20">
        <v>46274</v>
      </c>
      <c r="B97" t="s">
        <v>18</v>
      </c>
      <c r="C97" t="s">
        <v>74</v>
      </c>
      <c r="D97" t="s">
        <v>75</v>
      </c>
      <c r="E97" t="s">
        <v>348</v>
      </c>
      <c r="F97">
        <v>1</v>
      </c>
      <c r="G97" t="s">
        <v>349</v>
      </c>
      <c r="H97" t="s">
        <v>350</v>
      </c>
      <c r="I97" t="s">
        <v>351</v>
      </c>
      <c r="K97" t="s">
        <v>352</v>
      </c>
      <c r="L97" t="s">
        <v>353</v>
      </c>
      <c r="M97" t="s">
        <v>69</v>
      </c>
      <c r="N97" t="s">
        <v>217</v>
      </c>
      <c r="P97">
        <f t="shared" si="2"/>
        <v>1</v>
      </c>
      <c r="Q97" t="str">
        <f>IF(AND(P97&gt;1,COUNTIF($E$6:E97,E97)=1),MAX($Q$5:Q96)+1,"")</f>
        <v/>
      </c>
      <c r="R97" t="str">
        <f t="shared" si="3"/>
        <v/>
      </c>
    </row>
    <row r="98" spans="1:18" ht="22.95" customHeight="1">
      <c r="A98" s="20">
        <v>46274</v>
      </c>
      <c r="B98" t="s">
        <v>18</v>
      </c>
      <c r="C98" t="s">
        <v>74</v>
      </c>
      <c r="D98" t="s">
        <v>75</v>
      </c>
      <c r="E98" t="s">
        <v>354</v>
      </c>
      <c r="F98">
        <v>1</v>
      </c>
      <c r="G98" t="s">
        <v>349</v>
      </c>
      <c r="H98" t="s">
        <v>350</v>
      </c>
      <c r="I98" t="s">
        <v>351</v>
      </c>
      <c r="K98" t="s">
        <v>352</v>
      </c>
      <c r="L98" t="s">
        <v>355</v>
      </c>
      <c r="M98" t="s">
        <v>69</v>
      </c>
      <c r="N98" t="s">
        <v>217</v>
      </c>
      <c r="P98">
        <f t="shared" si="2"/>
        <v>1</v>
      </c>
      <c r="Q98" t="str">
        <f>IF(AND(P98&gt;1,COUNTIF($E$6:E98,E98)=1),MAX($Q$5:Q97)+1,"")</f>
        <v/>
      </c>
      <c r="R98" t="str">
        <f t="shared" si="3"/>
        <v/>
      </c>
    </row>
    <row r="99" spans="1:18" ht="22.95" customHeight="1">
      <c r="A99" s="20">
        <v>46274</v>
      </c>
      <c r="B99" t="s">
        <v>18</v>
      </c>
      <c r="C99" t="s">
        <v>74</v>
      </c>
      <c r="D99" t="s">
        <v>75</v>
      </c>
      <c r="E99" t="s">
        <v>356</v>
      </c>
      <c r="F99">
        <v>1</v>
      </c>
      <c r="G99" t="s">
        <v>349</v>
      </c>
      <c r="H99" t="s">
        <v>350</v>
      </c>
      <c r="I99" t="s">
        <v>357</v>
      </c>
      <c r="K99" t="s">
        <v>78</v>
      </c>
      <c r="L99" t="s">
        <v>358</v>
      </c>
      <c r="M99" t="s">
        <v>69</v>
      </c>
      <c r="N99" t="s">
        <v>217</v>
      </c>
      <c r="P99">
        <f t="shared" si="2"/>
        <v>1</v>
      </c>
      <c r="Q99" t="str">
        <f>IF(AND(P99&gt;1,COUNTIF($E$6:E99,E99)=1),MAX($Q$5:Q98)+1,"")</f>
        <v/>
      </c>
      <c r="R99" t="str">
        <f t="shared" si="3"/>
        <v/>
      </c>
    </row>
    <row r="100" spans="1:18" ht="22.95" customHeight="1">
      <c r="A100" s="20">
        <v>46274</v>
      </c>
      <c r="B100" t="s">
        <v>18</v>
      </c>
      <c r="C100" t="s">
        <v>74</v>
      </c>
      <c r="D100" t="s">
        <v>75</v>
      </c>
      <c r="E100" t="s">
        <v>359</v>
      </c>
      <c r="F100">
        <v>1</v>
      </c>
      <c r="G100" t="s">
        <v>65</v>
      </c>
      <c r="I100" t="s">
        <v>360</v>
      </c>
      <c r="K100" t="s">
        <v>78</v>
      </c>
      <c r="L100" t="s">
        <v>361</v>
      </c>
      <c r="M100" t="s">
        <v>69</v>
      </c>
      <c r="N100" t="s">
        <v>70</v>
      </c>
      <c r="P100">
        <f t="shared" si="2"/>
        <v>1</v>
      </c>
      <c r="Q100" t="str">
        <f>IF(AND(P100&gt;1,COUNTIF($E$6:E100,E100)=1),MAX($Q$5:Q99)+1,"")</f>
        <v/>
      </c>
      <c r="R100" t="str">
        <f t="shared" si="3"/>
        <v/>
      </c>
    </row>
    <row r="101" spans="1:18" ht="22.95" customHeight="1">
      <c r="A101" s="20">
        <v>46274</v>
      </c>
      <c r="B101" t="s">
        <v>18</v>
      </c>
      <c r="C101" t="s">
        <v>74</v>
      </c>
      <c r="D101" t="s">
        <v>75</v>
      </c>
      <c r="E101" t="s">
        <v>362</v>
      </c>
      <c r="F101">
        <v>1</v>
      </c>
      <c r="G101" t="s">
        <v>39</v>
      </c>
      <c r="I101" t="s">
        <v>360</v>
      </c>
      <c r="J101" t="s">
        <v>154</v>
      </c>
      <c r="K101" t="s">
        <v>78</v>
      </c>
      <c r="L101" t="s">
        <v>363</v>
      </c>
      <c r="M101" t="s">
        <v>92</v>
      </c>
      <c r="P101">
        <f t="shared" si="2"/>
        <v>1</v>
      </c>
      <c r="Q101" t="str">
        <f>IF(AND(P101&gt;1,COUNTIF($E$6:E101,E101)=1),MAX($Q$5:Q100)+1,"")</f>
        <v/>
      </c>
      <c r="R101" t="str">
        <f t="shared" si="3"/>
        <v/>
      </c>
    </row>
    <row r="102" spans="1:18" ht="22.95" customHeight="1">
      <c r="A102" s="20">
        <v>46274</v>
      </c>
      <c r="B102" t="s">
        <v>18</v>
      </c>
      <c r="C102" t="s">
        <v>74</v>
      </c>
      <c r="D102" t="s">
        <v>75</v>
      </c>
      <c r="E102" t="s">
        <v>364</v>
      </c>
      <c r="F102">
        <v>1</v>
      </c>
      <c r="G102" t="s">
        <v>39</v>
      </c>
      <c r="I102" t="s">
        <v>360</v>
      </c>
      <c r="J102" t="s">
        <v>159</v>
      </c>
      <c r="K102" t="s">
        <v>78</v>
      </c>
      <c r="L102" t="s">
        <v>365</v>
      </c>
      <c r="M102" t="s">
        <v>92</v>
      </c>
      <c r="P102">
        <f t="shared" si="2"/>
        <v>1</v>
      </c>
      <c r="Q102" t="str">
        <f>IF(AND(P102&gt;1,COUNTIF($E$6:E102,E102)=1),MAX($Q$5:Q101)+1,"")</f>
        <v/>
      </c>
      <c r="R102" t="str">
        <f t="shared" si="3"/>
        <v/>
      </c>
    </row>
    <row r="103" spans="1:18" ht="22.95" customHeight="1">
      <c r="A103" s="20">
        <v>46274</v>
      </c>
      <c r="B103" t="s">
        <v>18</v>
      </c>
      <c r="C103" t="s">
        <v>81</v>
      </c>
      <c r="D103" t="s">
        <v>82</v>
      </c>
      <c r="E103" t="s">
        <v>366</v>
      </c>
      <c r="F103">
        <v>1</v>
      </c>
      <c r="G103" t="s">
        <v>65</v>
      </c>
      <c r="I103" t="s">
        <v>360</v>
      </c>
      <c r="K103" t="s">
        <v>367</v>
      </c>
      <c r="L103" t="s">
        <v>368</v>
      </c>
      <c r="M103" t="s">
        <v>69</v>
      </c>
      <c r="N103" t="s">
        <v>70</v>
      </c>
      <c r="P103">
        <f t="shared" si="2"/>
        <v>1</v>
      </c>
      <c r="Q103" t="str">
        <f>IF(AND(P103&gt;1,COUNTIF($E$6:E103,E103)=1),MAX($Q$5:Q102)+1,"")</f>
        <v/>
      </c>
      <c r="R103" t="str">
        <f t="shared" si="3"/>
        <v/>
      </c>
    </row>
    <row r="104" spans="1:18" ht="22.95" customHeight="1">
      <c r="A104" s="20">
        <v>46274</v>
      </c>
      <c r="B104" t="s">
        <v>18</v>
      </c>
      <c r="C104" t="s">
        <v>81</v>
      </c>
      <c r="D104" t="s">
        <v>82</v>
      </c>
      <c r="E104" t="s">
        <v>369</v>
      </c>
      <c r="F104">
        <v>1</v>
      </c>
      <c r="G104" t="s">
        <v>65</v>
      </c>
      <c r="I104" t="s">
        <v>360</v>
      </c>
      <c r="K104" t="s">
        <v>367</v>
      </c>
      <c r="L104" t="s">
        <v>368</v>
      </c>
      <c r="M104" t="s">
        <v>69</v>
      </c>
      <c r="N104" t="s">
        <v>70</v>
      </c>
      <c r="P104">
        <f t="shared" si="2"/>
        <v>1</v>
      </c>
      <c r="Q104" t="str">
        <f>IF(AND(P104&gt;1,COUNTIF($E$6:E104,E104)=1),MAX($Q$5:Q103)+1,"")</f>
        <v/>
      </c>
      <c r="R104" t="str">
        <f t="shared" si="3"/>
        <v/>
      </c>
    </row>
    <row r="105" spans="1:18" ht="22.95" customHeight="1">
      <c r="A105" s="20">
        <v>46274</v>
      </c>
      <c r="B105" t="s">
        <v>18</v>
      </c>
      <c r="C105" t="s">
        <v>81</v>
      </c>
      <c r="D105" t="s">
        <v>82</v>
      </c>
      <c r="E105" t="s">
        <v>370</v>
      </c>
      <c r="F105">
        <v>1</v>
      </c>
      <c r="G105" t="s">
        <v>65</v>
      </c>
      <c r="I105" t="s">
        <v>360</v>
      </c>
      <c r="K105" t="s">
        <v>367</v>
      </c>
      <c r="L105" t="s">
        <v>368</v>
      </c>
      <c r="M105" t="s">
        <v>69</v>
      </c>
      <c r="N105" t="s">
        <v>70</v>
      </c>
      <c r="P105">
        <f t="shared" si="2"/>
        <v>1</v>
      </c>
      <c r="Q105" t="str">
        <f>IF(AND(P105&gt;1,COUNTIF($E$6:E105,E105)=1),MAX($Q$5:Q104)+1,"")</f>
        <v/>
      </c>
      <c r="R105" t="str">
        <f t="shared" si="3"/>
        <v/>
      </c>
    </row>
    <row r="106" spans="1:18" ht="22.95" customHeight="1">
      <c r="A106" s="20">
        <v>46274</v>
      </c>
      <c r="B106" t="s">
        <v>18</v>
      </c>
      <c r="C106" t="s">
        <v>81</v>
      </c>
      <c r="D106" t="s">
        <v>82</v>
      </c>
      <c r="E106" t="s">
        <v>371</v>
      </c>
      <c r="F106">
        <v>1</v>
      </c>
      <c r="G106" t="s">
        <v>65</v>
      </c>
      <c r="I106" t="s">
        <v>360</v>
      </c>
      <c r="K106" t="s">
        <v>367</v>
      </c>
      <c r="L106" t="s">
        <v>368</v>
      </c>
      <c r="M106" t="s">
        <v>69</v>
      </c>
      <c r="N106" t="s">
        <v>70</v>
      </c>
      <c r="P106">
        <f t="shared" si="2"/>
        <v>1</v>
      </c>
      <c r="Q106" t="str">
        <f>IF(AND(P106&gt;1,COUNTIF($E$6:E106,E106)=1),MAX($Q$5:Q105)+1,"")</f>
        <v/>
      </c>
      <c r="R106" t="str">
        <f t="shared" si="3"/>
        <v/>
      </c>
    </row>
    <row r="107" spans="1:18" ht="22.95" customHeight="1">
      <c r="A107" s="20">
        <v>46274</v>
      </c>
      <c r="B107" t="s">
        <v>18</v>
      </c>
      <c r="C107" t="s">
        <v>81</v>
      </c>
      <c r="D107" t="s">
        <v>82</v>
      </c>
      <c r="E107" t="s">
        <v>372</v>
      </c>
      <c r="F107">
        <v>1</v>
      </c>
      <c r="G107" t="s">
        <v>65</v>
      </c>
      <c r="I107" t="s">
        <v>360</v>
      </c>
      <c r="K107" t="s">
        <v>367</v>
      </c>
      <c r="L107" t="s">
        <v>368</v>
      </c>
      <c r="M107" t="s">
        <v>69</v>
      </c>
      <c r="N107" t="s">
        <v>70</v>
      </c>
      <c r="P107">
        <f t="shared" si="2"/>
        <v>1</v>
      </c>
      <c r="Q107" t="str">
        <f>IF(AND(P107&gt;1,COUNTIF($E$6:E107,E107)=1),MAX($Q$5:Q106)+1,"")</f>
        <v/>
      </c>
      <c r="R107" t="str">
        <f t="shared" si="3"/>
        <v/>
      </c>
    </row>
    <row r="108" spans="1:18" ht="22.95" customHeight="1">
      <c r="A108" s="20">
        <v>46274</v>
      </c>
      <c r="B108" t="s">
        <v>18</v>
      </c>
      <c r="C108" t="s">
        <v>81</v>
      </c>
      <c r="D108" t="s">
        <v>82</v>
      </c>
      <c r="E108" t="s">
        <v>373</v>
      </c>
      <c r="F108">
        <v>1</v>
      </c>
      <c r="G108" t="s">
        <v>374</v>
      </c>
      <c r="I108" t="s">
        <v>360</v>
      </c>
      <c r="K108" t="s">
        <v>78</v>
      </c>
      <c r="L108" t="s">
        <v>375</v>
      </c>
      <c r="M108" t="s">
        <v>92</v>
      </c>
      <c r="P108">
        <f t="shared" si="2"/>
        <v>1</v>
      </c>
      <c r="Q108" t="str">
        <f>IF(AND(P108&gt;1,COUNTIF($E$6:E108,E108)=1),MAX($Q$5:Q107)+1,"")</f>
        <v/>
      </c>
      <c r="R108" t="str">
        <f t="shared" si="3"/>
        <v/>
      </c>
    </row>
    <row r="109" spans="1:18" ht="22.95" customHeight="1">
      <c r="A109" s="20">
        <v>46274</v>
      </c>
      <c r="B109" t="s">
        <v>18</v>
      </c>
      <c r="C109" t="s">
        <v>81</v>
      </c>
      <c r="D109" t="s">
        <v>82</v>
      </c>
      <c r="E109" t="s">
        <v>376</v>
      </c>
      <c r="F109">
        <v>1</v>
      </c>
      <c r="G109" t="s">
        <v>377</v>
      </c>
      <c r="I109" t="s">
        <v>378</v>
      </c>
      <c r="J109" t="s">
        <v>205</v>
      </c>
      <c r="K109" t="s">
        <v>379</v>
      </c>
      <c r="L109" t="s">
        <v>380</v>
      </c>
      <c r="M109" t="s">
        <v>69</v>
      </c>
      <c r="N109" t="s">
        <v>279</v>
      </c>
      <c r="P109">
        <f t="shared" si="2"/>
        <v>1</v>
      </c>
      <c r="Q109" t="str">
        <f>IF(AND(P109&gt;1,COUNTIF($E$6:E109,E109)=1),MAX($Q$5:Q108)+1,"")</f>
        <v/>
      </c>
      <c r="R109" t="str">
        <f t="shared" si="3"/>
        <v/>
      </c>
    </row>
    <row r="110" spans="1:18" ht="22.95" customHeight="1">
      <c r="A110" s="20">
        <v>46274</v>
      </c>
      <c r="B110" t="s">
        <v>18</v>
      </c>
      <c r="C110" t="s">
        <v>81</v>
      </c>
      <c r="D110" t="s">
        <v>82</v>
      </c>
      <c r="E110" t="s">
        <v>381</v>
      </c>
      <c r="F110">
        <v>1</v>
      </c>
      <c r="G110" t="s">
        <v>377</v>
      </c>
      <c r="I110" t="s">
        <v>382</v>
      </c>
      <c r="J110" t="s">
        <v>205</v>
      </c>
      <c r="K110" t="s">
        <v>383</v>
      </c>
      <c r="L110" t="s">
        <v>380</v>
      </c>
      <c r="M110" t="s">
        <v>69</v>
      </c>
      <c r="N110" t="s">
        <v>279</v>
      </c>
      <c r="P110">
        <f t="shared" si="2"/>
        <v>1</v>
      </c>
      <c r="Q110" t="str">
        <f>IF(AND(P110&gt;1,COUNTIF($E$6:E110,E110)=1),MAX($Q$5:Q109)+1,"")</f>
        <v/>
      </c>
      <c r="R110" t="str">
        <f t="shared" si="3"/>
        <v/>
      </c>
    </row>
    <row r="111" spans="1:18" ht="22.95" customHeight="1">
      <c r="A111" s="20">
        <v>46274</v>
      </c>
      <c r="B111" t="s">
        <v>18</v>
      </c>
      <c r="C111" t="s">
        <v>81</v>
      </c>
      <c r="D111" t="s">
        <v>82</v>
      </c>
      <c r="E111" t="s">
        <v>384</v>
      </c>
      <c r="F111">
        <v>1</v>
      </c>
      <c r="G111" t="s">
        <v>39</v>
      </c>
      <c r="I111" t="s">
        <v>385</v>
      </c>
      <c r="J111" t="s">
        <v>100</v>
      </c>
      <c r="K111" t="s">
        <v>386</v>
      </c>
      <c r="L111" t="s">
        <v>387</v>
      </c>
      <c r="M111" t="s">
        <v>92</v>
      </c>
      <c r="P111">
        <f t="shared" si="2"/>
        <v>1</v>
      </c>
      <c r="Q111" t="str">
        <f>IF(AND(P111&gt;1,COUNTIF($E$6:E111,E111)=1),MAX($Q$5:Q110)+1,"")</f>
        <v/>
      </c>
      <c r="R111" t="str">
        <f t="shared" si="3"/>
        <v/>
      </c>
    </row>
    <row r="112" spans="1:18" ht="22.95" customHeight="1">
      <c r="A112" s="20">
        <v>46274</v>
      </c>
      <c r="B112" t="s">
        <v>18</v>
      </c>
      <c r="C112" t="s">
        <v>87</v>
      </c>
      <c r="D112" t="s">
        <v>88</v>
      </c>
      <c r="E112" t="s">
        <v>388</v>
      </c>
      <c r="F112">
        <v>1</v>
      </c>
      <c r="G112" t="s">
        <v>65</v>
      </c>
      <c r="I112" t="s">
        <v>389</v>
      </c>
      <c r="K112" t="s">
        <v>66</v>
      </c>
      <c r="L112" t="s">
        <v>390</v>
      </c>
      <c r="M112" t="s">
        <v>69</v>
      </c>
      <c r="N112" t="s">
        <v>70</v>
      </c>
      <c r="P112">
        <f t="shared" si="2"/>
        <v>1</v>
      </c>
      <c r="Q112" t="str">
        <f>IF(AND(P112&gt;1,COUNTIF($E$6:E112,E112)=1),MAX($Q$5:Q111)+1,"")</f>
        <v/>
      </c>
      <c r="R112" t="str">
        <f t="shared" si="3"/>
        <v/>
      </c>
    </row>
    <row r="113" spans="1:18" ht="22.95" customHeight="1">
      <c r="A113" s="20">
        <v>46274</v>
      </c>
      <c r="B113" t="s">
        <v>18</v>
      </c>
      <c r="C113" t="s">
        <v>62</v>
      </c>
      <c r="D113" t="s">
        <v>161</v>
      </c>
      <c r="E113" t="s">
        <v>391</v>
      </c>
      <c r="F113">
        <v>1</v>
      </c>
      <c r="G113" t="s">
        <v>392</v>
      </c>
      <c r="H113" t="s">
        <v>393</v>
      </c>
      <c r="I113" t="s">
        <v>394</v>
      </c>
      <c r="K113" t="s">
        <v>395</v>
      </c>
      <c r="L113" t="s">
        <v>396</v>
      </c>
      <c r="M113" t="s">
        <v>69</v>
      </c>
      <c r="N113" t="s">
        <v>70</v>
      </c>
      <c r="P113">
        <f t="shared" si="2"/>
        <v>1</v>
      </c>
      <c r="Q113" t="str">
        <f>IF(AND(P113&gt;1,COUNTIF($E$6:E113,E113)=1),MAX($Q$5:Q112)+1,"")</f>
        <v/>
      </c>
      <c r="R113" t="str">
        <f t="shared" si="3"/>
        <v/>
      </c>
    </row>
    <row r="114" spans="1:18" ht="22.95" customHeight="1">
      <c r="A114" s="20">
        <v>46274</v>
      </c>
      <c r="B114" t="s">
        <v>18</v>
      </c>
      <c r="C114" t="s">
        <v>62</v>
      </c>
      <c r="D114" t="s">
        <v>161</v>
      </c>
      <c r="E114" t="s">
        <v>397</v>
      </c>
      <c r="F114">
        <v>1</v>
      </c>
      <c r="G114" t="s">
        <v>398</v>
      </c>
      <c r="H114" t="s">
        <v>399</v>
      </c>
      <c r="I114" t="s">
        <v>90</v>
      </c>
      <c r="L114" t="s">
        <v>400</v>
      </c>
      <c r="M114" t="s">
        <v>69</v>
      </c>
      <c r="N114" t="s">
        <v>70</v>
      </c>
      <c r="P114">
        <f t="shared" si="2"/>
        <v>1</v>
      </c>
      <c r="Q114" t="str">
        <f>IF(AND(P114&gt;1,COUNTIF($E$6:E114,E114)=1),MAX($Q$5:Q113)+1,"")</f>
        <v/>
      </c>
      <c r="R114" t="str">
        <f t="shared" si="3"/>
        <v/>
      </c>
    </row>
    <row r="115" spans="1:18" ht="22.95" customHeight="1">
      <c r="A115" s="20">
        <v>46274</v>
      </c>
      <c r="B115" t="s">
        <v>18</v>
      </c>
      <c r="C115" t="s">
        <v>97</v>
      </c>
      <c r="D115" t="s">
        <v>98</v>
      </c>
      <c r="E115" t="s">
        <v>401</v>
      </c>
      <c r="F115">
        <v>1</v>
      </c>
      <c r="G115" t="s">
        <v>39</v>
      </c>
      <c r="I115" t="s">
        <v>402</v>
      </c>
      <c r="K115" t="s">
        <v>403</v>
      </c>
      <c r="L115" t="s">
        <v>404</v>
      </c>
      <c r="M115" t="s">
        <v>38</v>
      </c>
      <c r="P115">
        <f t="shared" si="2"/>
        <v>1</v>
      </c>
      <c r="Q115" t="str">
        <f>IF(AND(P115&gt;1,COUNTIF($E$6:E115,E115)=1),MAX($Q$5:Q114)+1,"")</f>
        <v/>
      </c>
      <c r="R115" t="str">
        <f t="shared" si="3"/>
        <v/>
      </c>
    </row>
    <row r="116" spans="1:18" ht="22.95" customHeight="1">
      <c r="A116" s="20">
        <v>46274</v>
      </c>
      <c r="B116" t="s">
        <v>18</v>
      </c>
      <c r="C116" t="s">
        <v>97</v>
      </c>
      <c r="D116" t="s">
        <v>98</v>
      </c>
      <c r="E116" t="s">
        <v>405</v>
      </c>
      <c r="F116">
        <v>1</v>
      </c>
      <c r="G116" t="s">
        <v>39</v>
      </c>
      <c r="I116" t="s">
        <v>406</v>
      </c>
      <c r="K116" t="s">
        <v>403</v>
      </c>
      <c r="L116" t="s">
        <v>404</v>
      </c>
      <c r="M116" t="s">
        <v>38</v>
      </c>
      <c r="P116">
        <f t="shared" si="2"/>
        <v>1</v>
      </c>
      <c r="Q116" t="str">
        <f>IF(AND(P116&gt;1,COUNTIF($E$6:E116,E116)=1),MAX($Q$5:Q115)+1,"")</f>
        <v/>
      </c>
      <c r="R116" t="str">
        <f t="shared" si="3"/>
        <v/>
      </c>
    </row>
    <row r="117" spans="1:18" ht="22.95" customHeight="1">
      <c r="A117" s="20">
        <v>46275</v>
      </c>
      <c r="B117" t="s">
        <v>18</v>
      </c>
      <c r="C117" t="s">
        <v>87</v>
      </c>
      <c r="D117" t="s">
        <v>88</v>
      </c>
      <c r="E117" t="s">
        <v>407</v>
      </c>
      <c r="F117">
        <v>1</v>
      </c>
      <c r="G117" t="s">
        <v>408</v>
      </c>
      <c r="H117" t="s">
        <v>409</v>
      </c>
      <c r="K117" t="s">
        <v>410</v>
      </c>
      <c r="L117" t="s">
        <v>411</v>
      </c>
      <c r="M117" t="s">
        <v>69</v>
      </c>
      <c r="N117" t="s">
        <v>217</v>
      </c>
      <c r="P117">
        <f t="shared" si="2"/>
        <v>1</v>
      </c>
      <c r="Q117" t="str">
        <f>IF(AND(P117&gt;1,COUNTIF($E$6:E117,E117)=1),MAX($Q$5:Q116)+1,"")</f>
        <v/>
      </c>
      <c r="R117" t="str">
        <f t="shared" si="3"/>
        <v/>
      </c>
    </row>
    <row r="118" spans="1:18" ht="22.95" customHeight="1">
      <c r="A118" s="20">
        <v>46275</v>
      </c>
      <c r="B118" t="s">
        <v>18</v>
      </c>
      <c r="C118" t="s">
        <v>87</v>
      </c>
      <c r="D118" t="s">
        <v>88</v>
      </c>
      <c r="E118" t="s">
        <v>412</v>
      </c>
      <c r="F118">
        <v>1</v>
      </c>
      <c r="G118" t="s">
        <v>408</v>
      </c>
      <c r="H118" t="s">
        <v>409</v>
      </c>
      <c r="K118" t="s">
        <v>410</v>
      </c>
      <c r="L118" t="s">
        <v>411</v>
      </c>
      <c r="M118" t="s">
        <v>69</v>
      </c>
      <c r="N118" t="s">
        <v>217</v>
      </c>
      <c r="P118">
        <f t="shared" si="2"/>
        <v>1</v>
      </c>
      <c r="Q118" t="str">
        <f>IF(AND(P118&gt;1,COUNTIF($E$6:E118,E118)=1),MAX($Q$5:Q117)+1,"")</f>
        <v/>
      </c>
      <c r="R118" t="str">
        <f t="shared" si="3"/>
        <v/>
      </c>
    </row>
    <row r="119" spans="1:18" ht="22.95" customHeight="1">
      <c r="A119" s="20">
        <v>46275</v>
      </c>
      <c r="B119" t="s">
        <v>18</v>
      </c>
      <c r="C119" t="s">
        <v>87</v>
      </c>
      <c r="D119" t="s">
        <v>88</v>
      </c>
      <c r="E119" t="s">
        <v>413</v>
      </c>
      <c r="F119">
        <v>1</v>
      </c>
      <c r="G119" t="s">
        <v>408</v>
      </c>
      <c r="H119" t="s">
        <v>409</v>
      </c>
      <c r="K119" t="s">
        <v>410</v>
      </c>
      <c r="L119" t="s">
        <v>411</v>
      </c>
      <c r="M119" t="s">
        <v>69</v>
      </c>
      <c r="N119" t="s">
        <v>217</v>
      </c>
      <c r="P119">
        <f t="shared" si="2"/>
        <v>1</v>
      </c>
      <c r="Q119" t="str">
        <f>IF(AND(P119&gt;1,COUNTIF($E$6:E119,E119)=1),MAX($Q$5:Q118)+1,"")</f>
        <v/>
      </c>
      <c r="R119" t="str">
        <f t="shared" si="3"/>
        <v/>
      </c>
    </row>
    <row r="120" spans="1:18" ht="22.95" customHeight="1">
      <c r="A120" s="20">
        <v>46275</v>
      </c>
      <c r="B120" t="s">
        <v>18</v>
      </c>
      <c r="C120" t="s">
        <v>87</v>
      </c>
      <c r="D120" t="s">
        <v>88</v>
      </c>
      <c r="E120" t="s">
        <v>414</v>
      </c>
      <c r="F120">
        <v>1</v>
      </c>
      <c r="G120" t="s">
        <v>415</v>
      </c>
      <c r="H120" t="s">
        <v>416</v>
      </c>
      <c r="K120" t="s">
        <v>40</v>
      </c>
      <c r="L120" t="s">
        <v>417</v>
      </c>
      <c r="M120" t="s">
        <v>69</v>
      </c>
      <c r="N120" t="s">
        <v>418</v>
      </c>
      <c r="P120">
        <f t="shared" si="2"/>
        <v>1</v>
      </c>
      <c r="Q120" t="str">
        <f>IF(AND(P120&gt;1,COUNTIF($E$6:E120,E120)=1),MAX($Q$5:Q119)+1,"")</f>
        <v/>
      </c>
      <c r="R120" t="str">
        <f t="shared" si="3"/>
        <v/>
      </c>
    </row>
    <row r="121" spans="1:18" ht="22.95" customHeight="1">
      <c r="A121" s="20">
        <v>46275</v>
      </c>
      <c r="B121" t="s">
        <v>18</v>
      </c>
      <c r="C121" t="s">
        <v>87</v>
      </c>
      <c r="D121" t="s">
        <v>88</v>
      </c>
      <c r="E121" t="s">
        <v>419</v>
      </c>
      <c r="F121">
        <v>1</v>
      </c>
      <c r="G121" t="s">
        <v>39</v>
      </c>
      <c r="L121" t="s">
        <v>420</v>
      </c>
      <c r="M121" t="s">
        <v>69</v>
      </c>
      <c r="N121" t="s">
        <v>70</v>
      </c>
      <c r="P121">
        <f t="shared" si="2"/>
        <v>1</v>
      </c>
      <c r="Q121" t="str">
        <f>IF(AND(P121&gt;1,COUNTIF($E$6:E121,E121)=1),MAX($Q$5:Q120)+1,"")</f>
        <v/>
      </c>
      <c r="R121" t="str">
        <f t="shared" si="3"/>
        <v/>
      </c>
    </row>
    <row r="122" spans="1:18" ht="22.95" customHeight="1">
      <c r="A122" s="20">
        <v>46275</v>
      </c>
      <c r="B122" t="s">
        <v>18</v>
      </c>
      <c r="C122" t="s">
        <v>87</v>
      </c>
      <c r="D122" t="s">
        <v>88</v>
      </c>
      <c r="E122" t="s">
        <v>421</v>
      </c>
      <c r="F122">
        <v>1</v>
      </c>
      <c r="G122" t="s">
        <v>422</v>
      </c>
      <c r="H122" t="s">
        <v>423</v>
      </c>
      <c r="L122" t="s">
        <v>424</v>
      </c>
      <c r="M122" t="s">
        <v>69</v>
      </c>
      <c r="N122" t="s">
        <v>418</v>
      </c>
      <c r="P122">
        <f t="shared" si="2"/>
        <v>1</v>
      </c>
      <c r="Q122" t="str">
        <f>IF(AND(P122&gt;1,COUNTIF($E$6:E122,E122)=1),MAX($Q$5:Q121)+1,"")</f>
        <v/>
      </c>
      <c r="R122" t="str">
        <f t="shared" si="3"/>
        <v/>
      </c>
    </row>
    <row r="123" spans="1:18" ht="22.95" customHeight="1">
      <c r="A123" s="20">
        <v>46275</v>
      </c>
      <c r="B123" t="s">
        <v>18</v>
      </c>
      <c r="C123" t="s">
        <v>62</v>
      </c>
      <c r="D123" t="s">
        <v>161</v>
      </c>
      <c r="E123" t="s">
        <v>425</v>
      </c>
      <c r="F123">
        <v>1</v>
      </c>
      <c r="G123" t="s">
        <v>426</v>
      </c>
      <c r="I123" t="s">
        <v>427</v>
      </c>
      <c r="K123" t="s">
        <v>78</v>
      </c>
      <c r="L123" t="s">
        <v>428</v>
      </c>
      <c r="M123" t="s">
        <v>38</v>
      </c>
      <c r="P123">
        <f t="shared" si="2"/>
        <v>1</v>
      </c>
      <c r="Q123" t="str">
        <f>IF(AND(P123&gt;1,COUNTIF($E$6:E123,E123)=1),MAX($Q$5:Q122)+1,"")</f>
        <v/>
      </c>
      <c r="R123" t="str">
        <f t="shared" si="3"/>
        <v/>
      </c>
    </row>
    <row r="124" spans="1:18" ht="22.95" customHeight="1">
      <c r="A124" s="20">
        <v>46275</v>
      </c>
      <c r="B124" t="s">
        <v>18</v>
      </c>
      <c r="C124" t="s">
        <v>62</v>
      </c>
      <c r="D124" t="s">
        <v>161</v>
      </c>
      <c r="E124" t="s">
        <v>429</v>
      </c>
      <c r="F124">
        <v>1</v>
      </c>
      <c r="G124" t="s">
        <v>426</v>
      </c>
      <c r="I124" t="s">
        <v>427</v>
      </c>
      <c r="K124" t="s">
        <v>78</v>
      </c>
      <c r="L124" t="s">
        <v>428</v>
      </c>
      <c r="M124" t="s">
        <v>38</v>
      </c>
      <c r="P124">
        <f t="shared" si="2"/>
        <v>1</v>
      </c>
      <c r="Q124" t="str">
        <f>IF(AND(P124&gt;1,COUNTIF($E$6:E124,E124)=1),MAX($Q$5:Q123)+1,"")</f>
        <v/>
      </c>
      <c r="R124" t="str">
        <f t="shared" si="3"/>
        <v/>
      </c>
    </row>
    <row r="125" spans="1:18" ht="22.95" customHeight="1">
      <c r="A125" s="20">
        <v>46275</v>
      </c>
      <c r="B125" t="s">
        <v>18</v>
      </c>
      <c r="C125" t="s">
        <v>62</v>
      </c>
      <c r="D125" t="s">
        <v>161</v>
      </c>
      <c r="E125" t="s">
        <v>430</v>
      </c>
      <c r="F125">
        <v>1</v>
      </c>
      <c r="G125" t="s">
        <v>426</v>
      </c>
      <c r="I125" t="s">
        <v>427</v>
      </c>
      <c r="K125" t="s">
        <v>78</v>
      </c>
      <c r="L125" t="s">
        <v>431</v>
      </c>
      <c r="M125" t="s">
        <v>38</v>
      </c>
      <c r="P125">
        <f t="shared" si="2"/>
        <v>1</v>
      </c>
      <c r="Q125" t="str">
        <f>IF(AND(P125&gt;1,COUNTIF($E$6:E125,E125)=1),MAX($Q$5:Q124)+1,"")</f>
        <v/>
      </c>
      <c r="R125" t="str">
        <f t="shared" si="3"/>
        <v/>
      </c>
    </row>
    <row r="126" spans="1:18" ht="22.95" customHeight="1">
      <c r="A126" s="20">
        <v>46275</v>
      </c>
      <c r="B126" t="s">
        <v>18</v>
      </c>
      <c r="C126" t="s">
        <v>62</v>
      </c>
      <c r="D126" t="s">
        <v>161</v>
      </c>
      <c r="E126" t="s">
        <v>432</v>
      </c>
      <c r="F126">
        <v>1</v>
      </c>
      <c r="G126" t="s">
        <v>426</v>
      </c>
      <c r="I126" t="s">
        <v>433</v>
      </c>
      <c r="K126" t="s">
        <v>40</v>
      </c>
      <c r="L126" t="s">
        <v>434</v>
      </c>
      <c r="M126" t="s">
        <v>38</v>
      </c>
      <c r="P126">
        <f t="shared" si="2"/>
        <v>1</v>
      </c>
      <c r="Q126" t="str">
        <f>IF(AND(P126&gt;1,COUNTIF($E$6:E126,E126)=1),MAX($Q$5:Q125)+1,"")</f>
        <v/>
      </c>
      <c r="R126" t="str">
        <f t="shared" si="3"/>
        <v/>
      </c>
    </row>
    <row r="127" spans="1:18" ht="22.95" customHeight="1">
      <c r="A127" s="20">
        <v>46275</v>
      </c>
      <c r="B127" t="s">
        <v>18</v>
      </c>
      <c r="C127" t="s">
        <v>62</v>
      </c>
      <c r="D127" t="s">
        <v>161</v>
      </c>
      <c r="E127" t="s">
        <v>435</v>
      </c>
      <c r="F127">
        <v>1</v>
      </c>
      <c r="G127" t="s">
        <v>39</v>
      </c>
      <c r="I127" t="s">
        <v>436</v>
      </c>
      <c r="J127" t="s">
        <v>159</v>
      </c>
      <c r="L127" t="s">
        <v>437</v>
      </c>
      <c r="M127" t="s">
        <v>92</v>
      </c>
      <c r="P127">
        <f t="shared" si="2"/>
        <v>1</v>
      </c>
      <c r="Q127" t="str">
        <f>IF(AND(P127&gt;1,COUNTIF($E$6:E127,E127)=1),MAX($Q$5:Q126)+1,"")</f>
        <v/>
      </c>
      <c r="R127" t="str">
        <f t="shared" si="3"/>
        <v/>
      </c>
    </row>
    <row r="128" spans="1:18" ht="22.95" customHeight="1">
      <c r="A128" s="20">
        <v>46275</v>
      </c>
      <c r="B128" t="s">
        <v>18</v>
      </c>
      <c r="C128" t="s">
        <v>62</v>
      </c>
      <c r="D128" t="s">
        <v>161</v>
      </c>
      <c r="E128" t="s">
        <v>438</v>
      </c>
      <c r="F128">
        <v>1</v>
      </c>
      <c r="G128" t="s">
        <v>39</v>
      </c>
      <c r="I128" t="s">
        <v>439</v>
      </c>
      <c r="J128" t="s">
        <v>154</v>
      </c>
      <c r="L128" t="s">
        <v>440</v>
      </c>
      <c r="M128" t="s">
        <v>92</v>
      </c>
      <c r="P128">
        <f t="shared" si="2"/>
        <v>1</v>
      </c>
      <c r="Q128" t="str">
        <f>IF(AND(P128&gt;1,COUNTIF($E$6:E128,E128)=1),MAX($Q$5:Q127)+1,"")</f>
        <v/>
      </c>
      <c r="R128" t="str">
        <f t="shared" si="3"/>
        <v/>
      </c>
    </row>
    <row r="129" spans="1:18" ht="22.95" customHeight="1">
      <c r="A129" s="20">
        <v>46275</v>
      </c>
      <c r="B129" t="s">
        <v>18</v>
      </c>
      <c r="C129" t="s">
        <v>97</v>
      </c>
      <c r="D129" t="s">
        <v>98</v>
      </c>
      <c r="E129" t="s">
        <v>441</v>
      </c>
      <c r="F129">
        <v>1</v>
      </c>
      <c r="I129" t="s">
        <v>442</v>
      </c>
      <c r="K129" t="s">
        <v>115</v>
      </c>
      <c r="L129" t="s">
        <v>443</v>
      </c>
      <c r="M129" t="s">
        <v>69</v>
      </c>
      <c r="N129" t="s">
        <v>96</v>
      </c>
      <c r="P129">
        <f t="shared" si="2"/>
        <v>1</v>
      </c>
      <c r="Q129" t="str">
        <f>IF(AND(P129&gt;1,COUNTIF($E$6:E129,E129)=1),MAX($Q$5:Q128)+1,"")</f>
        <v/>
      </c>
      <c r="R129" t="str">
        <f t="shared" si="3"/>
        <v/>
      </c>
    </row>
    <row r="130" spans="1:18" ht="22.95" customHeight="1">
      <c r="A130" s="20">
        <v>46276</v>
      </c>
      <c r="B130" t="s">
        <v>18</v>
      </c>
      <c r="C130" t="s">
        <v>74</v>
      </c>
      <c r="D130" t="s">
        <v>75</v>
      </c>
      <c r="E130" t="s">
        <v>444</v>
      </c>
      <c r="F130">
        <v>1</v>
      </c>
      <c r="I130" t="s">
        <v>445</v>
      </c>
      <c r="K130" t="s">
        <v>446</v>
      </c>
      <c r="L130" t="s">
        <v>447</v>
      </c>
      <c r="M130" t="s">
        <v>69</v>
      </c>
      <c r="P130">
        <f t="shared" si="2"/>
        <v>1</v>
      </c>
      <c r="Q130" t="str">
        <f>IF(AND(P130&gt;1,COUNTIF($E$6:E130,E130)=1),MAX($Q$5:Q129)+1,"")</f>
        <v/>
      </c>
      <c r="R130" t="str">
        <f t="shared" si="3"/>
        <v/>
      </c>
    </row>
    <row r="131" spans="1:18" ht="22.95" customHeight="1">
      <c r="A131" s="20">
        <v>46276</v>
      </c>
      <c r="B131" t="s">
        <v>18</v>
      </c>
      <c r="C131" t="s">
        <v>87</v>
      </c>
      <c r="D131" t="s">
        <v>88</v>
      </c>
      <c r="E131" t="s">
        <v>448</v>
      </c>
      <c r="F131">
        <v>1</v>
      </c>
      <c r="G131" t="s">
        <v>449</v>
      </c>
      <c r="H131" t="s">
        <v>450</v>
      </c>
      <c r="I131" t="s">
        <v>451</v>
      </c>
      <c r="K131" t="s">
        <v>40</v>
      </c>
      <c r="L131" t="s">
        <v>452</v>
      </c>
      <c r="M131" t="s">
        <v>69</v>
      </c>
      <c r="N131" t="s">
        <v>217</v>
      </c>
      <c r="P131">
        <f t="shared" si="2"/>
        <v>1</v>
      </c>
      <c r="Q131" t="str">
        <f>IF(AND(P131&gt;1,COUNTIF($E$6:E131,E131)=1),MAX($Q$5:Q130)+1,"")</f>
        <v/>
      </c>
      <c r="R131" t="str">
        <f t="shared" si="3"/>
        <v/>
      </c>
    </row>
    <row r="132" spans="1:18" ht="22.95" customHeight="1">
      <c r="A132" s="20">
        <v>46276</v>
      </c>
      <c r="B132" t="s">
        <v>18</v>
      </c>
      <c r="C132" t="s">
        <v>97</v>
      </c>
      <c r="D132" t="s">
        <v>98</v>
      </c>
      <c r="E132" t="s">
        <v>453</v>
      </c>
      <c r="F132">
        <v>1</v>
      </c>
      <c r="G132" t="s">
        <v>65</v>
      </c>
      <c r="L132" t="s">
        <v>454</v>
      </c>
      <c r="M132" t="s">
        <v>69</v>
      </c>
      <c r="N132" t="s">
        <v>143</v>
      </c>
      <c r="P132">
        <f t="shared" si="2"/>
        <v>1</v>
      </c>
      <c r="Q132" t="str">
        <f>IF(AND(P132&gt;1,COUNTIF($E$6:E132,E132)=1),MAX($Q$5:Q131)+1,"")</f>
        <v/>
      </c>
      <c r="R132" t="str">
        <f t="shared" si="3"/>
        <v/>
      </c>
    </row>
    <row r="133" spans="1:18" ht="22.95" customHeight="1">
      <c r="A133" s="20">
        <v>46276</v>
      </c>
      <c r="B133" t="s">
        <v>18</v>
      </c>
      <c r="C133" t="s">
        <v>97</v>
      </c>
      <c r="D133" t="s">
        <v>98</v>
      </c>
      <c r="E133" t="s">
        <v>455</v>
      </c>
      <c r="F133">
        <v>1</v>
      </c>
      <c r="G133" t="s">
        <v>39</v>
      </c>
      <c r="J133" t="s">
        <v>154</v>
      </c>
      <c r="L133" t="s">
        <v>456</v>
      </c>
      <c r="M133" t="s">
        <v>92</v>
      </c>
      <c r="P133">
        <f t="shared" si="2"/>
        <v>1</v>
      </c>
      <c r="Q133" t="str">
        <f>IF(AND(P133&gt;1,COUNTIF($E$6:E133,E133)=1),MAX($Q$5:Q132)+1,"")</f>
        <v/>
      </c>
      <c r="R133" t="str">
        <f t="shared" si="3"/>
        <v/>
      </c>
    </row>
    <row r="134" spans="1:18" ht="22.95" customHeight="1">
      <c r="A134" s="20">
        <v>46277</v>
      </c>
      <c r="B134" t="s">
        <v>18</v>
      </c>
      <c r="C134" t="s">
        <v>74</v>
      </c>
      <c r="D134" t="s">
        <v>75</v>
      </c>
      <c r="E134" t="s">
        <v>457</v>
      </c>
      <c r="F134">
        <v>1</v>
      </c>
      <c r="G134" t="s">
        <v>458</v>
      </c>
      <c r="I134" t="s">
        <v>78</v>
      </c>
      <c r="K134" t="s">
        <v>78</v>
      </c>
      <c r="L134" t="s">
        <v>459</v>
      </c>
      <c r="M134" t="s">
        <v>69</v>
      </c>
      <c r="N134" t="s">
        <v>70</v>
      </c>
      <c r="P134">
        <f t="shared" ref="P134:P197" si="4">COUNTIF($E$6:$E$1740,E134)</f>
        <v>1</v>
      </c>
      <c r="Q134" t="str">
        <f>IF(AND(P134&gt;1,COUNTIF($E$6:E134,E134)=1),MAX($Q$5:Q133)+1,"")</f>
        <v/>
      </c>
      <c r="R134" t="str">
        <f t="shared" ref="R134:R197" si="5">IF(Q134="","",IF(COUNTIFS($E$6:$E$1740,E134,$A$6:$A$1740,A134,$C$6:$C$1740,C134)&lt;P134,"LÉGITIME",IF(COUNTIFS($E$6:$E$1740,E134,$A$6:$A$1740,A134,$C$6:$C$1740,C134,$M$6:$M$1740,M134)&lt;P134,"STATUT DIFFÉRENT","VRAI DOUBLON")))</f>
        <v/>
      </c>
    </row>
    <row r="135" spans="1:18" ht="22.95" customHeight="1">
      <c r="A135" s="20">
        <v>46277</v>
      </c>
      <c r="B135" t="s">
        <v>18</v>
      </c>
      <c r="C135" t="s">
        <v>74</v>
      </c>
      <c r="D135" t="s">
        <v>75</v>
      </c>
      <c r="E135" t="s">
        <v>460</v>
      </c>
      <c r="F135">
        <v>1</v>
      </c>
      <c r="G135" t="s">
        <v>458</v>
      </c>
      <c r="I135" t="s">
        <v>78</v>
      </c>
      <c r="K135" t="s">
        <v>78</v>
      </c>
      <c r="L135" t="s">
        <v>461</v>
      </c>
      <c r="M135" t="s">
        <v>69</v>
      </c>
      <c r="N135" t="s">
        <v>70</v>
      </c>
      <c r="P135">
        <f t="shared" si="4"/>
        <v>1</v>
      </c>
      <c r="Q135" t="str">
        <f>IF(AND(P135&gt;1,COUNTIF($E$6:E135,E135)=1),MAX($Q$5:Q134)+1,"")</f>
        <v/>
      </c>
      <c r="R135" t="str">
        <f t="shared" si="5"/>
        <v/>
      </c>
    </row>
    <row r="136" spans="1:18" ht="22.95" customHeight="1">
      <c r="A136" s="20">
        <v>46277</v>
      </c>
      <c r="B136" t="s">
        <v>18</v>
      </c>
      <c r="C136" t="s">
        <v>74</v>
      </c>
      <c r="D136" t="s">
        <v>75</v>
      </c>
      <c r="E136" t="s">
        <v>462</v>
      </c>
      <c r="F136">
        <v>1</v>
      </c>
      <c r="G136" t="s">
        <v>458</v>
      </c>
      <c r="I136" t="s">
        <v>78</v>
      </c>
      <c r="K136" t="s">
        <v>78</v>
      </c>
      <c r="L136" t="s">
        <v>459</v>
      </c>
      <c r="M136" t="s">
        <v>69</v>
      </c>
      <c r="N136" t="s">
        <v>70</v>
      </c>
      <c r="P136">
        <f t="shared" si="4"/>
        <v>1</v>
      </c>
      <c r="Q136" t="str">
        <f>IF(AND(P136&gt;1,COUNTIF($E$6:E136,E136)=1),MAX($Q$5:Q135)+1,"")</f>
        <v/>
      </c>
      <c r="R136" t="str">
        <f t="shared" si="5"/>
        <v/>
      </c>
    </row>
    <row r="137" spans="1:18" ht="22.95" customHeight="1">
      <c r="A137" s="20">
        <v>46277</v>
      </c>
      <c r="B137" t="s">
        <v>18</v>
      </c>
      <c r="C137" t="s">
        <v>74</v>
      </c>
      <c r="D137" t="s">
        <v>75</v>
      </c>
      <c r="E137" t="s">
        <v>463</v>
      </c>
      <c r="F137">
        <v>1</v>
      </c>
      <c r="G137" t="s">
        <v>458</v>
      </c>
      <c r="I137" t="s">
        <v>78</v>
      </c>
      <c r="K137" t="s">
        <v>78</v>
      </c>
      <c r="L137" t="s">
        <v>459</v>
      </c>
      <c r="M137" t="s">
        <v>69</v>
      </c>
      <c r="N137" t="s">
        <v>70</v>
      </c>
      <c r="P137">
        <f t="shared" si="4"/>
        <v>1</v>
      </c>
      <c r="Q137" t="str">
        <f>IF(AND(P137&gt;1,COUNTIF($E$6:E137,E137)=1),MAX($Q$5:Q136)+1,"")</f>
        <v/>
      </c>
      <c r="R137" t="str">
        <f t="shared" si="5"/>
        <v/>
      </c>
    </row>
    <row r="138" spans="1:18" ht="22.95" customHeight="1">
      <c r="A138" s="20">
        <v>46277</v>
      </c>
      <c r="B138" t="s">
        <v>18</v>
      </c>
      <c r="C138" t="s">
        <v>74</v>
      </c>
      <c r="D138" t="s">
        <v>75</v>
      </c>
      <c r="E138" t="s">
        <v>464</v>
      </c>
      <c r="F138">
        <v>1</v>
      </c>
      <c r="G138" t="s">
        <v>39</v>
      </c>
      <c r="I138" t="s">
        <v>465</v>
      </c>
      <c r="K138" t="s">
        <v>40</v>
      </c>
      <c r="L138" t="s">
        <v>466</v>
      </c>
      <c r="M138" t="s">
        <v>69</v>
      </c>
      <c r="N138" t="s">
        <v>70</v>
      </c>
      <c r="P138">
        <f t="shared" si="4"/>
        <v>1</v>
      </c>
      <c r="Q138" t="str">
        <f>IF(AND(P138&gt;1,COUNTIF($E$6:E138,E138)=1),MAX($Q$5:Q137)+1,"")</f>
        <v/>
      </c>
      <c r="R138" t="str">
        <f t="shared" si="5"/>
        <v/>
      </c>
    </row>
    <row r="139" spans="1:18" ht="22.95" customHeight="1">
      <c r="A139" s="20">
        <v>46277</v>
      </c>
      <c r="B139" t="s">
        <v>18</v>
      </c>
      <c r="C139" t="s">
        <v>81</v>
      </c>
      <c r="D139" t="s">
        <v>82</v>
      </c>
      <c r="E139" t="s">
        <v>467</v>
      </c>
      <c r="F139">
        <v>1</v>
      </c>
      <c r="G139" t="s">
        <v>39</v>
      </c>
      <c r="I139" t="s">
        <v>78</v>
      </c>
      <c r="K139" t="s">
        <v>40</v>
      </c>
      <c r="L139" t="s">
        <v>468</v>
      </c>
      <c r="M139" t="s">
        <v>92</v>
      </c>
      <c r="P139">
        <f t="shared" si="4"/>
        <v>1</v>
      </c>
      <c r="Q139" t="str">
        <f>IF(AND(P139&gt;1,COUNTIF($E$6:E139,E139)=1),MAX($Q$5:Q138)+1,"")</f>
        <v/>
      </c>
      <c r="R139" t="str">
        <f t="shared" si="5"/>
        <v/>
      </c>
    </row>
    <row r="140" spans="1:18" ht="22.95" customHeight="1">
      <c r="A140" s="20">
        <v>46277</v>
      </c>
      <c r="B140" t="s">
        <v>18</v>
      </c>
      <c r="C140" t="s">
        <v>62</v>
      </c>
      <c r="D140" t="s">
        <v>63</v>
      </c>
      <c r="E140" t="s">
        <v>469</v>
      </c>
      <c r="F140">
        <v>1</v>
      </c>
      <c r="G140" t="s">
        <v>470</v>
      </c>
      <c r="H140" t="s">
        <v>409</v>
      </c>
      <c r="I140" t="s">
        <v>471</v>
      </c>
      <c r="K140" t="s">
        <v>472</v>
      </c>
      <c r="L140" t="s">
        <v>473</v>
      </c>
      <c r="M140" t="s">
        <v>38</v>
      </c>
      <c r="P140">
        <f t="shared" si="4"/>
        <v>1</v>
      </c>
      <c r="Q140" t="str">
        <f>IF(AND(P140&gt;1,COUNTIF($E$6:E140,E140)=1),MAX($Q$5:Q139)+1,"")</f>
        <v/>
      </c>
      <c r="R140" t="str">
        <f t="shared" si="5"/>
        <v/>
      </c>
    </row>
    <row r="141" spans="1:18" ht="22.95" customHeight="1">
      <c r="A141" s="20">
        <v>46278</v>
      </c>
      <c r="B141" t="s">
        <v>18</v>
      </c>
      <c r="C141" t="s">
        <v>74</v>
      </c>
      <c r="D141" t="s">
        <v>75</v>
      </c>
      <c r="E141" t="s">
        <v>474</v>
      </c>
      <c r="F141">
        <v>1</v>
      </c>
      <c r="G141" t="s">
        <v>475</v>
      </c>
      <c r="H141" t="s">
        <v>476</v>
      </c>
      <c r="I141" t="s">
        <v>66</v>
      </c>
      <c r="K141" t="s">
        <v>40</v>
      </c>
      <c r="L141" t="s">
        <v>477</v>
      </c>
      <c r="M141" t="s">
        <v>69</v>
      </c>
      <c r="N141" t="s">
        <v>478</v>
      </c>
      <c r="P141">
        <f t="shared" si="4"/>
        <v>1</v>
      </c>
      <c r="Q141" t="str">
        <f>IF(AND(P141&gt;1,COUNTIF($E$6:E141,E141)=1),MAX($Q$5:Q140)+1,"")</f>
        <v/>
      </c>
      <c r="R141" t="str">
        <f t="shared" si="5"/>
        <v/>
      </c>
    </row>
    <row r="142" spans="1:18" ht="22.95" customHeight="1">
      <c r="A142" s="20">
        <v>46278</v>
      </c>
      <c r="B142" t="s">
        <v>18</v>
      </c>
      <c r="C142" t="s">
        <v>74</v>
      </c>
      <c r="D142" t="s">
        <v>75</v>
      </c>
      <c r="E142" t="s">
        <v>479</v>
      </c>
      <c r="F142">
        <v>1</v>
      </c>
      <c r="G142" t="s">
        <v>39</v>
      </c>
      <c r="I142" t="s">
        <v>78</v>
      </c>
      <c r="L142" t="s">
        <v>480</v>
      </c>
      <c r="M142" t="s">
        <v>92</v>
      </c>
      <c r="P142">
        <f t="shared" si="4"/>
        <v>1</v>
      </c>
      <c r="Q142" t="str">
        <f>IF(AND(P142&gt;1,COUNTIF($E$6:E142,E142)=1),MAX($Q$5:Q141)+1,"")</f>
        <v/>
      </c>
      <c r="R142" t="str">
        <f t="shared" si="5"/>
        <v/>
      </c>
    </row>
    <row r="143" spans="1:18" ht="22.95" customHeight="1">
      <c r="A143" s="20">
        <v>46278</v>
      </c>
      <c r="B143" t="s">
        <v>18</v>
      </c>
      <c r="C143" t="s">
        <v>87</v>
      </c>
      <c r="D143" t="s">
        <v>88</v>
      </c>
      <c r="E143" t="s">
        <v>481</v>
      </c>
      <c r="F143">
        <v>1</v>
      </c>
      <c r="G143" t="s">
        <v>482</v>
      </c>
      <c r="H143" t="s">
        <v>483</v>
      </c>
      <c r="I143" t="s">
        <v>484</v>
      </c>
      <c r="K143" t="s">
        <v>352</v>
      </c>
      <c r="L143" t="s">
        <v>485</v>
      </c>
      <c r="M143" t="s">
        <v>69</v>
      </c>
      <c r="N143" t="s">
        <v>217</v>
      </c>
      <c r="P143">
        <f t="shared" si="4"/>
        <v>1</v>
      </c>
      <c r="Q143" t="str">
        <f>IF(AND(P143&gt;1,COUNTIF($E$6:E143,E143)=1),MAX($Q$5:Q142)+1,"")</f>
        <v/>
      </c>
      <c r="R143" t="str">
        <f t="shared" si="5"/>
        <v/>
      </c>
    </row>
    <row r="144" spans="1:18" ht="22.95" customHeight="1">
      <c r="A144" s="20">
        <v>46278</v>
      </c>
      <c r="B144" t="s">
        <v>18</v>
      </c>
      <c r="C144" t="s">
        <v>87</v>
      </c>
      <c r="D144" t="s">
        <v>88</v>
      </c>
      <c r="E144" t="s">
        <v>486</v>
      </c>
      <c r="F144">
        <v>1</v>
      </c>
      <c r="G144" t="s">
        <v>482</v>
      </c>
      <c r="H144" t="s">
        <v>483</v>
      </c>
      <c r="I144" t="s">
        <v>484</v>
      </c>
      <c r="K144" t="s">
        <v>352</v>
      </c>
      <c r="L144" t="s">
        <v>485</v>
      </c>
      <c r="M144" t="s">
        <v>69</v>
      </c>
      <c r="N144" t="s">
        <v>217</v>
      </c>
      <c r="P144">
        <f t="shared" si="4"/>
        <v>1</v>
      </c>
      <c r="Q144" t="str">
        <f>IF(AND(P144&gt;1,COUNTIF($E$6:E144,E144)=1),MAX($Q$5:Q143)+1,"")</f>
        <v/>
      </c>
      <c r="R144" t="str">
        <f t="shared" si="5"/>
        <v/>
      </c>
    </row>
    <row r="145" spans="1:18" ht="22.95" customHeight="1">
      <c r="A145" s="20">
        <v>46278</v>
      </c>
      <c r="B145" t="s">
        <v>18</v>
      </c>
      <c r="C145" t="s">
        <v>87</v>
      </c>
      <c r="D145" t="s">
        <v>88</v>
      </c>
      <c r="E145" t="s">
        <v>487</v>
      </c>
      <c r="F145">
        <v>1</v>
      </c>
      <c r="G145" t="s">
        <v>488</v>
      </c>
      <c r="H145" t="s">
        <v>489</v>
      </c>
      <c r="I145" t="s">
        <v>490</v>
      </c>
      <c r="K145" t="s">
        <v>40</v>
      </c>
      <c r="L145" t="s">
        <v>491</v>
      </c>
      <c r="M145" t="s">
        <v>69</v>
      </c>
      <c r="N145" t="s">
        <v>70</v>
      </c>
      <c r="P145">
        <f t="shared" si="4"/>
        <v>1</v>
      </c>
      <c r="Q145" t="str">
        <f>IF(AND(P145&gt;1,COUNTIF($E$6:E145,E145)=1),MAX($Q$5:Q144)+1,"")</f>
        <v/>
      </c>
      <c r="R145" t="str">
        <f t="shared" si="5"/>
        <v/>
      </c>
    </row>
    <row r="146" spans="1:18" ht="22.95" customHeight="1">
      <c r="A146" s="20">
        <v>46278</v>
      </c>
      <c r="B146" t="s">
        <v>18</v>
      </c>
      <c r="C146" t="s">
        <v>87</v>
      </c>
      <c r="D146" t="s">
        <v>88</v>
      </c>
      <c r="E146" t="s">
        <v>492</v>
      </c>
      <c r="F146">
        <v>1</v>
      </c>
      <c r="G146" t="s">
        <v>488</v>
      </c>
      <c r="H146" t="s">
        <v>489</v>
      </c>
      <c r="I146" t="s">
        <v>490</v>
      </c>
      <c r="K146" t="s">
        <v>40</v>
      </c>
      <c r="L146" t="s">
        <v>493</v>
      </c>
      <c r="M146" t="s">
        <v>69</v>
      </c>
      <c r="N146" t="s">
        <v>70</v>
      </c>
      <c r="P146">
        <f t="shared" si="4"/>
        <v>1</v>
      </c>
      <c r="Q146" t="str">
        <f>IF(AND(P146&gt;1,COUNTIF($E$6:E146,E146)=1),MAX($Q$5:Q145)+1,"")</f>
        <v/>
      </c>
      <c r="R146" t="str">
        <f t="shared" si="5"/>
        <v/>
      </c>
    </row>
    <row r="147" spans="1:18" ht="22.95" customHeight="1">
      <c r="A147" s="20">
        <v>46278</v>
      </c>
      <c r="B147" t="s">
        <v>18</v>
      </c>
      <c r="C147" t="s">
        <v>87</v>
      </c>
      <c r="D147" t="s">
        <v>88</v>
      </c>
      <c r="E147" t="s">
        <v>494</v>
      </c>
      <c r="F147">
        <v>1</v>
      </c>
      <c r="G147" t="s">
        <v>488</v>
      </c>
      <c r="H147" t="s">
        <v>489</v>
      </c>
      <c r="I147" t="s">
        <v>495</v>
      </c>
      <c r="K147" t="s">
        <v>40</v>
      </c>
      <c r="L147" t="s">
        <v>491</v>
      </c>
      <c r="M147" t="s">
        <v>69</v>
      </c>
      <c r="N147" t="s">
        <v>70</v>
      </c>
      <c r="P147">
        <f t="shared" si="4"/>
        <v>1</v>
      </c>
      <c r="Q147" t="str">
        <f>IF(AND(P147&gt;1,COUNTIF($E$6:E147,E147)=1),MAX($Q$5:Q146)+1,"")</f>
        <v/>
      </c>
      <c r="R147" t="str">
        <f t="shared" si="5"/>
        <v/>
      </c>
    </row>
    <row r="148" spans="1:18" ht="22.95" customHeight="1">
      <c r="A148" s="20">
        <v>46278</v>
      </c>
      <c r="B148" t="s">
        <v>18</v>
      </c>
      <c r="C148" t="s">
        <v>62</v>
      </c>
      <c r="D148" t="s">
        <v>161</v>
      </c>
      <c r="E148" t="s">
        <v>496</v>
      </c>
      <c r="F148">
        <v>1</v>
      </c>
      <c r="G148" t="s">
        <v>65</v>
      </c>
      <c r="I148" t="s">
        <v>497</v>
      </c>
      <c r="J148" t="s">
        <v>100</v>
      </c>
      <c r="K148" t="s">
        <v>40</v>
      </c>
      <c r="L148" t="s">
        <v>498</v>
      </c>
      <c r="M148" t="s">
        <v>92</v>
      </c>
      <c r="P148">
        <f t="shared" si="4"/>
        <v>1</v>
      </c>
      <c r="Q148" t="str">
        <f>IF(AND(P148&gt;1,COUNTIF($E$6:E148,E148)=1),MAX($Q$5:Q147)+1,"")</f>
        <v/>
      </c>
      <c r="R148" t="str">
        <f t="shared" si="5"/>
        <v/>
      </c>
    </row>
    <row r="149" spans="1:18" ht="22.95" customHeight="1">
      <c r="A149" s="20">
        <v>46278</v>
      </c>
      <c r="B149" t="s">
        <v>18</v>
      </c>
      <c r="C149" t="s">
        <v>97</v>
      </c>
      <c r="D149" t="s">
        <v>98</v>
      </c>
      <c r="E149" t="s">
        <v>499</v>
      </c>
      <c r="F149">
        <v>1</v>
      </c>
      <c r="G149" t="s">
        <v>65</v>
      </c>
      <c r="I149" t="s">
        <v>500</v>
      </c>
      <c r="K149" t="s">
        <v>501</v>
      </c>
      <c r="L149" t="s">
        <v>502</v>
      </c>
      <c r="M149" t="s">
        <v>38</v>
      </c>
      <c r="P149">
        <f t="shared" si="4"/>
        <v>1</v>
      </c>
      <c r="Q149" t="str">
        <f>IF(AND(P149&gt;1,COUNTIF($E$6:E149,E149)=1),MAX($Q$5:Q148)+1,"")</f>
        <v/>
      </c>
      <c r="R149" t="str">
        <f t="shared" si="5"/>
        <v/>
      </c>
    </row>
    <row r="150" spans="1:18" ht="22.95" customHeight="1">
      <c r="A150" s="20">
        <v>46278</v>
      </c>
      <c r="B150" t="s">
        <v>18</v>
      </c>
      <c r="C150" t="s">
        <v>97</v>
      </c>
      <c r="D150" t="s">
        <v>98</v>
      </c>
      <c r="E150" t="s">
        <v>503</v>
      </c>
      <c r="F150">
        <v>1</v>
      </c>
      <c r="G150" t="s">
        <v>39</v>
      </c>
      <c r="I150" t="s">
        <v>504</v>
      </c>
      <c r="K150" t="s">
        <v>505</v>
      </c>
      <c r="L150" t="s">
        <v>506</v>
      </c>
      <c r="M150" t="s">
        <v>38</v>
      </c>
      <c r="P150">
        <f t="shared" si="4"/>
        <v>1</v>
      </c>
      <c r="Q150" t="str">
        <f>IF(AND(P150&gt;1,COUNTIF($E$6:E150,E150)=1),MAX($Q$5:Q149)+1,"")</f>
        <v/>
      </c>
      <c r="R150" t="str">
        <f t="shared" si="5"/>
        <v/>
      </c>
    </row>
    <row r="151" spans="1:18" ht="22.95" customHeight="1">
      <c r="A151" s="20">
        <v>46278</v>
      </c>
      <c r="B151" t="s">
        <v>18</v>
      </c>
      <c r="C151" t="s">
        <v>97</v>
      </c>
      <c r="D151" t="s">
        <v>98</v>
      </c>
      <c r="E151" t="s">
        <v>507</v>
      </c>
      <c r="F151">
        <v>1</v>
      </c>
      <c r="G151" t="s">
        <v>39</v>
      </c>
      <c r="I151" t="s">
        <v>508</v>
      </c>
      <c r="K151" t="s">
        <v>505</v>
      </c>
      <c r="L151" t="s">
        <v>506</v>
      </c>
      <c r="M151" t="s">
        <v>38</v>
      </c>
      <c r="P151">
        <f t="shared" si="4"/>
        <v>1</v>
      </c>
      <c r="Q151" t="str">
        <f>IF(AND(P151&gt;1,COUNTIF($E$6:E151,E151)=1),MAX($Q$5:Q150)+1,"")</f>
        <v/>
      </c>
      <c r="R151" t="str">
        <f t="shared" si="5"/>
        <v/>
      </c>
    </row>
    <row r="152" spans="1:18" ht="22.95" customHeight="1">
      <c r="A152" s="20">
        <v>46278</v>
      </c>
      <c r="B152" t="s">
        <v>18</v>
      </c>
      <c r="C152" t="s">
        <v>97</v>
      </c>
      <c r="D152" t="s">
        <v>98</v>
      </c>
      <c r="E152" t="s">
        <v>509</v>
      </c>
      <c r="F152">
        <v>1</v>
      </c>
      <c r="G152" t="s">
        <v>39</v>
      </c>
      <c r="I152" t="s">
        <v>510</v>
      </c>
      <c r="K152" t="s">
        <v>505</v>
      </c>
      <c r="L152" t="s">
        <v>506</v>
      </c>
      <c r="M152" t="s">
        <v>38</v>
      </c>
      <c r="P152">
        <f t="shared" si="4"/>
        <v>1</v>
      </c>
      <c r="Q152" t="str">
        <f>IF(AND(P152&gt;1,COUNTIF($E$6:E152,E152)=1),MAX($Q$5:Q151)+1,"")</f>
        <v/>
      </c>
      <c r="R152" t="str">
        <f t="shared" si="5"/>
        <v/>
      </c>
    </row>
    <row r="153" spans="1:18" ht="22.95" customHeight="1">
      <c r="A153" s="20">
        <v>46279</v>
      </c>
      <c r="B153" t="s">
        <v>18</v>
      </c>
      <c r="C153" t="s">
        <v>74</v>
      </c>
      <c r="D153" t="s">
        <v>75</v>
      </c>
      <c r="E153" t="s">
        <v>511</v>
      </c>
      <c r="F153">
        <v>1</v>
      </c>
      <c r="G153" t="s">
        <v>512</v>
      </c>
      <c r="H153" t="s">
        <v>513</v>
      </c>
      <c r="I153" t="s">
        <v>514</v>
      </c>
      <c r="K153" t="s">
        <v>515</v>
      </c>
      <c r="L153" t="s">
        <v>516</v>
      </c>
      <c r="M153" t="s">
        <v>69</v>
      </c>
      <c r="N153" t="s">
        <v>517</v>
      </c>
      <c r="P153">
        <f t="shared" si="4"/>
        <v>1</v>
      </c>
      <c r="Q153" t="str">
        <f>IF(AND(P153&gt;1,COUNTIF($E$6:E153,E153)=1),MAX($Q$5:Q152)+1,"")</f>
        <v/>
      </c>
      <c r="R153" t="str">
        <f t="shared" si="5"/>
        <v/>
      </c>
    </row>
    <row r="154" spans="1:18" ht="22.95" customHeight="1">
      <c r="A154" s="20">
        <v>46279</v>
      </c>
      <c r="B154" t="s">
        <v>18</v>
      </c>
      <c r="C154" t="s">
        <v>74</v>
      </c>
      <c r="D154" t="s">
        <v>75</v>
      </c>
      <c r="E154" t="s">
        <v>518</v>
      </c>
      <c r="F154">
        <v>1</v>
      </c>
      <c r="G154" t="s">
        <v>512</v>
      </c>
      <c r="H154" t="s">
        <v>513</v>
      </c>
      <c r="I154" t="s">
        <v>519</v>
      </c>
      <c r="K154" t="s">
        <v>515</v>
      </c>
      <c r="L154" t="s">
        <v>520</v>
      </c>
      <c r="M154" t="s">
        <v>69</v>
      </c>
      <c r="N154" t="s">
        <v>217</v>
      </c>
      <c r="P154">
        <f t="shared" si="4"/>
        <v>1</v>
      </c>
      <c r="Q154" t="str">
        <f>IF(AND(P154&gt;1,COUNTIF($E$6:E154,E154)=1),MAX($Q$5:Q153)+1,"")</f>
        <v/>
      </c>
      <c r="R154" t="str">
        <f t="shared" si="5"/>
        <v/>
      </c>
    </row>
    <row r="155" spans="1:18" ht="22.95" customHeight="1">
      <c r="A155" s="20">
        <v>46279</v>
      </c>
      <c r="B155" t="s">
        <v>18</v>
      </c>
      <c r="C155" t="s">
        <v>74</v>
      </c>
      <c r="D155" t="s">
        <v>75</v>
      </c>
      <c r="E155" t="s">
        <v>521</v>
      </c>
      <c r="F155">
        <v>1</v>
      </c>
      <c r="G155" t="s">
        <v>522</v>
      </c>
      <c r="H155" t="s">
        <v>173</v>
      </c>
      <c r="I155" t="s">
        <v>523</v>
      </c>
      <c r="K155" t="s">
        <v>352</v>
      </c>
      <c r="L155" t="s">
        <v>524</v>
      </c>
      <c r="M155" t="s">
        <v>69</v>
      </c>
      <c r="N155" t="s">
        <v>183</v>
      </c>
      <c r="P155">
        <f t="shared" si="4"/>
        <v>1</v>
      </c>
      <c r="Q155" t="str">
        <f>IF(AND(P155&gt;1,COUNTIF($E$6:E155,E155)=1),MAX($Q$5:Q154)+1,"")</f>
        <v/>
      </c>
      <c r="R155" t="str">
        <f t="shared" si="5"/>
        <v/>
      </c>
    </row>
    <row r="156" spans="1:18" ht="22.95" customHeight="1">
      <c r="A156" s="20">
        <v>46279</v>
      </c>
      <c r="B156" t="s">
        <v>18</v>
      </c>
      <c r="C156" t="s">
        <v>74</v>
      </c>
      <c r="D156" t="s">
        <v>75</v>
      </c>
      <c r="E156" t="s">
        <v>525</v>
      </c>
      <c r="F156">
        <v>1</v>
      </c>
      <c r="G156" t="s">
        <v>522</v>
      </c>
      <c r="H156" t="s">
        <v>173</v>
      </c>
      <c r="I156" t="s">
        <v>526</v>
      </c>
      <c r="K156" t="s">
        <v>352</v>
      </c>
      <c r="L156" t="s">
        <v>524</v>
      </c>
      <c r="M156" t="s">
        <v>69</v>
      </c>
      <c r="N156" t="s">
        <v>183</v>
      </c>
      <c r="P156">
        <f t="shared" si="4"/>
        <v>1</v>
      </c>
      <c r="Q156" t="str">
        <f>IF(AND(P156&gt;1,COUNTIF($E$6:E156,E156)=1),MAX($Q$5:Q155)+1,"")</f>
        <v/>
      </c>
      <c r="R156" t="str">
        <f t="shared" si="5"/>
        <v/>
      </c>
    </row>
    <row r="157" spans="1:18" ht="22.95" customHeight="1">
      <c r="A157" s="20">
        <v>46279</v>
      </c>
      <c r="B157" t="s">
        <v>18</v>
      </c>
      <c r="C157" t="s">
        <v>74</v>
      </c>
      <c r="D157" t="s">
        <v>75</v>
      </c>
      <c r="E157" t="s">
        <v>527</v>
      </c>
      <c r="F157">
        <v>1</v>
      </c>
      <c r="G157" t="s">
        <v>522</v>
      </c>
      <c r="H157" t="s">
        <v>173</v>
      </c>
      <c r="I157" t="s">
        <v>528</v>
      </c>
      <c r="K157" t="s">
        <v>352</v>
      </c>
      <c r="L157" t="s">
        <v>524</v>
      </c>
      <c r="M157" t="s">
        <v>69</v>
      </c>
      <c r="N157" t="s">
        <v>183</v>
      </c>
      <c r="P157">
        <f t="shared" si="4"/>
        <v>1</v>
      </c>
      <c r="Q157" t="str">
        <f>IF(AND(P157&gt;1,COUNTIF($E$6:E157,E157)=1),MAX($Q$5:Q156)+1,"")</f>
        <v/>
      </c>
      <c r="R157" t="str">
        <f t="shared" si="5"/>
        <v/>
      </c>
    </row>
    <row r="158" spans="1:18" ht="22.95" customHeight="1">
      <c r="A158" s="20">
        <v>46279</v>
      </c>
      <c r="B158" t="s">
        <v>18</v>
      </c>
      <c r="C158" t="s">
        <v>81</v>
      </c>
      <c r="D158" t="s">
        <v>82</v>
      </c>
      <c r="E158" t="s">
        <v>529</v>
      </c>
      <c r="F158">
        <v>1</v>
      </c>
      <c r="G158" t="s">
        <v>530</v>
      </c>
      <c r="H158" t="s">
        <v>531</v>
      </c>
      <c r="I158" t="s">
        <v>532</v>
      </c>
      <c r="K158" t="s">
        <v>352</v>
      </c>
      <c r="L158" t="s">
        <v>533</v>
      </c>
      <c r="M158" t="s">
        <v>38</v>
      </c>
      <c r="P158">
        <f t="shared" si="4"/>
        <v>1</v>
      </c>
      <c r="Q158" t="str">
        <f>IF(AND(P158&gt;1,COUNTIF($E$6:E158,E158)=1),MAX($Q$5:Q157)+1,"")</f>
        <v/>
      </c>
      <c r="R158" t="str">
        <f t="shared" si="5"/>
        <v/>
      </c>
    </row>
    <row r="159" spans="1:18" ht="22.95" customHeight="1">
      <c r="A159" s="20">
        <v>46279</v>
      </c>
      <c r="B159" t="s">
        <v>18</v>
      </c>
      <c r="C159" t="s">
        <v>81</v>
      </c>
      <c r="D159" t="s">
        <v>82</v>
      </c>
      <c r="E159" t="s">
        <v>534</v>
      </c>
      <c r="F159">
        <v>1</v>
      </c>
      <c r="G159" t="s">
        <v>39</v>
      </c>
      <c r="I159" t="s">
        <v>535</v>
      </c>
      <c r="J159" t="s">
        <v>154</v>
      </c>
      <c r="K159" t="s">
        <v>66</v>
      </c>
      <c r="L159" t="s">
        <v>536</v>
      </c>
      <c r="M159" t="s">
        <v>92</v>
      </c>
      <c r="P159">
        <f t="shared" si="4"/>
        <v>1</v>
      </c>
      <c r="Q159" t="str">
        <f>IF(AND(P159&gt;1,COUNTIF($E$6:E159,E159)=1),MAX($Q$5:Q158)+1,"")</f>
        <v/>
      </c>
      <c r="R159" t="str">
        <f t="shared" si="5"/>
        <v/>
      </c>
    </row>
    <row r="160" spans="1:18" ht="22.95" customHeight="1">
      <c r="A160" s="20">
        <v>46279</v>
      </c>
      <c r="B160" t="s">
        <v>18</v>
      </c>
      <c r="C160" t="s">
        <v>81</v>
      </c>
      <c r="D160" t="s">
        <v>82</v>
      </c>
      <c r="E160" t="s">
        <v>537</v>
      </c>
      <c r="F160">
        <v>1</v>
      </c>
      <c r="G160" t="s">
        <v>39</v>
      </c>
      <c r="I160" t="s">
        <v>538</v>
      </c>
      <c r="J160" t="s">
        <v>154</v>
      </c>
      <c r="K160" t="s">
        <v>66</v>
      </c>
      <c r="L160" t="s">
        <v>539</v>
      </c>
      <c r="M160" t="s">
        <v>92</v>
      </c>
      <c r="P160">
        <f t="shared" si="4"/>
        <v>1</v>
      </c>
      <c r="Q160" t="str">
        <f>IF(AND(P160&gt;1,COUNTIF($E$6:E160,E160)=1),MAX($Q$5:Q159)+1,"")</f>
        <v/>
      </c>
      <c r="R160" t="str">
        <f t="shared" si="5"/>
        <v/>
      </c>
    </row>
    <row r="161" spans="1:18" ht="22.95" customHeight="1">
      <c r="A161" s="20">
        <v>46279</v>
      </c>
      <c r="B161" t="s">
        <v>18</v>
      </c>
      <c r="C161" t="s">
        <v>87</v>
      </c>
      <c r="D161" t="s">
        <v>88</v>
      </c>
      <c r="E161" t="s">
        <v>540</v>
      </c>
      <c r="F161">
        <v>1</v>
      </c>
      <c r="G161" t="s">
        <v>541</v>
      </c>
      <c r="I161" t="s">
        <v>542</v>
      </c>
      <c r="K161" t="s">
        <v>542</v>
      </c>
      <c r="L161" t="s">
        <v>543</v>
      </c>
      <c r="M161" t="s">
        <v>69</v>
      </c>
      <c r="N161" t="s">
        <v>544</v>
      </c>
      <c r="P161">
        <f t="shared" si="4"/>
        <v>1</v>
      </c>
      <c r="Q161" t="str">
        <f>IF(AND(P161&gt;1,COUNTIF($E$6:E161,E161)=1),MAX($Q$5:Q160)+1,"")</f>
        <v/>
      </c>
      <c r="R161" t="str">
        <f t="shared" si="5"/>
        <v/>
      </c>
    </row>
    <row r="162" spans="1:18" ht="22.95" customHeight="1">
      <c r="A162" s="20">
        <v>46279</v>
      </c>
      <c r="B162" t="s">
        <v>18</v>
      </c>
      <c r="C162" t="s">
        <v>87</v>
      </c>
      <c r="D162" t="s">
        <v>88</v>
      </c>
      <c r="E162" t="s">
        <v>545</v>
      </c>
      <c r="F162">
        <v>1</v>
      </c>
      <c r="G162" t="s">
        <v>39</v>
      </c>
      <c r="I162" t="s">
        <v>546</v>
      </c>
      <c r="J162" t="s">
        <v>100</v>
      </c>
      <c r="K162" t="s">
        <v>547</v>
      </c>
      <c r="L162" t="s">
        <v>548</v>
      </c>
      <c r="M162" t="s">
        <v>92</v>
      </c>
      <c r="P162">
        <f t="shared" si="4"/>
        <v>1</v>
      </c>
      <c r="Q162" t="str">
        <f>IF(AND(P162&gt;1,COUNTIF($E$6:E162,E162)=1),MAX($Q$5:Q161)+1,"")</f>
        <v/>
      </c>
      <c r="R162" t="str">
        <f t="shared" si="5"/>
        <v/>
      </c>
    </row>
    <row r="163" spans="1:18" ht="22.95" customHeight="1">
      <c r="A163" s="20">
        <v>46279</v>
      </c>
      <c r="B163" t="s">
        <v>18</v>
      </c>
      <c r="C163" t="s">
        <v>87</v>
      </c>
      <c r="D163" t="s">
        <v>88</v>
      </c>
      <c r="E163" t="s">
        <v>549</v>
      </c>
      <c r="F163">
        <v>1</v>
      </c>
      <c r="G163" t="s">
        <v>39</v>
      </c>
      <c r="I163" t="s">
        <v>550</v>
      </c>
      <c r="K163" t="s">
        <v>551</v>
      </c>
      <c r="L163" t="s">
        <v>552</v>
      </c>
      <c r="M163" t="s">
        <v>69</v>
      </c>
      <c r="N163" t="s">
        <v>96</v>
      </c>
      <c r="P163">
        <f t="shared" si="4"/>
        <v>1</v>
      </c>
      <c r="Q163" t="str">
        <f>IF(AND(P163&gt;1,COUNTIF($E$6:E163,E163)=1),MAX($Q$5:Q162)+1,"")</f>
        <v/>
      </c>
      <c r="R163" t="str">
        <f t="shared" si="5"/>
        <v/>
      </c>
    </row>
    <row r="164" spans="1:18" ht="22.95" customHeight="1">
      <c r="A164" s="20">
        <v>46279</v>
      </c>
      <c r="B164" t="s">
        <v>18</v>
      </c>
      <c r="C164" t="s">
        <v>62</v>
      </c>
      <c r="D164" t="s">
        <v>161</v>
      </c>
      <c r="E164" t="s">
        <v>553</v>
      </c>
      <c r="F164">
        <v>1</v>
      </c>
      <c r="G164" t="s">
        <v>77</v>
      </c>
      <c r="I164" t="s">
        <v>554</v>
      </c>
      <c r="J164" t="s">
        <v>205</v>
      </c>
      <c r="K164" t="s">
        <v>555</v>
      </c>
      <c r="L164" t="s">
        <v>556</v>
      </c>
      <c r="M164" t="s">
        <v>69</v>
      </c>
      <c r="N164" t="s">
        <v>96</v>
      </c>
      <c r="P164">
        <f t="shared" si="4"/>
        <v>1</v>
      </c>
      <c r="Q164" t="str">
        <f>IF(AND(P164&gt;1,COUNTIF($E$6:E164,E164)=1),MAX($Q$5:Q163)+1,"")</f>
        <v/>
      </c>
      <c r="R164" t="str">
        <f t="shared" si="5"/>
        <v/>
      </c>
    </row>
    <row r="165" spans="1:18" ht="22.95" customHeight="1">
      <c r="A165" s="20">
        <v>46279</v>
      </c>
      <c r="B165" t="s">
        <v>18</v>
      </c>
      <c r="C165" t="s">
        <v>62</v>
      </c>
      <c r="D165" t="s">
        <v>161</v>
      </c>
      <c r="E165" t="s">
        <v>557</v>
      </c>
      <c r="F165">
        <v>1</v>
      </c>
      <c r="G165" t="s">
        <v>39</v>
      </c>
      <c r="I165" t="s">
        <v>542</v>
      </c>
      <c r="K165" t="s">
        <v>558</v>
      </c>
      <c r="L165" t="s">
        <v>559</v>
      </c>
      <c r="M165" t="s">
        <v>92</v>
      </c>
      <c r="P165">
        <f t="shared" si="4"/>
        <v>1</v>
      </c>
      <c r="Q165" t="str">
        <f>IF(AND(P165&gt;1,COUNTIF($E$6:E165,E165)=1),MAX($Q$5:Q164)+1,"")</f>
        <v/>
      </c>
      <c r="R165" t="str">
        <f t="shared" si="5"/>
        <v/>
      </c>
    </row>
    <row r="166" spans="1:18" ht="22.95" customHeight="1">
      <c r="A166" s="20">
        <v>46280</v>
      </c>
      <c r="B166" t="s">
        <v>18</v>
      </c>
      <c r="C166" t="s">
        <v>74</v>
      </c>
      <c r="D166" t="s">
        <v>75</v>
      </c>
      <c r="E166" t="s">
        <v>560</v>
      </c>
      <c r="F166">
        <v>1</v>
      </c>
      <c r="G166" t="s">
        <v>235</v>
      </c>
      <c r="H166" t="s">
        <v>236</v>
      </c>
      <c r="I166" t="s">
        <v>67</v>
      </c>
      <c r="L166" t="s">
        <v>561</v>
      </c>
      <c r="M166" t="s">
        <v>69</v>
      </c>
      <c r="N166" t="s">
        <v>217</v>
      </c>
      <c r="P166">
        <f t="shared" si="4"/>
        <v>1</v>
      </c>
      <c r="Q166" t="str">
        <f>IF(AND(P166&gt;1,COUNTIF($E$6:E166,E166)=1),MAX($Q$5:Q165)+1,"")</f>
        <v/>
      </c>
      <c r="R166" t="str">
        <f t="shared" si="5"/>
        <v/>
      </c>
    </row>
    <row r="167" spans="1:18" ht="22.95" customHeight="1">
      <c r="A167" s="20">
        <v>46280</v>
      </c>
      <c r="B167" t="s">
        <v>18</v>
      </c>
      <c r="C167" t="s">
        <v>74</v>
      </c>
      <c r="D167" t="s">
        <v>75</v>
      </c>
      <c r="E167" t="s">
        <v>562</v>
      </c>
      <c r="F167">
        <v>1</v>
      </c>
      <c r="G167" t="s">
        <v>563</v>
      </c>
      <c r="K167" t="s">
        <v>564</v>
      </c>
      <c r="L167" t="s">
        <v>565</v>
      </c>
      <c r="M167" t="s">
        <v>69</v>
      </c>
      <c r="N167" t="s">
        <v>566</v>
      </c>
      <c r="P167">
        <f t="shared" si="4"/>
        <v>1</v>
      </c>
      <c r="Q167" t="str">
        <f>IF(AND(P167&gt;1,COUNTIF($E$6:E167,E167)=1),MAX($Q$5:Q166)+1,"")</f>
        <v/>
      </c>
      <c r="R167" t="str">
        <f t="shared" si="5"/>
        <v/>
      </c>
    </row>
    <row r="168" spans="1:18" ht="22.95" customHeight="1">
      <c r="A168" s="20">
        <v>46280</v>
      </c>
      <c r="B168" t="s">
        <v>18</v>
      </c>
      <c r="C168" t="s">
        <v>74</v>
      </c>
      <c r="D168" t="s">
        <v>75</v>
      </c>
      <c r="E168" t="s">
        <v>567</v>
      </c>
      <c r="F168">
        <v>1</v>
      </c>
      <c r="G168" t="s">
        <v>563</v>
      </c>
      <c r="K168" t="s">
        <v>564</v>
      </c>
      <c r="L168" t="s">
        <v>565</v>
      </c>
      <c r="M168" t="s">
        <v>69</v>
      </c>
      <c r="N168" t="s">
        <v>566</v>
      </c>
      <c r="P168">
        <f t="shared" si="4"/>
        <v>1</v>
      </c>
      <c r="Q168" t="str">
        <f>IF(AND(P168&gt;1,COUNTIF($E$6:E168,E168)=1),MAX($Q$5:Q167)+1,"")</f>
        <v/>
      </c>
      <c r="R168" t="str">
        <f t="shared" si="5"/>
        <v/>
      </c>
    </row>
    <row r="169" spans="1:18" ht="22.95" customHeight="1">
      <c r="A169" s="20">
        <v>46280</v>
      </c>
      <c r="B169" t="s">
        <v>18</v>
      </c>
      <c r="C169" t="s">
        <v>74</v>
      </c>
      <c r="D169" t="s">
        <v>75</v>
      </c>
      <c r="E169" t="s">
        <v>568</v>
      </c>
      <c r="F169">
        <v>1</v>
      </c>
      <c r="G169" t="s">
        <v>569</v>
      </c>
      <c r="H169" t="s">
        <v>570</v>
      </c>
      <c r="I169" t="s">
        <v>571</v>
      </c>
      <c r="K169" t="s">
        <v>115</v>
      </c>
      <c r="L169" t="s">
        <v>572</v>
      </c>
      <c r="M169" t="s">
        <v>69</v>
      </c>
      <c r="N169" t="s">
        <v>183</v>
      </c>
      <c r="P169">
        <f t="shared" si="4"/>
        <v>1</v>
      </c>
      <c r="Q169" t="str">
        <f>IF(AND(P169&gt;1,COUNTIF($E$6:E169,E169)=1),MAX($Q$5:Q168)+1,"")</f>
        <v/>
      </c>
      <c r="R169" t="str">
        <f t="shared" si="5"/>
        <v/>
      </c>
    </row>
    <row r="170" spans="1:18" ht="22.95" customHeight="1">
      <c r="A170" s="20">
        <v>46280</v>
      </c>
      <c r="B170" t="s">
        <v>18</v>
      </c>
      <c r="C170" t="s">
        <v>74</v>
      </c>
      <c r="D170" t="s">
        <v>75</v>
      </c>
      <c r="E170" t="s">
        <v>573</v>
      </c>
      <c r="F170">
        <v>1</v>
      </c>
      <c r="G170" t="s">
        <v>569</v>
      </c>
      <c r="H170" t="s">
        <v>570</v>
      </c>
      <c r="I170" t="s">
        <v>571</v>
      </c>
      <c r="K170" t="s">
        <v>115</v>
      </c>
      <c r="L170" t="s">
        <v>574</v>
      </c>
      <c r="M170" t="s">
        <v>69</v>
      </c>
      <c r="N170" t="s">
        <v>183</v>
      </c>
      <c r="P170">
        <f t="shared" si="4"/>
        <v>1</v>
      </c>
      <c r="Q170" t="str">
        <f>IF(AND(P170&gt;1,COUNTIF($E$6:E170,E170)=1),MAX($Q$5:Q169)+1,"")</f>
        <v/>
      </c>
      <c r="R170" t="str">
        <f t="shared" si="5"/>
        <v/>
      </c>
    </row>
    <row r="171" spans="1:18" ht="22.95" customHeight="1">
      <c r="A171" s="20">
        <v>46280</v>
      </c>
      <c r="B171" t="s">
        <v>18</v>
      </c>
      <c r="C171" t="s">
        <v>74</v>
      </c>
      <c r="D171" t="s">
        <v>75</v>
      </c>
      <c r="E171" t="s">
        <v>575</v>
      </c>
      <c r="F171">
        <v>1</v>
      </c>
      <c r="G171" t="s">
        <v>569</v>
      </c>
      <c r="H171" t="s">
        <v>570</v>
      </c>
      <c r="I171" t="s">
        <v>571</v>
      </c>
      <c r="K171" t="s">
        <v>115</v>
      </c>
      <c r="L171" t="s">
        <v>572</v>
      </c>
      <c r="M171" t="s">
        <v>69</v>
      </c>
      <c r="N171" t="s">
        <v>183</v>
      </c>
      <c r="P171">
        <f t="shared" si="4"/>
        <v>1</v>
      </c>
      <c r="Q171" t="str">
        <f>IF(AND(P171&gt;1,COUNTIF($E$6:E171,E171)=1),MAX($Q$5:Q170)+1,"")</f>
        <v/>
      </c>
      <c r="R171" t="str">
        <f t="shared" si="5"/>
        <v/>
      </c>
    </row>
    <row r="172" spans="1:18" ht="22.95" customHeight="1">
      <c r="A172" s="20">
        <v>46280</v>
      </c>
      <c r="B172" t="s">
        <v>18</v>
      </c>
      <c r="C172" t="s">
        <v>81</v>
      </c>
      <c r="D172" t="s">
        <v>82</v>
      </c>
      <c r="E172" t="s">
        <v>576</v>
      </c>
      <c r="F172">
        <v>1</v>
      </c>
      <c r="G172" t="s">
        <v>39</v>
      </c>
      <c r="H172" t="s">
        <v>82</v>
      </c>
      <c r="I172" t="s">
        <v>577</v>
      </c>
      <c r="L172" t="s">
        <v>578</v>
      </c>
      <c r="M172" t="s">
        <v>69</v>
      </c>
      <c r="N172" t="s">
        <v>70</v>
      </c>
      <c r="P172">
        <f t="shared" si="4"/>
        <v>1</v>
      </c>
      <c r="Q172" t="str">
        <f>IF(AND(P172&gt;1,COUNTIF($E$6:E172,E172)=1),MAX($Q$5:Q171)+1,"")</f>
        <v/>
      </c>
      <c r="R172" t="str">
        <f t="shared" si="5"/>
        <v/>
      </c>
    </row>
    <row r="173" spans="1:18" ht="22.95" customHeight="1">
      <c r="A173" s="20">
        <v>46280</v>
      </c>
      <c r="B173" t="s">
        <v>18</v>
      </c>
      <c r="C173" t="s">
        <v>81</v>
      </c>
      <c r="D173" t="s">
        <v>82</v>
      </c>
      <c r="E173" t="s">
        <v>579</v>
      </c>
      <c r="F173">
        <v>1</v>
      </c>
      <c r="G173" t="s">
        <v>39</v>
      </c>
      <c r="H173" t="s">
        <v>82</v>
      </c>
      <c r="I173" t="s">
        <v>580</v>
      </c>
      <c r="L173" t="s">
        <v>581</v>
      </c>
      <c r="M173" t="s">
        <v>69</v>
      </c>
      <c r="N173" t="s">
        <v>309</v>
      </c>
      <c r="P173">
        <f t="shared" si="4"/>
        <v>1</v>
      </c>
      <c r="Q173" t="str">
        <f>IF(AND(P173&gt;1,COUNTIF($E$6:E173,E173)=1),MAX($Q$5:Q172)+1,"")</f>
        <v/>
      </c>
      <c r="R173" t="str">
        <f t="shared" si="5"/>
        <v/>
      </c>
    </row>
    <row r="174" spans="1:18" ht="22.95" customHeight="1">
      <c r="A174" s="20">
        <v>46280</v>
      </c>
      <c r="B174" t="s">
        <v>18</v>
      </c>
      <c r="C174" t="s">
        <v>87</v>
      </c>
      <c r="D174" t="s">
        <v>88</v>
      </c>
      <c r="E174" t="s">
        <v>582</v>
      </c>
      <c r="F174">
        <v>1</v>
      </c>
      <c r="G174" t="s">
        <v>39</v>
      </c>
      <c r="I174" t="s">
        <v>78</v>
      </c>
      <c r="L174" t="s">
        <v>583</v>
      </c>
      <c r="M174" t="s">
        <v>69</v>
      </c>
      <c r="N174" t="s">
        <v>70</v>
      </c>
      <c r="P174">
        <f t="shared" si="4"/>
        <v>1</v>
      </c>
      <c r="Q174" t="str">
        <f>IF(AND(P174&gt;1,COUNTIF($E$6:E174,E174)=1),MAX($Q$5:Q173)+1,"")</f>
        <v/>
      </c>
      <c r="R174" t="str">
        <f t="shared" si="5"/>
        <v/>
      </c>
    </row>
    <row r="175" spans="1:18" ht="22.95" customHeight="1">
      <c r="A175" s="20">
        <v>46280</v>
      </c>
      <c r="B175" t="s">
        <v>18</v>
      </c>
      <c r="C175" t="s">
        <v>87</v>
      </c>
      <c r="D175" t="s">
        <v>88</v>
      </c>
      <c r="E175" t="s">
        <v>584</v>
      </c>
      <c r="F175">
        <v>1</v>
      </c>
      <c r="G175" t="s">
        <v>39</v>
      </c>
      <c r="I175" t="s">
        <v>78</v>
      </c>
      <c r="L175" t="s">
        <v>583</v>
      </c>
      <c r="M175" t="s">
        <v>69</v>
      </c>
      <c r="N175" t="s">
        <v>70</v>
      </c>
      <c r="P175">
        <f t="shared" si="4"/>
        <v>1</v>
      </c>
      <c r="Q175" t="str">
        <f>IF(AND(P175&gt;1,COUNTIF($E$6:E175,E175)=1),MAX($Q$5:Q174)+1,"")</f>
        <v/>
      </c>
      <c r="R175" t="str">
        <f t="shared" si="5"/>
        <v/>
      </c>
    </row>
    <row r="176" spans="1:18" ht="22.95" customHeight="1">
      <c r="A176" s="20">
        <v>46280</v>
      </c>
      <c r="B176" t="s">
        <v>18</v>
      </c>
      <c r="C176" t="s">
        <v>87</v>
      </c>
      <c r="D176" t="s">
        <v>88</v>
      </c>
      <c r="E176" t="s">
        <v>585</v>
      </c>
      <c r="F176">
        <v>1</v>
      </c>
      <c r="G176" t="s">
        <v>39</v>
      </c>
      <c r="L176" t="s">
        <v>586</v>
      </c>
      <c r="M176" t="s">
        <v>69</v>
      </c>
      <c r="N176" t="s">
        <v>70</v>
      </c>
      <c r="P176">
        <f t="shared" si="4"/>
        <v>1</v>
      </c>
      <c r="Q176" t="str">
        <f>IF(AND(P176&gt;1,COUNTIF($E$6:E176,E176)=1),MAX($Q$5:Q175)+1,"")</f>
        <v/>
      </c>
      <c r="R176" t="str">
        <f t="shared" si="5"/>
        <v/>
      </c>
    </row>
    <row r="177" spans="1:18" ht="22.95" customHeight="1">
      <c r="A177" s="20">
        <v>46280</v>
      </c>
      <c r="B177" t="s">
        <v>18</v>
      </c>
      <c r="C177" t="s">
        <v>62</v>
      </c>
      <c r="D177" t="s">
        <v>63</v>
      </c>
      <c r="E177" t="s">
        <v>587</v>
      </c>
      <c r="F177">
        <v>1</v>
      </c>
      <c r="G177" t="s">
        <v>588</v>
      </c>
      <c r="H177" t="s">
        <v>589</v>
      </c>
      <c r="I177" t="s">
        <v>78</v>
      </c>
      <c r="K177" t="s">
        <v>78</v>
      </c>
      <c r="L177" t="s">
        <v>590</v>
      </c>
      <c r="M177" t="s">
        <v>69</v>
      </c>
      <c r="N177" t="s">
        <v>217</v>
      </c>
      <c r="P177">
        <f t="shared" si="4"/>
        <v>1</v>
      </c>
      <c r="Q177" t="str">
        <f>IF(AND(P177&gt;1,COUNTIF($E$6:E177,E177)=1),MAX($Q$5:Q176)+1,"")</f>
        <v/>
      </c>
      <c r="R177" t="str">
        <f t="shared" si="5"/>
        <v/>
      </c>
    </row>
    <row r="178" spans="1:18" ht="22.95" customHeight="1">
      <c r="A178" s="20">
        <v>46280</v>
      </c>
      <c r="B178" t="s">
        <v>18</v>
      </c>
      <c r="C178" t="s">
        <v>62</v>
      </c>
      <c r="D178" t="s">
        <v>63</v>
      </c>
      <c r="E178" t="s">
        <v>591</v>
      </c>
      <c r="F178">
        <v>1</v>
      </c>
      <c r="G178" t="s">
        <v>592</v>
      </c>
      <c r="H178" t="s">
        <v>593</v>
      </c>
      <c r="I178" t="s">
        <v>594</v>
      </c>
      <c r="K178" t="s">
        <v>410</v>
      </c>
      <c r="L178" t="s">
        <v>595</v>
      </c>
      <c r="M178" t="s">
        <v>69</v>
      </c>
      <c r="N178" t="s">
        <v>217</v>
      </c>
      <c r="P178">
        <f t="shared" si="4"/>
        <v>1</v>
      </c>
      <c r="Q178" t="str">
        <f>IF(AND(P178&gt;1,COUNTIF($E$6:E178,E178)=1),MAX($Q$5:Q177)+1,"")</f>
        <v/>
      </c>
      <c r="R178" t="str">
        <f t="shared" si="5"/>
        <v/>
      </c>
    </row>
    <row r="179" spans="1:18" ht="22.95" customHeight="1">
      <c r="A179" s="20">
        <v>46280</v>
      </c>
      <c r="B179" t="s">
        <v>18</v>
      </c>
      <c r="C179" t="s">
        <v>62</v>
      </c>
      <c r="D179" t="s">
        <v>63</v>
      </c>
      <c r="E179" t="s">
        <v>596</v>
      </c>
      <c r="F179">
        <v>1</v>
      </c>
      <c r="G179" t="s">
        <v>592</v>
      </c>
      <c r="H179" t="s">
        <v>593</v>
      </c>
      <c r="I179" t="s">
        <v>597</v>
      </c>
      <c r="K179" t="s">
        <v>410</v>
      </c>
      <c r="L179" t="s">
        <v>598</v>
      </c>
      <c r="M179" t="s">
        <v>69</v>
      </c>
      <c r="N179" t="s">
        <v>217</v>
      </c>
      <c r="P179">
        <f t="shared" si="4"/>
        <v>1</v>
      </c>
      <c r="Q179" t="str">
        <f>IF(AND(P179&gt;1,COUNTIF($E$6:E179,E179)=1),MAX($Q$5:Q178)+1,"")</f>
        <v/>
      </c>
      <c r="R179" t="str">
        <f t="shared" si="5"/>
        <v/>
      </c>
    </row>
    <row r="180" spans="1:18" ht="22.95" customHeight="1">
      <c r="A180" s="20">
        <v>46280</v>
      </c>
      <c r="B180" t="s">
        <v>18</v>
      </c>
      <c r="C180" t="s">
        <v>62</v>
      </c>
      <c r="D180" t="s">
        <v>63</v>
      </c>
      <c r="E180" t="s">
        <v>599</v>
      </c>
      <c r="F180">
        <v>1</v>
      </c>
      <c r="G180" t="s">
        <v>39</v>
      </c>
      <c r="I180" t="s">
        <v>600</v>
      </c>
      <c r="K180" t="s">
        <v>106</v>
      </c>
      <c r="L180" t="s">
        <v>601</v>
      </c>
      <c r="M180" t="s">
        <v>92</v>
      </c>
      <c r="P180">
        <f t="shared" si="4"/>
        <v>1</v>
      </c>
      <c r="Q180" t="str">
        <f>IF(AND(P180&gt;1,COUNTIF($E$6:E180,E180)=1),MAX($Q$5:Q179)+1,"")</f>
        <v/>
      </c>
      <c r="R180" t="str">
        <f t="shared" si="5"/>
        <v/>
      </c>
    </row>
    <row r="181" spans="1:18" ht="22.95" customHeight="1">
      <c r="A181" s="20">
        <v>46281</v>
      </c>
      <c r="B181" t="s">
        <v>18</v>
      </c>
      <c r="C181" t="s">
        <v>81</v>
      </c>
      <c r="D181" t="s">
        <v>82</v>
      </c>
      <c r="E181" t="s">
        <v>602</v>
      </c>
      <c r="F181">
        <v>1</v>
      </c>
      <c r="G181" t="s">
        <v>603</v>
      </c>
      <c r="H181" t="s">
        <v>604</v>
      </c>
      <c r="I181" t="s">
        <v>605</v>
      </c>
      <c r="K181" t="s">
        <v>410</v>
      </c>
      <c r="L181" t="s">
        <v>606</v>
      </c>
      <c r="M181" t="s">
        <v>92</v>
      </c>
      <c r="P181">
        <f t="shared" si="4"/>
        <v>1</v>
      </c>
      <c r="Q181" t="str">
        <f>IF(AND(P181&gt;1,COUNTIF($E$6:E181,E181)=1),MAX($Q$5:Q180)+1,"")</f>
        <v/>
      </c>
      <c r="R181" t="str">
        <f t="shared" si="5"/>
        <v/>
      </c>
    </row>
    <row r="182" spans="1:18" ht="22.95" customHeight="1">
      <c r="A182" s="20">
        <v>46281</v>
      </c>
      <c r="B182" t="s">
        <v>18</v>
      </c>
      <c r="C182" t="s">
        <v>81</v>
      </c>
      <c r="D182" t="s">
        <v>82</v>
      </c>
      <c r="E182" t="s">
        <v>607</v>
      </c>
      <c r="F182">
        <v>1</v>
      </c>
      <c r="G182" t="s">
        <v>603</v>
      </c>
      <c r="H182" t="s">
        <v>604</v>
      </c>
      <c r="I182" t="s">
        <v>608</v>
      </c>
      <c r="K182" t="s">
        <v>410</v>
      </c>
      <c r="L182" t="s">
        <v>609</v>
      </c>
      <c r="M182" t="s">
        <v>69</v>
      </c>
      <c r="N182" t="s">
        <v>217</v>
      </c>
      <c r="P182">
        <f t="shared" si="4"/>
        <v>1</v>
      </c>
      <c r="Q182" t="str">
        <f>IF(AND(P182&gt;1,COUNTIF($E$6:E182,E182)=1),MAX($Q$5:Q181)+1,"")</f>
        <v/>
      </c>
      <c r="R182" t="str">
        <f t="shared" si="5"/>
        <v/>
      </c>
    </row>
    <row r="183" spans="1:18" ht="22.95" customHeight="1">
      <c r="A183" s="20">
        <v>46281</v>
      </c>
      <c r="B183" t="s">
        <v>18</v>
      </c>
      <c r="C183" t="s">
        <v>81</v>
      </c>
      <c r="D183" t="s">
        <v>82</v>
      </c>
      <c r="E183" t="s">
        <v>610</v>
      </c>
      <c r="F183">
        <v>1</v>
      </c>
      <c r="G183" t="s">
        <v>603</v>
      </c>
      <c r="H183" t="s">
        <v>604</v>
      </c>
      <c r="I183" t="s">
        <v>608</v>
      </c>
      <c r="K183" t="s">
        <v>410</v>
      </c>
      <c r="L183" t="s">
        <v>611</v>
      </c>
      <c r="M183" t="s">
        <v>69</v>
      </c>
      <c r="N183" t="s">
        <v>217</v>
      </c>
      <c r="P183">
        <f t="shared" si="4"/>
        <v>1</v>
      </c>
      <c r="Q183" t="str">
        <f>IF(AND(P183&gt;1,COUNTIF($E$6:E183,E183)=1),MAX($Q$5:Q182)+1,"")</f>
        <v/>
      </c>
      <c r="R183" t="str">
        <f t="shared" si="5"/>
        <v/>
      </c>
    </row>
    <row r="184" spans="1:18" ht="22.95" customHeight="1">
      <c r="A184" s="20">
        <v>46282</v>
      </c>
      <c r="B184" t="s">
        <v>18</v>
      </c>
      <c r="C184" t="s">
        <v>87</v>
      </c>
      <c r="D184" t="s">
        <v>88</v>
      </c>
      <c r="E184" t="s">
        <v>612</v>
      </c>
      <c r="F184">
        <v>1</v>
      </c>
      <c r="G184" t="s">
        <v>65</v>
      </c>
      <c r="I184" t="s">
        <v>78</v>
      </c>
      <c r="K184" t="s">
        <v>78</v>
      </c>
      <c r="L184" t="s">
        <v>613</v>
      </c>
      <c r="M184" t="s">
        <v>69</v>
      </c>
      <c r="N184" t="s">
        <v>70</v>
      </c>
      <c r="P184">
        <f t="shared" si="4"/>
        <v>1</v>
      </c>
      <c r="Q184" t="str">
        <f>IF(AND(P184&gt;1,COUNTIF($E$6:E184,E184)=1),MAX($Q$5:Q183)+1,"")</f>
        <v/>
      </c>
      <c r="R184" t="str">
        <f t="shared" si="5"/>
        <v/>
      </c>
    </row>
    <row r="185" spans="1:18" ht="22.95" customHeight="1">
      <c r="A185" s="20">
        <v>46282</v>
      </c>
      <c r="B185" t="s">
        <v>18</v>
      </c>
      <c r="C185" t="s">
        <v>87</v>
      </c>
      <c r="D185" t="s">
        <v>88</v>
      </c>
      <c r="E185" t="s">
        <v>614</v>
      </c>
      <c r="F185">
        <v>1</v>
      </c>
      <c r="G185" t="s">
        <v>65</v>
      </c>
      <c r="I185" t="s">
        <v>78</v>
      </c>
      <c r="K185" t="s">
        <v>78</v>
      </c>
      <c r="L185" t="s">
        <v>615</v>
      </c>
      <c r="M185" t="s">
        <v>69</v>
      </c>
      <c r="N185" t="s">
        <v>70</v>
      </c>
      <c r="P185">
        <f t="shared" si="4"/>
        <v>1</v>
      </c>
      <c r="Q185" t="str">
        <f>IF(AND(P185&gt;1,COUNTIF($E$6:E185,E185)=1),MAX($Q$5:Q184)+1,"")</f>
        <v/>
      </c>
      <c r="R185" t="str">
        <f t="shared" si="5"/>
        <v/>
      </c>
    </row>
    <row r="186" spans="1:18" ht="22.95" customHeight="1">
      <c r="A186" s="20">
        <v>46282</v>
      </c>
      <c r="B186" t="s">
        <v>18</v>
      </c>
      <c r="C186" t="s">
        <v>87</v>
      </c>
      <c r="D186" t="s">
        <v>88</v>
      </c>
      <c r="E186" t="s">
        <v>616</v>
      </c>
      <c r="F186">
        <v>1</v>
      </c>
      <c r="G186" t="s">
        <v>65</v>
      </c>
      <c r="I186" t="s">
        <v>78</v>
      </c>
      <c r="K186" t="s">
        <v>78</v>
      </c>
      <c r="L186" t="s">
        <v>615</v>
      </c>
      <c r="M186" t="s">
        <v>69</v>
      </c>
      <c r="N186" t="s">
        <v>70</v>
      </c>
      <c r="P186">
        <f t="shared" si="4"/>
        <v>1</v>
      </c>
      <c r="Q186" t="str">
        <f>IF(AND(P186&gt;1,COUNTIF($E$6:E186,E186)=1),MAX($Q$5:Q185)+1,"")</f>
        <v/>
      </c>
      <c r="R186" t="str">
        <f t="shared" si="5"/>
        <v/>
      </c>
    </row>
    <row r="187" spans="1:18" ht="22.95" customHeight="1">
      <c r="A187" s="20">
        <v>46282</v>
      </c>
      <c r="B187" t="s">
        <v>18</v>
      </c>
      <c r="C187" t="s">
        <v>87</v>
      </c>
      <c r="D187" t="s">
        <v>88</v>
      </c>
      <c r="E187" t="s">
        <v>617</v>
      </c>
      <c r="F187">
        <v>1</v>
      </c>
      <c r="G187" t="s">
        <v>39</v>
      </c>
      <c r="I187" t="s">
        <v>618</v>
      </c>
      <c r="K187" t="s">
        <v>40</v>
      </c>
      <c r="L187" t="s">
        <v>619</v>
      </c>
      <c r="M187" t="s">
        <v>92</v>
      </c>
      <c r="P187">
        <f t="shared" si="4"/>
        <v>1</v>
      </c>
      <c r="Q187" t="str">
        <f>IF(AND(P187&gt;1,COUNTIF($E$6:E187,E187)=1),MAX($Q$5:Q186)+1,"")</f>
        <v/>
      </c>
      <c r="R187" t="str">
        <f t="shared" si="5"/>
        <v/>
      </c>
    </row>
    <row r="188" spans="1:18" ht="22.95" customHeight="1">
      <c r="A188" s="20">
        <v>46282</v>
      </c>
      <c r="B188" t="s">
        <v>18</v>
      </c>
      <c r="C188" t="s">
        <v>62</v>
      </c>
      <c r="D188" t="s">
        <v>161</v>
      </c>
      <c r="E188" t="s">
        <v>620</v>
      </c>
      <c r="F188">
        <v>1</v>
      </c>
      <c r="G188" t="s">
        <v>39</v>
      </c>
      <c r="I188" t="s">
        <v>621</v>
      </c>
      <c r="K188" t="s">
        <v>40</v>
      </c>
      <c r="L188" t="s">
        <v>622</v>
      </c>
      <c r="M188" t="s">
        <v>92</v>
      </c>
      <c r="P188">
        <f t="shared" si="4"/>
        <v>1</v>
      </c>
      <c r="Q188" t="str">
        <f>IF(AND(P188&gt;1,COUNTIF($E$6:E188,E188)=1),MAX($Q$5:Q187)+1,"")</f>
        <v/>
      </c>
      <c r="R188" t="str">
        <f t="shared" si="5"/>
        <v/>
      </c>
    </row>
    <row r="189" spans="1:18" ht="22.95" customHeight="1">
      <c r="A189" s="20">
        <v>46282</v>
      </c>
      <c r="B189" t="s">
        <v>18</v>
      </c>
      <c r="C189" t="s">
        <v>62</v>
      </c>
      <c r="D189" t="s">
        <v>161</v>
      </c>
      <c r="E189" t="s">
        <v>623</v>
      </c>
      <c r="F189">
        <v>1</v>
      </c>
      <c r="G189" t="s">
        <v>39</v>
      </c>
      <c r="I189" t="s">
        <v>621</v>
      </c>
      <c r="K189" t="s">
        <v>40</v>
      </c>
      <c r="L189" t="s">
        <v>622</v>
      </c>
      <c r="M189" t="s">
        <v>92</v>
      </c>
      <c r="P189">
        <f t="shared" si="4"/>
        <v>1</v>
      </c>
      <c r="Q189" t="str">
        <f>IF(AND(P189&gt;1,COUNTIF($E$6:E189,E189)=1),MAX($Q$5:Q188)+1,"")</f>
        <v/>
      </c>
      <c r="R189" t="str">
        <f t="shared" si="5"/>
        <v/>
      </c>
    </row>
    <row r="190" spans="1:18" ht="22.95" customHeight="1">
      <c r="A190" s="20">
        <v>46282</v>
      </c>
      <c r="B190" t="s">
        <v>18</v>
      </c>
      <c r="C190" t="s">
        <v>62</v>
      </c>
      <c r="D190" t="s">
        <v>161</v>
      </c>
      <c r="E190" t="s">
        <v>624</v>
      </c>
      <c r="F190">
        <v>1</v>
      </c>
      <c r="G190" t="s">
        <v>39</v>
      </c>
      <c r="I190" t="s">
        <v>621</v>
      </c>
      <c r="K190" t="s">
        <v>40</v>
      </c>
      <c r="L190" t="s">
        <v>622</v>
      </c>
      <c r="M190" t="s">
        <v>92</v>
      </c>
      <c r="P190">
        <f t="shared" si="4"/>
        <v>1</v>
      </c>
      <c r="Q190" t="str">
        <f>IF(AND(P190&gt;1,COUNTIF($E$6:E190,E190)=1),MAX($Q$5:Q189)+1,"")</f>
        <v/>
      </c>
      <c r="R190" t="str">
        <f t="shared" si="5"/>
        <v/>
      </c>
    </row>
    <row r="191" spans="1:18" ht="22.95" customHeight="1">
      <c r="A191" s="20">
        <v>46282</v>
      </c>
      <c r="B191" t="s">
        <v>18</v>
      </c>
      <c r="C191" t="s">
        <v>62</v>
      </c>
      <c r="D191" t="s">
        <v>161</v>
      </c>
      <c r="E191" t="s">
        <v>625</v>
      </c>
      <c r="F191">
        <v>1</v>
      </c>
      <c r="G191" t="s">
        <v>65</v>
      </c>
      <c r="I191" t="s">
        <v>66</v>
      </c>
      <c r="K191" t="s">
        <v>626</v>
      </c>
      <c r="L191" t="s">
        <v>627</v>
      </c>
      <c r="M191" t="s">
        <v>69</v>
      </c>
      <c r="N191" t="s">
        <v>70</v>
      </c>
      <c r="P191">
        <f t="shared" si="4"/>
        <v>1</v>
      </c>
      <c r="Q191" t="str">
        <f>IF(AND(P191&gt;1,COUNTIF($E$6:E191,E191)=1),MAX($Q$5:Q190)+1,"")</f>
        <v/>
      </c>
      <c r="R191" t="str">
        <f t="shared" si="5"/>
        <v/>
      </c>
    </row>
    <row r="192" spans="1:18" ht="22.95" customHeight="1">
      <c r="A192" s="20">
        <v>46282</v>
      </c>
      <c r="B192" t="s">
        <v>18</v>
      </c>
      <c r="C192" t="s">
        <v>62</v>
      </c>
      <c r="D192" t="s">
        <v>161</v>
      </c>
      <c r="E192" t="s">
        <v>628</v>
      </c>
      <c r="F192">
        <v>1</v>
      </c>
      <c r="G192" t="s">
        <v>39</v>
      </c>
      <c r="I192" t="s">
        <v>66</v>
      </c>
      <c r="J192" t="s">
        <v>159</v>
      </c>
      <c r="K192" t="s">
        <v>629</v>
      </c>
      <c r="L192" t="s">
        <v>630</v>
      </c>
      <c r="M192" t="s">
        <v>92</v>
      </c>
      <c r="P192">
        <f t="shared" si="4"/>
        <v>1</v>
      </c>
      <c r="Q192" t="str">
        <f>IF(AND(P192&gt;1,COUNTIF($E$6:E192,E192)=1),MAX($Q$5:Q191)+1,"")</f>
        <v/>
      </c>
      <c r="R192" t="str">
        <f t="shared" si="5"/>
        <v/>
      </c>
    </row>
    <row r="193" spans="1:18" ht="22.95" customHeight="1">
      <c r="A193" s="20">
        <v>46282</v>
      </c>
      <c r="B193" t="s">
        <v>18</v>
      </c>
      <c r="C193" t="s">
        <v>97</v>
      </c>
      <c r="D193" t="s">
        <v>98</v>
      </c>
      <c r="E193" t="s">
        <v>631</v>
      </c>
      <c r="F193">
        <v>1</v>
      </c>
      <c r="G193" t="s">
        <v>39</v>
      </c>
      <c r="I193" t="s">
        <v>632</v>
      </c>
      <c r="K193" t="s">
        <v>633</v>
      </c>
      <c r="L193" t="s">
        <v>634</v>
      </c>
      <c r="M193" t="s">
        <v>38</v>
      </c>
      <c r="P193">
        <f t="shared" si="4"/>
        <v>1</v>
      </c>
      <c r="Q193" t="str">
        <f>IF(AND(P193&gt;1,COUNTIF($E$6:E193,E193)=1),MAX($Q$5:Q192)+1,"")</f>
        <v/>
      </c>
      <c r="R193" t="str">
        <f t="shared" si="5"/>
        <v/>
      </c>
    </row>
    <row r="194" spans="1:18" ht="22.95" customHeight="1">
      <c r="A194" s="20">
        <v>46282</v>
      </c>
      <c r="B194" t="s">
        <v>18</v>
      </c>
      <c r="C194" t="s">
        <v>97</v>
      </c>
      <c r="D194" t="s">
        <v>98</v>
      </c>
      <c r="E194" t="s">
        <v>635</v>
      </c>
      <c r="F194">
        <v>1</v>
      </c>
      <c r="G194" t="s">
        <v>39</v>
      </c>
      <c r="I194" t="s">
        <v>636</v>
      </c>
      <c r="K194" t="s">
        <v>633</v>
      </c>
      <c r="L194" t="s">
        <v>634</v>
      </c>
      <c r="M194" t="s">
        <v>38</v>
      </c>
      <c r="P194">
        <f t="shared" si="4"/>
        <v>1</v>
      </c>
      <c r="Q194" t="str">
        <f>IF(AND(P194&gt;1,COUNTIF($E$6:E194,E194)=1),MAX($Q$5:Q193)+1,"")</f>
        <v/>
      </c>
      <c r="R194" t="str">
        <f t="shared" si="5"/>
        <v/>
      </c>
    </row>
    <row r="195" spans="1:18" ht="22.95" customHeight="1">
      <c r="A195" s="20">
        <v>46283</v>
      </c>
      <c r="B195" t="s">
        <v>18</v>
      </c>
      <c r="C195" t="s">
        <v>74</v>
      </c>
      <c r="D195" t="s">
        <v>75</v>
      </c>
      <c r="E195" t="s">
        <v>637</v>
      </c>
      <c r="F195">
        <v>1</v>
      </c>
      <c r="G195" t="s">
        <v>638</v>
      </c>
      <c r="H195" t="s">
        <v>639</v>
      </c>
      <c r="I195" t="s">
        <v>640</v>
      </c>
      <c r="K195" t="s">
        <v>352</v>
      </c>
      <c r="L195" t="s">
        <v>641</v>
      </c>
      <c r="M195" t="s">
        <v>69</v>
      </c>
      <c r="N195" t="s">
        <v>183</v>
      </c>
      <c r="P195">
        <f t="shared" si="4"/>
        <v>1</v>
      </c>
      <c r="Q195" t="str">
        <f>IF(AND(P195&gt;1,COUNTIF($E$6:E195,E195)=1),MAX($Q$5:Q194)+1,"")</f>
        <v/>
      </c>
      <c r="R195" t="str">
        <f t="shared" si="5"/>
        <v/>
      </c>
    </row>
    <row r="196" spans="1:18" ht="22.95" customHeight="1">
      <c r="A196" s="20">
        <v>46283</v>
      </c>
      <c r="B196" t="s">
        <v>18</v>
      </c>
      <c r="C196" t="s">
        <v>74</v>
      </c>
      <c r="D196" t="s">
        <v>75</v>
      </c>
      <c r="E196" t="s">
        <v>642</v>
      </c>
      <c r="F196">
        <v>1</v>
      </c>
      <c r="G196" t="s">
        <v>638</v>
      </c>
      <c r="H196" t="s">
        <v>639</v>
      </c>
      <c r="I196" t="s">
        <v>640</v>
      </c>
      <c r="K196" t="s">
        <v>352</v>
      </c>
      <c r="L196" t="s">
        <v>641</v>
      </c>
      <c r="M196" t="s">
        <v>69</v>
      </c>
      <c r="N196" t="s">
        <v>183</v>
      </c>
      <c r="P196">
        <f t="shared" si="4"/>
        <v>1</v>
      </c>
      <c r="Q196" t="str">
        <f>IF(AND(P196&gt;1,COUNTIF($E$6:E196,E196)=1),MAX($Q$5:Q195)+1,"")</f>
        <v/>
      </c>
      <c r="R196" t="str">
        <f t="shared" si="5"/>
        <v/>
      </c>
    </row>
    <row r="197" spans="1:18" ht="22.95" customHeight="1">
      <c r="A197" s="20">
        <v>46283</v>
      </c>
      <c r="B197" t="s">
        <v>18</v>
      </c>
      <c r="C197" t="s">
        <v>87</v>
      </c>
      <c r="D197" t="s">
        <v>88</v>
      </c>
      <c r="E197" t="s">
        <v>643</v>
      </c>
      <c r="F197">
        <v>1</v>
      </c>
      <c r="G197" t="s">
        <v>39</v>
      </c>
      <c r="I197" t="s">
        <v>78</v>
      </c>
      <c r="J197" t="s">
        <v>154</v>
      </c>
      <c r="K197" t="s">
        <v>427</v>
      </c>
      <c r="L197" t="s">
        <v>644</v>
      </c>
      <c r="M197" t="s">
        <v>92</v>
      </c>
      <c r="P197">
        <f t="shared" si="4"/>
        <v>1</v>
      </c>
      <c r="Q197" t="str">
        <f>IF(AND(P197&gt;1,COUNTIF($E$6:E197,E197)=1),MAX($Q$5:Q196)+1,"")</f>
        <v/>
      </c>
      <c r="R197" t="str">
        <f t="shared" si="5"/>
        <v/>
      </c>
    </row>
    <row r="198" spans="1:18" ht="22.95" customHeight="1">
      <c r="A198" s="20">
        <v>46283</v>
      </c>
      <c r="B198" t="s">
        <v>18</v>
      </c>
      <c r="C198" t="s">
        <v>87</v>
      </c>
      <c r="D198" t="s">
        <v>88</v>
      </c>
      <c r="E198" t="s">
        <v>645</v>
      </c>
      <c r="F198">
        <v>1</v>
      </c>
      <c r="G198" t="s">
        <v>39</v>
      </c>
      <c r="I198" t="s">
        <v>427</v>
      </c>
      <c r="J198" t="s">
        <v>154</v>
      </c>
      <c r="K198" t="s">
        <v>78</v>
      </c>
      <c r="L198" t="s">
        <v>644</v>
      </c>
      <c r="M198" t="s">
        <v>92</v>
      </c>
      <c r="P198">
        <f t="shared" ref="P198:P261" si="6">COUNTIF($E$6:$E$1740,E198)</f>
        <v>1</v>
      </c>
      <c r="Q198" t="str">
        <f>IF(AND(P198&gt;1,COUNTIF($E$6:E198,E198)=1),MAX($Q$5:Q197)+1,"")</f>
        <v/>
      </c>
      <c r="R198" t="str">
        <f t="shared" ref="R198:R261" si="7">IF(Q198="","",IF(COUNTIFS($E$6:$E$1740,E198,$A$6:$A$1740,A198,$C$6:$C$1740,C198)&lt;P198,"LÉGITIME",IF(COUNTIFS($E$6:$E$1740,E198,$A$6:$A$1740,A198,$C$6:$C$1740,C198,$M$6:$M$1740,M198)&lt;P198,"STATUT DIFFÉRENT","VRAI DOUBLON")))</f>
        <v/>
      </c>
    </row>
    <row r="199" spans="1:18" ht="22.95" customHeight="1">
      <c r="A199" s="20">
        <v>46283</v>
      </c>
      <c r="B199" t="s">
        <v>18</v>
      </c>
      <c r="C199" t="s">
        <v>62</v>
      </c>
      <c r="D199" t="s">
        <v>161</v>
      </c>
      <c r="E199" t="s">
        <v>646</v>
      </c>
      <c r="F199">
        <v>1</v>
      </c>
      <c r="G199" t="s">
        <v>39</v>
      </c>
      <c r="I199" t="s">
        <v>647</v>
      </c>
      <c r="K199" t="s">
        <v>40</v>
      </c>
      <c r="L199" t="s">
        <v>648</v>
      </c>
      <c r="M199" t="s">
        <v>38</v>
      </c>
      <c r="P199">
        <f t="shared" si="6"/>
        <v>1</v>
      </c>
      <c r="Q199" t="str">
        <f>IF(AND(P199&gt;1,COUNTIF($E$6:E199,E199)=1),MAX($Q$5:Q198)+1,"")</f>
        <v/>
      </c>
      <c r="R199" t="str">
        <f t="shared" si="7"/>
        <v/>
      </c>
    </row>
    <row r="200" spans="1:18" ht="22.95" customHeight="1">
      <c r="A200" s="20">
        <v>46283</v>
      </c>
      <c r="B200" t="s">
        <v>18</v>
      </c>
      <c r="C200" t="s">
        <v>62</v>
      </c>
      <c r="D200" t="s">
        <v>161</v>
      </c>
      <c r="E200" t="s">
        <v>649</v>
      </c>
      <c r="F200">
        <v>1</v>
      </c>
      <c r="G200" t="s">
        <v>39</v>
      </c>
      <c r="I200" t="s">
        <v>647</v>
      </c>
      <c r="K200" t="s">
        <v>40</v>
      </c>
      <c r="L200" t="s">
        <v>648</v>
      </c>
      <c r="M200" t="s">
        <v>38</v>
      </c>
      <c r="P200">
        <f t="shared" si="6"/>
        <v>1</v>
      </c>
      <c r="Q200" t="str">
        <f>IF(AND(P200&gt;1,COUNTIF($E$6:E200,E200)=1),MAX($Q$5:Q199)+1,"")</f>
        <v/>
      </c>
      <c r="R200" t="str">
        <f t="shared" si="7"/>
        <v/>
      </c>
    </row>
    <row r="201" spans="1:18" ht="22.95" customHeight="1">
      <c r="A201" s="20">
        <v>46283</v>
      </c>
      <c r="B201" t="s">
        <v>18</v>
      </c>
      <c r="C201" t="s">
        <v>62</v>
      </c>
      <c r="D201" t="s">
        <v>161</v>
      </c>
      <c r="E201" t="s">
        <v>650</v>
      </c>
      <c r="F201">
        <v>1</v>
      </c>
      <c r="G201" t="s">
        <v>39</v>
      </c>
      <c r="I201" t="s">
        <v>651</v>
      </c>
      <c r="K201" t="s">
        <v>40</v>
      </c>
      <c r="L201" t="s">
        <v>648</v>
      </c>
      <c r="M201" t="s">
        <v>38</v>
      </c>
      <c r="P201">
        <f t="shared" si="6"/>
        <v>1</v>
      </c>
      <c r="Q201" t="str">
        <f>IF(AND(P201&gt;1,COUNTIF($E$6:E201,E201)=1),MAX($Q$5:Q200)+1,"")</f>
        <v/>
      </c>
      <c r="R201" t="str">
        <f t="shared" si="7"/>
        <v/>
      </c>
    </row>
    <row r="202" spans="1:18" ht="22.95" customHeight="1">
      <c r="A202" s="20">
        <v>46283</v>
      </c>
      <c r="B202" t="s">
        <v>18</v>
      </c>
      <c r="C202" t="s">
        <v>62</v>
      </c>
      <c r="D202" t="s">
        <v>161</v>
      </c>
      <c r="E202" t="s">
        <v>652</v>
      </c>
      <c r="F202">
        <v>1</v>
      </c>
      <c r="G202" t="s">
        <v>39</v>
      </c>
      <c r="I202" t="s">
        <v>651</v>
      </c>
      <c r="K202" t="s">
        <v>40</v>
      </c>
      <c r="L202" t="s">
        <v>648</v>
      </c>
      <c r="M202" t="s">
        <v>38</v>
      </c>
      <c r="P202">
        <f t="shared" si="6"/>
        <v>1</v>
      </c>
      <c r="Q202" t="str">
        <f>IF(AND(P202&gt;1,COUNTIF($E$6:E202,E202)=1),MAX($Q$5:Q201)+1,"")</f>
        <v/>
      </c>
      <c r="R202" t="str">
        <f t="shared" si="7"/>
        <v/>
      </c>
    </row>
    <row r="203" spans="1:18" ht="22.95" customHeight="1">
      <c r="A203" s="20">
        <v>46284</v>
      </c>
      <c r="B203" t="s">
        <v>18</v>
      </c>
      <c r="C203" t="s">
        <v>74</v>
      </c>
      <c r="D203" t="s">
        <v>75</v>
      </c>
      <c r="E203" t="s">
        <v>653</v>
      </c>
      <c r="F203">
        <v>1</v>
      </c>
      <c r="G203" t="s">
        <v>39</v>
      </c>
      <c r="I203" t="s">
        <v>654</v>
      </c>
      <c r="K203" t="s">
        <v>555</v>
      </c>
      <c r="L203" t="s">
        <v>655</v>
      </c>
      <c r="M203" t="s">
        <v>69</v>
      </c>
      <c r="N203" t="s">
        <v>96</v>
      </c>
      <c r="P203">
        <f t="shared" si="6"/>
        <v>1</v>
      </c>
      <c r="Q203" t="str">
        <f>IF(AND(P203&gt;1,COUNTIF($E$6:E203,E203)=1),MAX($Q$5:Q202)+1,"")</f>
        <v/>
      </c>
      <c r="R203" t="str">
        <f t="shared" si="7"/>
        <v/>
      </c>
    </row>
    <row r="204" spans="1:18" ht="22.95" customHeight="1">
      <c r="A204" s="20">
        <v>46284</v>
      </c>
      <c r="B204" t="s">
        <v>18</v>
      </c>
      <c r="C204" t="s">
        <v>74</v>
      </c>
      <c r="D204" t="s">
        <v>75</v>
      </c>
      <c r="E204" t="s">
        <v>656</v>
      </c>
      <c r="F204">
        <v>1</v>
      </c>
      <c r="G204" t="s">
        <v>39</v>
      </c>
      <c r="I204" t="s">
        <v>657</v>
      </c>
      <c r="J204" t="s">
        <v>154</v>
      </c>
      <c r="K204" t="s">
        <v>67</v>
      </c>
      <c r="L204" t="s">
        <v>658</v>
      </c>
      <c r="M204" t="s">
        <v>92</v>
      </c>
      <c r="P204">
        <f t="shared" si="6"/>
        <v>1</v>
      </c>
      <c r="Q204" t="str">
        <f>IF(AND(P204&gt;1,COUNTIF($E$6:E204,E204)=1),MAX($Q$5:Q203)+1,"")</f>
        <v/>
      </c>
      <c r="R204" t="str">
        <f t="shared" si="7"/>
        <v/>
      </c>
    </row>
    <row r="205" spans="1:18" ht="22.95" customHeight="1">
      <c r="A205" s="20">
        <v>46284</v>
      </c>
      <c r="B205" t="s">
        <v>18</v>
      </c>
      <c r="C205" t="s">
        <v>81</v>
      </c>
      <c r="D205" t="s">
        <v>82</v>
      </c>
      <c r="E205" t="s">
        <v>659</v>
      </c>
      <c r="F205">
        <v>1</v>
      </c>
      <c r="G205" t="s">
        <v>39</v>
      </c>
      <c r="I205" t="s">
        <v>660</v>
      </c>
      <c r="K205" t="s">
        <v>40</v>
      </c>
      <c r="L205" t="s">
        <v>661</v>
      </c>
      <c r="M205" t="s">
        <v>38</v>
      </c>
      <c r="P205">
        <f t="shared" si="6"/>
        <v>1</v>
      </c>
      <c r="Q205" t="str">
        <f>IF(AND(P205&gt;1,COUNTIF($E$6:E205,E205)=1),MAX($Q$5:Q204)+1,"")</f>
        <v/>
      </c>
      <c r="R205" t="str">
        <f t="shared" si="7"/>
        <v/>
      </c>
    </row>
    <row r="206" spans="1:18" ht="22.95" customHeight="1">
      <c r="A206" s="20">
        <v>46284</v>
      </c>
      <c r="B206" t="s">
        <v>18</v>
      </c>
      <c r="C206" t="s">
        <v>81</v>
      </c>
      <c r="D206" t="s">
        <v>82</v>
      </c>
      <c r="E206" t="s">
        <v>662</v>
      </c>
      <c r="F206">
        <v>1</v>
      </c>
      <c r="G206" t="s">
        <v>39</v>
      </c>
      <c r="I206" t="s">
        <v>663</v>
      </c>
      <c r="J206" t="s">
        <v>100</v>
      </c>
      <c r="K206" t="s">
        <v>40</v>
      </c>
      <c r="L206" t="s">
        <v>664</v>
      </c>
      <c r="M206" t="s">
        <v>92</v>
      </c>
      <c r="P206">
        <f t="shared" si="6"/>
        <v>1</v>
      </c>
      <c r="Q206" t="str">
        <f>IF(AND(P206&gt;1,COUNTIF($E$6:E206,E206)=1),MAX($Q$5:Q205)+1,"")</f>
        <v/>
      </c>
      <c r="R206" t="str">
        <f t="shared" si="7"/>
        <v/>
      </c>
    </row>
    <row r="207" spans="1:18" ht="22.95" customHeight="1">
      <c r="A207" s="20">
        <v>46284</v>
      </c>
      <c r="B207" t="s">
        <v>18</v>
      </c>
      <c r="C207" t="s">
        <v>87</v>
      </c>
      <c r="D207" t="s">
        <v>88</v>
      </c>
      <c r="E207" t="s">
        <v>665</v>
      </c>
      <c r="F207">
        <v>1</v>
      </c>
      <c r="G207" t="s">
        <v>65</v>
      </c>
      <c r="I207" t="s">
        <v>666</v>
      </c>
      <c r="K207" t="s">
        <v>40</v>
      </c>
      <c r="L207" t="s">
        <v>667</v>
      </c>
      <c r="M207" t="s">
        <v>69</v>
      </c>
      <c r="N207" t="s">
        <v>70</v>
      </c>
      <c r="P207">
        <f t="shared" si="6"/>
        <v>1</v>
      </c>
      <c r="Q207" t="str">
        <f>IF(AND(P207&gt;1,COUNTIF($E$6:E207,E207)=1),MAX($Q$5:Q206)+1,"")</f>
        <v/>
      </c>
      <c r="R207" t="str">
        <f t="shared" si="7"/>
        <v/>
      </c>
    </row>
    <row r="208" spans="1:18" ht="22.95" customHeight="1">
      <c r="A208" s="20">
        <v>46284</v>
      </c>
      <c r="B208" t="s">
        <v>18</v>
      </c>
      <c r="C208" t="s">
        <v>87</v>
      </c>
      <c r="D208" t="s">
        <v>88</v>
      </c>
      <c r="E208" t="s">
        <v>668</v>
      </c>
      <c r="F208">
        <v>1</v>
      </c>
      <c r="G208" t="s">
        <v>65</v>
      </c>
      <c r="I208" t="s">
        <v>666</v>
      </c>
      <c r="K208" t="s">
        <v>40</v>
      </c>
      <c r="L208" t="s">
        <v>667</v>
      </c>
      <c r="M208" t="s">
        <v>69</v>
      </c>
      <c r="N208" t="s">
        <v>70</v>
      </c>
      <c r="P208">
        <f t="shared" si="6"/>
        <v>1</v>
      </c>
      <c r="Q208" t="str">
        <f>IF(AND(P208&gt;1,COUNTIF($E$6:E208,E208)=1),MAX($Q$5:Q207)+1,"")</f>
        <v/>
      </c>
      <c r="R208" t="str">
        <f t="shared" si="7"/>
        <v/>
      </c>
    </row>
    <row r="209" spans="1:18" ht="22.95" customHeight="1">
      <c r="A209" s="20">
        <v>46284</v>
      </c>
      <c r="B209" t="s">
        <v>18</v>
      </c>
      <c r="C209" t="s">
        <v>62</v>
      </c>
      <c r="D209" t="s">
        <v>63</v>
      </c>
      <c r="E209" t="s">
        <v>669</v>
      </c>
      <c r="F209">
        <v>1</v>
      </c>
      <c r="G209" t="s">
        <v>670</v>
      </c>
      <c r="H209" t="s">
        <v>671</v>
      </c>
      <c r="I209" t="s">
        <v>90</v>
      </c>
      <c r="K209" t="s">
        <v>40</v>
      </c>
      <c r="L209" t="s">
        <v>672</v>
      </c>
      <c r="M209" t="s">
        <v>69</v>
      </c>
      <c r="N209" t="s">
        <v>217</v>
      </c>
      <c r="P209">
        <f t="shared" si="6"/>
        <v>1</v>
      </c>
      <c r="Q209" t="str">
        <f>IF(AND(P209&gt;1,COUNTIF($E$6:E209,E209)=1),MAX($Q$5:Q208)+1,"")</f>
        <v/>
      </c>
      <c r="R209" t="str">
        <f t="shared" si="7"/>
        <v/>
      </c>
    </row>
    <row r="210" spans="1:18" ht="22.95" customHeight="1">
      <c r="A210" s="20">
        <v>46284</v>
      </c>
      <c r="B210" t="s">
        <v>18</v>
      </c>
      <c r="C210" t="s">
        <v>62</v>
      </c>
      <c r="D210" t="s">
        <v>63</v>
      </c>
      <c r="E210" t="s">
        <v>673</v>
      </c>
      <c r="F210">
        <v>1</v>
      </c>
      <c r="G210" t="s">
        <v>592</v>
      </c>
      <c r="H210" t="s">
        <v>674</v>
      </c>
      <c r="I210" t="s">
        <v>675</v>
      </c>
      <c r="K210" t="s">
        <v>40</v>
      </c>
      <c r="L210" t="s">
        <v>676</v>
      </c>
      <c r="M210" t="s">
        <v>38</v>
      </c>
      <c r="P210">
        <f t="shared" si="6"/>
        <v>1</v>
      </c>
      <c r="Q210" t="str">
        <f>IF(AND(P210&gt;1,COUNTIF($E$6:E210,E210)=1),MAX($Q$5:Q209)+1,"")</f>
        <v/>
      </c>
      <c r="R210" t="str">
        <f t="shared" si="7"/>
        <v/>
      </c>
    </row>
    <row r="211" spans="1:18" ht="22.95" customHeight="1">
      <c r="A211" s="20">
        <v>46284</v>
      </c>
      <c r="B211" t="s">
        <v>18</v>
      </c>
      <c r="C211" t="s">
        <v>62</v>
      </c>
      <c r="D211" t="s">
        <v>63</v>
      </c>
      <c r="E211" t="s">
        <v>677</v>
      </c>
      <c r="F211">
        <v>1</v>
      </c>
      <c r="G211" t="s">
        <v>39</v>
      </c>
      <c r="I211" t="s">
        <v>678</v>
      </c>
      <c r="K211" t="s">
        <v>40</v>
      </c>
      <c r="L211" t="s">
        <v>676</v>
      </c>
      <c r="M211" t="s">
        <v>38</v>
      </c>
      <c r="P211">
        <f t="shared" si="6"/>
        <v>1</v>
      </c>
      <c r="Q211" t="str">
        <f>IF(AND(P211&gt;1,COUNTIF($E$6:E211,E211)=1),MAX($Q$5:Q210)+1,"")</f>
        <v/>
      </c>
      <c r="R211" t="str">
        <f t="shared" si="7"/>
        <v/>
      </c>
    </row>
    <row r="212" spans="1:18" ht="22.95" customHeight="1">
      <c r="A212" s="20">
        <v>46284</v>
      </c>
      <c r="B212" t="s">
        <v>18</v>
      </c>
      <c r="C212" t="s">
        <v>62</v>
      </c>
      <c r="D212" t="s">
        <v>63</v>
      </c>
      <c r="E212" t="s">
        <v>679</v>
      </c>
      <c r="F212">
        <v>1</v>
      </c>
      <c r="G212" t="s">
        <v>680</v>
      </c>
      <c r="H212" t="s">
        <v>681</v>
      </c>
      <c r="I212" t="s">
        <v>682</v>
      </c>
      <c r="J212" t="s">
        <v>205</v>
      </c>
      <c r="K212" t="s">
        <v>683</v>
      </c>
      <c r="L212" t="s">
        <v>684</v>
      </c>
      <c r="M212" t="s">
        <v>69</v>
      </c>
      <c r="N212" t="s">
        <v>309</v>
      </c>
      <c r="P212">
        <f t="shared" si="6"/>
        <v>1</v>
      </c>
      <c r="Q212" t="str">
        <f>IF(AND(P212&gt;1,COUNTIF($E$6:E212,E212)=1),MAX($Q$5:Q211)+1,"")</f>
        <v/>
      </c>
      <c r="R212" t="str">
        <f t="shared" si="7"/>
        <v/>
      </c>
    </row>
    <row r="213" spans="1:18" ht="22.95" customHeight="1">
      <c r="A213" s="20">
        <v>46284</v>
      </c>
      <c r="B213" t="s">
        <v>18</v>
      </c>
      <c r="C213" t="s">
        <v>62</v>
      </c>
      <c r="D213" t="s">
        <v>63</v>
      </c>
      <c r="E213" t="s">
        <v>685</v>
      </c>
      <c r="F213">
        <v>1</v>
      </c>
      <c r="G213" t="s">
        <v>680</v>
      </c>
      <c r="H213" t="s">
        <v>681</v>
      </c>
      <c r="I213" t="s">
        <v>682</v>
      </c>
      <c r="J213" t="s">
        <v>205</v>
      </c>
      <c r="K213" t="s">
        <v>683</v>
      </c>
      <c r="L213" t="s">
        <v>684</v>
      </c>
      <c r="M213" t="s">
        <v>69</v>
      </c>
      <c r="N213" t="s">
        <v>309</v>
      </c>
      <c r="P213">
        <f t="shared" si="6"/>
        <v>1</v>
      </c>
      <c r="Q213" t="str">
        <f>IF(AND(P213&gt;1,COUNTIF($E$6:E213,E213)=1),MAX($Q$5:Q212)+1,"")</f>
        <v/>
      </c>
      <c r="R213" t="str">
        <f t="shared" si="7"/>
        <v/>
      </c>
    </row>
    <row r="214" spans="1:18" ht="22.95" customHeight="1">
      <c r="A214" s="20">
        <v>46284</v>
      </c>
      <c r="B214" t="s">
        <v>18</v>
      </c>
      <c r="C214" t="s">
        <v>62</v>
      </c>
      <c r="D214" t="s">
        <v>63</v>
      </c>
      <c r="E214" t="s">
        <v>686</v>
      </c>
      <c r="F214">
        <v>1</v>
      </c>
      <c r="G214" t="s">
        <v>39</v>
      </c>
      <c r="I214" t="s">
        <v>66</v>
      </c>
      <c r="J214" t="s">
        <v>159</v>
      </c>
      <c r="K214" t="s">
        <v>67</v>
      </c>
      <c r="L214" t="s">
        <v>687</v>
      </c>
      <c r="M214" t="s">
        <v>92</v>
      </c>
      <c r="P214">
        <f t="shared" si="6"/>
        <v>1</v>
      </c>
      <c r="Q214" t="str">
        <f>IF(AND(P214&gt;1,COUNTIF($E$6:E214,E214)=1),MAX($Q$5:Q213)+1,"")</f>
        <v/>
      </c>
      <c r="R214" t="str">
        <f t="shared" si="7"/>
        <v/>
      </c>
    </row>
    <row r="215" spans="1:18" ht="22.95" customHeight="1">
      <c r="A215" s="20">
        <v>46285</v>
      </c>
      <c r="B215" t="s">
        <v>18</v>
      </c>
      <c r="C215" t="s">
        <v>74</v>
      </c>
      <c r="D215" t="s">
        <v>75</v>
      </c>
      <c r="E215" t="s">
        <v>688</v>
      </c>
      <c r="F215">
        <v>1</v>
      </c>
      <c r="G215" t="s">
        <v>39</v>
      </c>
      <c r="I215" t="s">
        <v>67</v>
      </c>
      <c r="J215" t="s">
        <v>154</v>
      </c>
      <c r="K215" t="s">
        <v>67</v>
      </c>
      <c r="L215" t="s">
        <v>689</v>
      </c>
      <c r="M215" t="s">
        <v>92</v>
      </c>
      <c r="P215">
        <f t="shared" si="6"/>
        <v>1</v>
      </c>
      <c r="Q215" t="str">
        <f>IF(AND(P215&gt;1,COUNTIF($E$6:E215,E215)=1),MAX($Q$5:Q214)+1,"")</f>
        <v/>
      </c>
      <c r="R215" t="str">
        <f t="shared" si="7"/>
        <v/>
      </c>
    </row>
    <row r="216" spans="1:18" ht="22.95" customHeight="1">
      <c r="A216" s="20">
        <v>46285</v>
      </c>
      <c r="B216" t="s">
        <v>18</v>
      </c>
      <c r="C216" t="s">
        <v>74</v>
      </c>
      <c r="D216" t="s">
        <v>75</v>
      </c>
      <c r="E216" t="s">
        <v>690</v>
      </c>
      <c r="F216">
        <v>1</v>
      </c>
      <c r="G216" t="s">
        <v>39</v>
      </c>
      <c r="I216" t="s">
        <v>67</v>
      </c>
      <c r="J216" t="s">
        <v>154</v>
      </c>
      <c r="K216" t="s">
        <v>67</v>
      </c>
      <c r="L216" t="s">
        <v>689</v>
      </c>
      <c r="M216" t="s">
        <v>92</v>
      </c>
      <c r="P216">
        <f t="shared" si="6"/>
        <v>1</v>
      </c>
      <c r="Q216" t="str">
        <f>IF(AND(P216&gt;1,COUNTIF($E$6:E216,E216)=1),MAX($Q$5:Q215)+1,"")</f>
        <v/>
      </c>
      <c r="R216" t="str">
        <f t="shared" si="7"/>
        <v/>
      </c>
    </row>
    <row r="217" spans="1:18" ht="22.95" customHeight="1">
      <c r="A217" s="20">
        <v>46285</v>
      </c>
      <c r="B217" t="s">
        <v>18</v>
      </c>
      <c r="C217" t="s">
        <v>74</v>
      </c>
      <c r="D217" t="s">
        <v>75</v>
      </c>
      <c r="E217" t="s">
        <v>691</v>
      </c>
      <c r="F217">
        <v>1</v>
      </c>
      <c r="G217" t="s">
        <v>39</v>
      </c>
      <c r="I217" t="s">
        <v>304</v>
      </c>
      <c r="K217" t="s">
        <v>692</v>
      </c>
      <c r="L217" t="s">
        <v>693</v>
      </c>
      <c r="M217" t="s">
        <v>92</v>
      </c>
      <c r="P217">
        <f t="shared" si="6"/>
        <v>1</v>
      </c>
      <c r="Q217" t="str">
        <f>IF(AND(P217&gt;1,COUNTIF($E$6:E217,E217)=1),MAX($Q$5:Q216)+1,"")</f>
        <v/>
      </c>
      <c r="R217" t="str">
        <f t="shared" si="7"/>
        <v/>
      </c>
    </row>
    <row r="218" spans="1:18" ht="22.95" customHeight="1">
      <c r="A218" s="20">
        <v>46285</v>
      </c>
      <c r="B218" t="s">
        <v>18</v>
      </c>
      <c r="C218" t="s">
        <v>74</v>
      </c>
      <c r="D218" t="s">
        <v>75</v>
      </c>
      <c r="E218" t="s">
        <v>694</v>
      </c>
      <c r="F218">
        <v>1</v>
      </c>
      <c r="G218" t="s">
        <v>65</v>
      </c>
      <c r="I218" t="s">
        <v>695</v>
      </c>
      <c r="K218" t="s">
        <v>696</v>
      </c>
      <c r="L218" t="s">
        <v>697</v>
      </c>
      <c r="M218" t="s">
        <v>69</v>
      </c>
      <c r="N218" t="s">
        <v>70</v>
      </c>
      <c r="P218">
        <f t="shared" si="6"/>
        <v>1</v>
      </c>
      <c r="Q218" t="str">
        <f>IF(AND(P218&gt;1,COUNTIF($E$6:E218,E218)=1),MAX($Q$5:Q217)+1,"")</f>
        <v/>
      </c>
      <c r="R218" t="str">
        <f t="shared" si="7"/>
        <v/>
      </c>
    </row>
    <row r="219" spans="1:18" ht="22.95" customHeight="1">
      <c r="A219" s="20">
        <v>46285</v>
      </c>
      <c r="B219" t="s">
        <v>18</v>
      </c>
      <c r="C219" t="s">
        <v>74</v>
      </c>
      <c r="D219" t="s">
        <v>75</v>
      </c>
      <c r="E219" t="s">
        <v>698</v>
      </c>
      <c r="F219">
        <v>1</v>
      </c>
      <c r="G219" t="s">
        <v>39</v>
      </c>
      <c r="I219" t="s">
        <v>699</v>
      </c>
      <c r="J219" t="s">
        <v>100</v>
      </c>
      <c r="K219" t="s">
        <v>700</v>
      </c>
      <c r="L219" t="s">
        <v>701</v>
      </c>
      <c r="M219" t="s">
        <v>92</v>
      </c>
      <c r="P219">
        <f t="shared" si="6"/>
        <v>1</v>
      </c>
      <c r="Q219" t="str">
        <f>IF(AND(P219&gt;1,COUNTIF($E$6:E219,E219)=1),MAX($Q$5:Q218)+1,"")</f>
        <v/>
      </c>
      <c r="R219" t="str">
        <f t="shared" si="7"/>
        <v/>
      </c>
    </row>
    <row r="220" spans="1:18" ht="22.95" customHeight="1">
      <c r="A220" s="20">
        <v>46285</v>
      </c>
      <c r="B220" t="s">
        <v>18</v>
      </c>
      <c r="C220" t="s">
        <v>74</v>
      </c>
      <c r="D220" t="s">
        <v>75</v>
      </c>
      <c r="E220" t="s">
        <v>702</v>
      </c>
      <c r="F220">
        <v>1</v>
      </c>
      <c r="G220" t="s">
        <v>39</v>
      </c>
      <c r="I220" t="s">
        <v>703</v>
      </c>
      <c r="J220" t="s">
        <v>100</v>
      </c>
      <c r="K220" t="s">
        <v>700</v>
      </c>
      <c r="L220" t="s">
        <v>704</v>
      </c>
      <c r="M220" t="s">
        <v>92</v>
      </c>
      <c r="P220">
        <f t="shared" si="6"/>
        <v>1</v>
      </c>
      <c r="Q220" t="str">
        <f>IF(AND(P220&gt;1,COUNTIF($E$6:E220,E220)=1),MAX($Q$5:Q219)+1,"")</f>
        <v/>
      </c>
      <c r="R220" t="str">
        <f t="shared" si="7"/>
        <v/>
      </c>
    </row>
    <row r="221" spans="1:18" ht="22.95" customHeight="1">
      <c r="A221" s="20">
        <v>46285</v>
      </c>
      <c r="B221" t="s">
        <v>18</v>
      </c>
      <c r="C221" t="s">
        <v>74</v>
      </c>
      <c r="D221" t="s">
        <v>75</v>
      </c>
      <c r="E221" t="s">
        <v>705</v>
      </c>
      <c r="F221">
        <v>1</v>
      </c>
      <c r="G221" t="s">
        <v>39</v>
      </c>
      <c r="I221" t="s">
        <v>703</v>
      </c>
      <c r="J221" t="s">
        <v>100</v>
      </c>
      <c r="K221" t="s">
        <v>700</v>
      </c>
      <c r="L221" t="s">
        <v>704</v>
      </c>
      <c r="M221" t="s">
        <v>92</v>
      </c>
      <c r="P221">
        <f t="shared" si="6"/>
        <v>1</v>
      </c>
      <c r="Q221" t="str">
        <f>IF(AND(P221&gt;1,COUNTIF($E$6:E221,E221)=1),MAX($Q$5:Q220)+1,"")</f>
        <v/>
      </c>
      <c r="R221" t="str">
        <f t="shared" si="7"/>
        <v/>
      </c>
    </row>
    <row r="222" spans="1:18" ht="22.95" customHeight="1">
      <c r="A222" s="20">
        <v>46285</v>
      </c>
      <c r="B222" t="s">
        <v>18</v>
      </c>
      <c r="C222" t="s">
        <v>102</v>
      </c>
      <c r="D222" t="s">
        <v>706</v>
      </c>
      <c r="E222" t="s">
        <v>707</v>
      </c>
      <c r="F222">
        <v>1</v>
      </c>
      <c r="G222" t="s">
        <v>39</v>
      </c>
      <c r="I222" t="s">
        <v>708</v>
      </c>
      <c r="K222" t="s">
        <v>40</v>
      </c>
      <c r="L222" t="s">
        <v>709</v>
      </c>
      <c r="M222" t="s">
        <v>38</v>
      </c>
      <c r="P222">
        <f t="shared" si="6"/>
        <v>1</v>
      </c>
      <c r="Q222" t="str">
        <f>IF(AND(P222&gt;1,COUNTIF($E$6:E222,E222)=1),MAX($Q$5:Q221)+1,"")</f>
        <v/>
      </c>
      <c r="R222" t="str">
        <f t="shared" si="7"/>
        <v/>
      </c>
    </row>
    <row r="223" spans="1:18" ht="22.95" customHeight="1">
      <c r="A223" s="20">
        <v>46285</v>
      </c>
      <c r="B223" t="s">
        <v>18</v>
      </c>
      <c r="C223" t="s">
        <v>102</v>
      </c>
      <c r="D223" t="s">
        <v>706</v>
      </c>
      <c r="E223" t="s">
        <v>710</v>
      </c>
      <c r="F223">
        <v>1</v>
      </c>
      <c r="G223" t="s">
        <v>39</v>
      </c>
      <c r="I223" t="s">
        <v>708</v>
      </c>
      <c r="K223" t="s">
        <v>40</v>
      </c>
      <c r="L223" t="s">
        <v>709</v>
      </c>
      <c r="M223" t="s">
        <v>38</v>
      </c>
      <c r="P223">
        <f t="shared" si="6"/>
        <v>1</v>
      </c>
      <c r="Q223" t="str">
        <f>IF(AND(P223&gt;1,COUNTIF($E$6:E223,E223)=1),MAX($Q$5:Q222)+1,"")</f>
        <v/>
      </c>
      <c r="R223" t="str">
        <f t="shared" si="7"/>
        <v/>
      </c>
    </row>
    <row r="224" spans="1:18" ht="22.95" customHeight="1">
      <c r="A224" s="20">
        <v>46285</v>
      </c>
      <c r="B224" t="s">
        <v>18</v>
      </c>
      <c r="C224" t="s">
        <v>87</v>
      </c>
      <c r="D224" t="s">
        <v>88</v>
      </c>
      <c r="E224" t="s">
        <v>711</v>
      </c>
      <c r="F224">
        <v>1</v>
      </c>
      <c r="G224" t="s">
        <v>39</v>
      </c>
      <c r="I224" t="s">
        <v>67</v>
      </c>
      <c r="K224" t="s">
        <v>78</v>
      </c>
      <c r="L224" t="s">
        <v>712</v>
      </c>
      <c r="M224" t="s">
        <v>92</v>
      </c>
      <c r="P224">
        <f t="shared" si="6"/>
        <v>1</v>
      </c>
      <c r="Q224" t="str">
        <f>IF(AND(P224&gt;1,COUNTIF($E$6:E224,E224)=1),MAX($Q$5:Q223)+1,"")</f>
        <v/>
      </c>
      <c r="R224" t="str">
        <f t="shared" si="7"/>
        <v/>
      </c>
    </row>
    <row r="225" spans="1:18" ht="22.95" customHeight="1">
      <c r="A225" s="20">
        <v>46285</v>
      </c>
      <c r="B225" t="s">
        <v>18</v>
      </c>
      <c r="C225" t="s">
        <v>62</v>
      </c>
      <c r="D225" t="s">
        <v>161</v>
      </c>
      <c r="E225" t="s">
        <v>713</v>
      </c>
      <c r="F225">
        <v>1</v>
      </c>
      <c r="G225" t="s">
        <v>714</v>
      </c>
      <c r="H225" t="s">
        <v>715</v>
      </c>
      <c r="I225" t="s">
        <v>716</v>
      </c>
      <c r="K225" t="s">
        <v>717</v>
      </c>
      <c r="L225" t="s">
        <v>718</v>
      </c>
      <c r="M225" t="s">
        <v>92</v>
      </c>
      <c r="P225">
        <f t="shared" si="6"/>
        <v>1</v>
      </c>
      <c r="Q225" t="str">
        <f>IF(AND(P225&gt;1,COUNTIF($E$6:E225,E225)=1),MAX($Q$5:Q224)+1,"")</f>
        <v/>
      </c>
      <c r="R225" t="str">
        <f t="shared" si="7"/>
        <v/>
      </c>
    </row>
    <row r="226" spans="1:18" ht="22.95" customHeight="1">
      <c r="A226" s="20">
        <v>46285</v>
      </c>
      <c r="B226" t="s">
        <v>18</v>
      </c>
      <c r="C226" t="s">
        <v>62</v>
      </c>
      <c r="D226" t="s">
        <v>161</v>
      </c>
      <c r="E226" t="s">
        <v>719</v>
      </c>
      <c r="F226">
        <v>1</v>
      </c>
      <c r="G226" t="s">
        <v>714</v>
      </c>
      <c r="H226" t="s">
        <v>715</v>
      </c>
      <c r="I226" t="s">
        <v>720</v>
      </c>
      <c r="K226" t="s">
        <v>717</v>
      </c>
      <c r="L226" t="s">
        <v>721</v>
      </c>
      <c r="M226" t="s">
        <v>92</v>
      </c>
      <c r="P226">
        <f t="shared" si="6"/>
        <v>1</v>
      </c>
      <c r="Q226" t="str">
        <f>IF(AND(P226&gt;1,COUNTIF($E$6:E226,E226)=1),MAX($Q$5:Q225)+1,"")</f>
        <v/>
      </c>
      <c r="R226" t="str">
        <f t="shared" si="7"/>
        <v/>
      </c>
    </row>
    <row r="227" spans="1:18" ht="22.95" customHeight="1">
      <c r="A227" s="20">
        <v>46285</v>
      </c>
      <c r="B227" t="s">
        <v>18</v>
      </c>
      <c r="C227" t="s">
        <v>62</v>
      </c>
      <c r="D227" t="s">
        <v>161</v>
      </c>
      <c r="E227" t="s">
        <v>722</v>
      </c>
      <c r="F227">
        <v>1</v>
      </c>
      <c r="G227" t="s">
        <v>714</v>
      </c>
      <c r="H227" t="s">
        <v>715</v>
      </c>
      <c r="I227" t="s">
        <v>723</v>
      </c>
      <c r="K227" t="s">
        <v>717</v>
      </c>
      <c r="L227" t="s">
        <v>724</v>
      </c>
      <c r="M227" t="s">
        <v>69</v>
      </c>
      <c r="N227" t="s">
        <v>309</v>
      </c>
      <c r="P227">
        <f t="shared" si="6"/>
        <v>1</v>
      </c>
      <c r="Q227" t="str">
        <f>IF(AND(P227&gt;1,COUNTIF($E$6:E227,E227)=1),MAX($Q$5:Q226)+1,"")</f>
        <v/>
      </c>
      <c r="R227" t="str">
        <f t="shared" si="7"/>
        <v/>
      </c>
    </row>
    <row r="228" spans="1:18" ht="22.95" customHeight="1">
      <c r="A228" s="20">
        <v>46285</v>
      </c>
      <c r="B228" t="s">
        <v>18</v>
      </c>
      <c r="C228" t="s">
        <v>62</v>
      </c>
      <c r="D228" t="s">
        <v>161</v>
      </c>
      <c r="E228" t="s">
        <v>725</v>
      </c>
      <c r="F228">
        <v>1</v>
      </c>
      <c r="G228" t="s">
        <v>39</v>
      </c>
      <c r="K228" t="s">
        <v>40</v>
      </c>
      <c r="L228" t="s">
        <v>726</v>
      </c>
      <c r="M228" t="s">
        <v>92</v>
      </c>
      <c r="P228">
        <f t="shared" si="6"/>
        <v>1</v>
      </c>
      <c r="Q228" t="str">
        <f>IF(AND(P228&gt;1,COUNTIF($E$6:E228,E228)=1),MAX($Q$5:Q227)+1,"")</f>
        <v/>
      </c>
      <c r="R228" t="str">
        <f t="shared" si="7"/>
        <v/>
      </c>
    </row>
    <row r="229" spans="1:18" ht="22.95" customHeight="1">
      <c r="A229" s="20">
        <v>46285</v>
      </c>
      <c r="B229" t="s">
        <v>18</v>
      </c>
      <c r="C229" t="s">
        <v>62</v>
      </c>
      <c r="D229" t="s">
        <v>727</v>
      </c>
      <c r="E229" t="s">
        <v>728</v>
      </c>
      <c r="F229">
        <v>1</v>
      </c>
      <c r="G229" t="s">
        <v>39</v>
      </c>
      <c r="K229" t="s">
        <v>40</v>
      </c>
      <c r="L229" t="s">
        <v>729</v>
      </c>
      <c r="M229" t="s">
        <v>92</v>
      </c>
      <c r="P229">
        <f t="shared" si="6"/>
        <v>1</v>
      </c>
      <c r="Q229" t="str">
        <f>IF(AND(P229&gt;1,COUNTIF($E$6:E229,E229)=1),MAX($Q$5:Q228)+1,"")</f>
        <v/>
      </c>
      <c r="R229" t="str">
        <f t="shared" si="7"/>
        <v/>
      </c>
    </row>
    <row r="230" spans="1:18" ht="22.95" customHeight="1">
      <c r="A230" s="20">
        <v>46285</v>
      </c>
      <c r="B230" t="s">
        <v>18</v>
      </c>
      <c r="C230" t="s">
        <v>62</v>
      </c>
      <c r="D230" t="s">
        <v>730</v>
      </c>
      <c r="E230" t="s">
        <v>731</v>
      </c>
      <c r="F230">
        <v>1</v>
      </c>
      <c r="G230" t="s">
        <v>39</v>
      </c>
      <c r="K230" t="s">
        <v>40</v>
      </c>
      <c r="L230" t="s">
        <v>732</v>
      </c>
      <c r="M230" t="s">
        <v>92</v>
      </c>
      <c r="P230">
        <f t="shared" si="6"/>
        <v>1</v>
      </c>
      <c r="Q230" t="str">
        <f>IF(AND(P230&gt;1,COUNTIF($E$6:E230,E230)=1),MAX($Q$5:Q229)+1,"")</f>
        <v/>
      </c>
      <c r="R230" t="str">
        <f t="shared" si="7"/>
        <v/>
      </c>
    </row>
    <row r="231" spans="1:18" ht="22.95" customHeight="1">
      <c r="A231" s="20">
        <v>46285</v>
      </c>
      <c r="B231" t="s">
        <v>18</v>
      </c>
      <c r="C231" t="s">
        <v>62</v>
      </c>
      <c r="D231" t="s">
        <v>733</v>
      </c>
      <c r="E231" t="s">
        <v>734</v>
      </c>
      <c r="F231">
        <v>1</v>
      </c>
      <c r="G231" t="s">
        <v>39</v>
      </c>
      <c r="K231" t="s">
        <v>40</v>
      </c>
      <c r="L231" t="s">
        <v>732</v>
      </c>
      <c r="M231" t="s">
        <v>92</v>
      </c>
      <c r="P231">
        <f t="shared" si="6"/>
        <v>1</v>
      </c>
      <c r="Q231" t="str">
        <f>IF(AND(P231&gt;1,COUNTIF($E$6:E231,E231)=1),MAX($Q$5:Q230)+1,"")</f>
        <v/>
      </c>
      <c r="R231" t="str">
        <f t="shared" si="7"/>
        <v/>
      </c>
    </row>
    <row r="232" spans="1:18" ht="22.95" customHeight="1">
      <c r="A232" s="20">
        <v>46285</v>
      </c>
      <c r="B232" t="s">
        <v>18</v>
      </c>
      <c r="C232" t="s">
        <v>62</v>
      </c>
      <c r="D232" t="s">
        <v>735</v>
      </c>
      <c r="E232" t="s">
        <v>736</v>
      </c>
      <c r="F232">
        <v>1</v>
      </c>
      <c r="G232" t="s">
        <v>39</v>
      </c>
      <c r="K232" t="s">
        <v>40</v>
      </c>
      <c r="L232" t="s">
        <v>729</v>
      </c>
      <c r="M232" t="s">
        <v>92</v>
      </c>
      <c r="P232">
        <f t="shared" si="6"/>
        <v>1</v>
      </c>
      <c r="Q232" t="str">
        <f>IF(AND(P232&gt;1,COUNTIF($E$6:E232,E232)=1),MAX($Q$5:Q231)+1,"")</f>
        <v/>
      </c>
      <c r="R232" t="str">
        <f t="shared" si="7"/>
        <v/>
      </c>
    </row>
    <row r="233" spans="1:18" ht="22.95" customHeight="1">
      <c r="A233" s="20">
        <v>46286</v>
      </c>
      <c r="B233" t="s">
        <v>18</v>
      </c>
      <c r="C233" t="s">
        <v>74</v>
      </c>
      <c r="D233" t="s">
        <v>75</v>
      </c>
      <c r="E233" t="s">
        <v>737</v>
      </c>
      <c r="F233">
        <v>1</v>
      </c>
      <c r="G233" t="s">
        <v>39</v>
      </c>
      <c r="I233" t="s">
        <v>738</v>
      </c>
      <c r="L233" t="s">
        <v>739</v>
      </c>
      <c r="M233" t="s">
        <v>69</v>
      </c>
      <c r="N233" t="s">
        <v>309</v>
      </c>
      <c r="P233">
        <f t="shared" si="6"/>
        <v>1</v>
      </c>
      <c r="Q233" t="str">
        <f>IF(AND(P233&gt;1,COUNTIF($E$6:E233,E233)=1),MAX($Q$5:Q232)+1,"")</f>
        <v/>
      </c>
      <c r="R233" t="str">
        <f t="shared" si="7"/>
        <v/>
      </c>
    </row>
    <row r="234" spans="1:18" ht="22.95" customHeight="1">
      <c r="A234" s="20">
        <v>46286</v>
      </c>
      <c r="B234" t="s">
        <v>18</v>
      </c>
      <c r="C234" t="s">
        <v>81</v>
      </c>
      <c r="D234" t="s">
        <v>82</v>
      </c>
      <c r="E234" t="s">
        <v>740</v>
      </c>
      <c r="F234">
        <v>1</v>
      </c>
      <c r="G234" t="s">
        <v>741</v>
      </c>
      <c r="I234" t="s">
        <v>90</v>
      </c>
      <c r="L234" t="s">
        <v>742</v>
      </c>
      <c r="M234" t="s">
        <v>69</v>
      </c>
      <c r="N234" t="s">
        <v>96</v>
      </c>
      <c r="P234">
        <f t="shared" si="6"/>
        <v>1</v>
      </c>
      <c r="Q234" t="str">
        <f>IF(AND(P234&gt;1,COUNTIF($E$6:E234,E234)=1),MAX($Q$5:Q233)+1,"")</f>
        <v/>
      </c>
      <c r="R234" t="str">
        <f t="shared" si="7"/>
        <v/>
      </c>
    </row>
    <row r="235" spans="1:18" ht="22.95" customHeight="1">
      <c r="A235" s="20">
        <v>46286</v>
      </c>
      <c r="B235" t="s">
        <v>18</v>
      </c>
      <c r="C235" t="s">
        <v>81</v>
      </c>
      <c r="D235" t="s">
        <v>82</v>
      </c>
      <c r="E235" t="s">
        <v>743</v>
      </c>
      <c r="F235">
        <v>1</v>
      </c>
      <c r="G235" t="s">
        <v>741</v>
      </c>
      <c r="I235" t="s">
        <v>90</v>
      </c>
      <c r="L235" t="s">
        <v>744</v>
      </c>
      <c r="M235" t="s">
        <v>69</v>
      </c>
      <c r="N235" t="s">
        <v>309</v>
      </c>
      <c r="P235">
        <f t="shared" si="6"/>
        <v>1</v>
      </c>
      <c r="Q235" t="str">
        <f>IF(AND(P235&gt;1,COUNTIF($E$6:E235,E235)=1),MAX($Q$5:Q234)+1,"")</f>
        <v/>
      </c>
      <c r="R235" t="str">
        <f t="shared" si="7"/>
        <v/>
      </c>
    </row>
    <row r="236" spans="1:18" ht="22.95" customHeight="1">
      <c r="A236" s="20">
        <v>46286</v>
      </c>
      <c r="B236" t="s">
        <v>18</v>
      </c>
      <c r="C236" t="s">
        <v>62</v>
      </c>
      <c r="D236" t="s">
        <v>161</v>
      </c>
      <c r="E236" t="s">
        <v>745</v>
      </c>
      <c r="F236">
        <v>1</v>
      </c>
      <c r="G236" t="s">
        <v>746</v>
      </c>
      <c r="I236" t="s">
        <v>78</v>
      </c>
      <c r="K236" t="s">
        <v>78</v>
      </c>
      <c r="L236" t="s">
        <v>747</v>
      </c>
      <c r="M236" t="s">
        <v>69</v>
      </c>
      <c r="N236" t="s">
        <v>217</v>
      </c>
      <c r="P236">
        <f t="shared" si="6"/>
        <v>1</v>
      </c>
      <c r="Q236" t="str">
        <f>IF(AND(P236&gt;1,COUNTIF($E$6:E236,E236)=1),MAX($Q$5:Q235)+1,"")</f>
        <v/>
      </c>
      <c r="R236" t="str">
        <f t="shared" si="7"/>
        <v/>
      </c>
    </row>
    <row r="237" spans="1:18" ht="22.95" customHeight="1">
      <c r="A237" s="20">
        <v>46286</v>
      </c>
      <c r="B237" t="s">
        <v>18</v>
      </c>
      <c r="C237" t="s">
        <v>62</v>
      </c>
      <c r="D237" t="s">
        <v>161</v>
      </c>
      <c r="E237" t="s">
        <v>748</v>
      </c>
      <c r="F237">
        <v>1</v>
      </c>
      <c r="G237" t="s">
        <v>746</v>
      </c>
      <c r="I237" t="s">
        <v>78</v>
      </c>
      <c r="K237" t="s">
        <v>78</v>
      </c>
      <c r="L237" t="s">
        <v>749</v>
      </c>
      <c r="M237" t="s">
        <v>69</v>
      </c>
      <c r="N237" t="s">
        <v>70</v>
      </c>
      <c r="P237">
        <f t="shared" si="6"/>
        <v>1</v>
      </c>
      <c r="Q237" t="str">
        <f>IF(AND(P237&gt;1,COUNTIF($E$6:E237,E237)=1),MAX($Q$5:Q236)+1,"")</f>
        <v/>
      </c>
      <c r="R237" t="str">
        <f t="shared" si="7"/>
        <v/>
      </c>
    </row>
    <row r="238" spans="1:18" ht="22.95" customHeight="1">
      <c r="A238" s="20">
        <v>46286</v>
      </c>
      <c r="B238" t="s">
        <v>18</v>
      </c>
      <c r="C238" t="s">
        <v>62</v>
      </c>
      <c r="D238" t="s">
        <v>161</v>
      </c>
      <c r="E238" t="s">
        <v>750</v>
      </c>
      <c r="F238">
        <v>1</v>
      </c>
      <c r="G238" t="s">
        <v>751</v>
      </c>
      <c r="H238" t="s">
        <v>752</v>
      </c>
      <c r="L238" t="s">
        <v>753</v>
      </c>
      <c r="M238" t="s">
        <v>69</v>
      </c>
      <c r="N238" t="s">
        <v>217</v>
      </c>
      <c r="P238">
        <f t="shared" si="6"/>
        <v>1</v>
      </c>
      <c r="Q238" t="str">
        <f>IF(AND(P238&gt;1,COUNTIF($E$6:E238,E238)=1),MAX($Q$5:Q237)+1,"")</f>
        <v/>
      </c>
      <c r="R238" t="str">
        <f t="shared" si="7"/>
        <v/>
      </c>
    </row>
    <row r="239" spans="1:18" ht="22.95" customHeight="1">
      <c r="A239" s="20">
        <v>46286</v>
      </c>
      <c r="B239" t="s">
        <v>18</v>
      </c>
      <c r="C239" t="s">
        <v>97</v>
      </c>
      <c r="D239" t="s">
        <v>98</v>
      </c>
      <c r="E239" t="s">
        <v>754</v>
      </c>
      <c r="F239">
        <v>1</v>
      </c>
      <c r="G239" t="s">
        <v>39</v>
      </c>
      <c r="I239" t="s">
        <v>755</v>
      </c>
      <c r="K239" t="s">
        <v>756</v>
      </c>
      <c r="L239" t="s">
        <v>757</v>
      </c>
      <c r="M239" t="s">
        <v>38</v>
      </c>
      <c r="P239">
        <f t="shared" si="6"/>
        <v>1</v>
      </c>
      <c r="Q239" t="str">
        <f>IF(AND(P239&gt;1,COUNTIF($E$6:E239,E239)=1),MAX($Q$5:Q238)+1,"")</f>
        <v/>
      </c>
      <c r="R239" t="str">
        <f t="shared" si="7"/>
        <v/>
      </c>
    </row>
    <row r="240" spans="1:18" ht="22.95" customHeight="1">
      <c r="A240" s="20">
        <v>46287</v>
      </c>
      <c r="B240" t="s">
        <v>18</v>
      </c>
      <c r="C240" t="s">
        <v>74</v>
      </c>
      <c r="D240" t="s">
        <v>75</v>
      </c>
      <c r="E240" t="s">
        <v>758</v>
      </c>
      <c r="F240">
        <v>1</v>
      </c>
      <c r="G240" t="s">
        <v>759</v>
      </c>
      <c r="H240" t="s">
        <v>760</v>
      </c>
      <c r="I240" t="s">
        <v>761</v>
      </c>
      <c r="L240" t="s">
        <v>762</v>
      </c>
      <c r="M240" t="s">
        <v>69</v>
      </c>
      <c r="N240" t="s">
        <v>96</v>
      </c>
      <c r="P240">
        <f t="shared" si="6"/>
        <v>1</v>
      </c>
      <c r="Q240" t="str">
        <f>IF(AND(P240&gt;1,COUNTIF($E$6:E240,E240)=1),MAX($Q$5:Q239)+1,"")</f>
        <v/>
      </c>
      <c r="R240" t="str">
        <f t="shared" si="7"/>
        <v/>
      </c>
    </row>
    <row r="241" spans="1:18" ht="22.95" customHeight="1">
      <c r="A241" s="20">
        <v>46287</v>
      </c>
      <c r="B241" t="s">
        <v>18</v>
      </c>
      <c r="C241" t="s">
        <v>74</v>
      </c>
      <c r="D241" t="s">
        <v>75</v>
      </c>
      <c r="E241" t="s">
        <v>763</v>
      </c>
      <c r="F241">
        <v>1</v>
      </c>
      <c r="G241" t="s">
        <v>764</v>
      </c>
      <c r="H241" t="s">
        <v>765</v>
      </c>
      <c r="I241" t="s">
        <v>766</v>
      </c>
      <c r="K241" t="s">
        <v>305</v>
      </c>
      <c r="L241" t="s">
        <v>767</v>
      </c>
      <c r="M241" t="s">
        <v>69</v>
      </c>
      <c r="N241" t="s">
        <v>309</v>
      </c>
      <c r="P241">
        <f t="shared" si="6"/>
        <v>1</v>
      </c>
      <c r="Q241" t="str">
        <f>IF(AND(P241&gt;1,COUNTIF($E$6:E241,E241)=1),MAX($Q$5:Q240)+1,"")</f>
        <v/>
      </c>
      <c r="R241" t="str">
        <f t="shared" si="7"/>
        <v/>
      </c>
    </row>
    <row r="242" spans="1:18" ht="22.95" customHeight="1">
      <c r="A242" s="20">
        <v>46287</v>
      </c>
      <c r="B242" t="s">
        <v>18</v>
      </c>
      <c r="C242" t="s">
        <v>74</v>
      </c>
      <c r="D242" t="s">
        <v>75</v>
      </c>
      <c r="E242" t="s">
        <v>768</v>
      </c>
      <c r="F242">
        <v>1</v>
      </c>
      <c r="G242" t="s">
        <v>764</v>
      </c>
      <c r="H242" t="s">
        <v>765</v>
      </c>
      <c r="I242" t="s">
        <v>766</v>
      </c>
      <c r="K242" t="s">
        <v>305</v>
      </c>
      <c r="L242" t="s">
        <v>769</v>
      </c>
      <c r="M242" t="s">
        <v>69</v>
      </c>
      <c r="N242" t="s">
        <v>309</v>
      </c>
      <c r="P242">
        <f t="shared" si="6"/>
        <v>1</v>
      </c>
      <c r="Q242" t="str">
        <f>IF(AND(P242&gt;1,COUNTIF($E$6:E242,E242)=1),MAX($Q$5:Q241)+1,"")</f>
        <v/>
      </c>
      <c r="R242" t="str">
        <f t="shared" si="7"/>
        <v/>
      </c>
    </row>
    <row r="243" spans="1:18" ht="22.95" customHeight="1">
      <c r="A243" s="20">
        <v>46287</v>
      </c>
      <c r="B243" t="s">
        <v>18</v>
      </c>
      <c r="C243" t="s">
        <v>74</v>
      </c>
      <c r="D243" t="s">
        <v>75</v>
      </c>
      <c r="E243" t="s">
        <v>770</v>
      </c>
      <c r="F243">
        <v>1</v>
      </c>
      <c r="G243" t="s">
        <v>764</v>
      </c>
      <c r="H243" t="s">
        <v>765</v>
      </c>
      <c r="I243" t="s">
        <v>766</v>
      </c>
      <c r="K243" t="s">
        <v>305</v>
      </c>
      <c r="L243" t="s">
        <v>771</v>
      </c>
      <c r="M243" t="s">
        <v>69</v>
      </c>
      <c r="N243" t="s">
        <v>309</v>
      </c>
      <c r="P243">
        <f t="shared" si="6"/>
        <v>1</v>
      </c>
      <c r="Q243" t="str">
        <f>IF(AND(P243&gt;1,COUNTIF($E$6:E243,E243)=1),MAX($Q$5:Q242)+1,"")</f>
        <v/>
      </c>
      <c r="R243" t="str">
        <f t="shared" si="7"/>
        <v/>
      </c>
    </row>
    <row r="244" spans="1:18" ht="22.95" customHeight="1">
      <c r="A244" s="20">
        <v>46287</v>
      </c>
      <c r="B244" t="s">
        <v>18</v>
      </c>
      <c r="C244" t="s">
        <v>74</v>
      </c>
      <c r="D244" t="s">
        <v>75</v>
      </c>
      <c r="E244" t="s">
        <v>772</v>
      </c>
      <c r="F244">
        <v>1</v>
      </c>
      <c r="G244" t="s">
        <v>764</v>
      </c>
      <c r="H244" t="s">
        <v>765</v>
      </c>
      <c r="I244" t="s">
        <v>766</v>
      </c>
      <c r="K244" t="s">
        <v>305</v>
      </c>
      <c r="L244" t="s">
        <v>771</v>
      </c>
      <c r="M244" t="s">
        <v>69</v>
      </c>
      <c r="N244" t="s">
        <v>309</v>
      </c>
      <c r="P244">
        <f t="shared" si="6"/>
        <v>1</v>
      </c>
      <c r="Q244" t="str">
        <f>IF(AND(P244&gt;1,COUNTIF($E$6:E244,E244)=1),MAX($Q$5:Q243)+1,"")</f>
        <v/>
      </c>
      <c r="R244" t="str">
        <f t="shared" si="7"/>
        <v/>
      </c>
    </row>
    <row r="245" spans="1:18" ht="22.95" customHeight="1">
      <c r="A245" s="20">
        <v>46287</v>
      </c>
      <c r="B245" t="s">
        <v>18</v>
      </c>
      <c r="C245" t="s">
        <v>74</v>
      </c>
      <c r="D245" t="s">
        <v>75</v>
      </c>
      <c r="E245" t="s">
        <v>773</v>
      </c>
      <c r="F245">
        <v>1</v>
      </c>
      <c r="G245" t="s">
        <v>774</v>
      </c>
      <c r="H245" t="s">
        <v>775</v>
      </c>
      <c r="I245" t="s">
        <v>766</v>
      </c>
      <c r="K245" t="s">
        <v>305</v>
      </c>
      <c r="L245" t="s">
        <v>776</v>
      </c>
      <c r="M245" t="s">
        <v>69</v>
      </c>
      <c r="N245" t="s">
        <v>309</v>
      </c>
      <c r="P245">
        <f t="shared" si="6"/>
        <v>1</v>
      </c>
      <c r="Q245" t="str">
        <f>IF(AND(P245&gt;1,COUNTIF($E$6:E245,E245)=1),MAX($Q$5:Q244)+1,"")</f>
        <v/>
      </c>
      <c r="R245" t="str">
        <f t="shared" si="7"/>
        <v/>
      </c>
    </row>
    <row r="246" spans="1:18" ht="22.95" customHeight="1">
      <c r="A246" s="20">
        <v>46287</v>
      </c>
      <c r="B246" t="s">
        <v>18</v>
      </c>
      <c r="C246" t="s">
        <v>81</v>
      </c>
      <c r="D246" t="s">
        <v>82</v>
      </c>
      <c r="E246" t="s">
        <v>777</v>
      </c>
      <c r="F246">
        <v>1</v>
      </c>
      <c r="G246" t="s">
        <v>39</v>
      </c>
      <c r="L246" t="s">
        <v>778</v>
      </c>
      <c r="M246" t="s">
        <v>92</v>
      </c>
      <c r="P246">
        <f t="shared" si="6"/>
        <v>1</v>
      </c>
      <c r="Q246" t="str">
        <f>IF(AND(P246&gt;1,COUNTIF($E$6:E246,E246)=1),MAX($Q$5:Q245)+1,"")</f>
        <v/>
      </c>
      <c r="R246" t="str">
        <f t="shared" si="7"/>
        <v/>
      </c>
    </row>
    <row r="247" spans="1:18" ht="22.95" customHeight="1">
      <c r="A247" s="20">
        <v>46287</v>
      </c>
      <c r="B247" t="s">
        <v>18</v>
      </c>
      <c r="C247" t="s">
        <v>87</v>
      </c>
      <c r="D247" t="s">
        <v>88</v>
      </c>
      <c r="E247" t="s">
        <v>779</v>
      </c>
      <c r="F247">
        <v>1</v>
      </c>
      <c r="I247" t="s">
        <v>427</v>
      </c>
      <c r="K247" t="s">
        <v>78</v>
      </c>
      <c r="L247" t="s">
        <v>780</v>
      </c>
      <c r="M247" t="s">
        <v>69</v>
      </c>
      <c r="N247" t="s">
        <v>96</v>
      </c>
      <c r="P247">
        <f t="shared" si="6"/>
        <v>1</v>
      </c>
      <c r="Q247" t="str">
        <f>IF(AND(P247&gt;1,COUNTIF($E$6:E247,E247)=1),MAX($Q$5:Q246)+1,"")</f>
        <v/>
      </c>
      <c r="R247" t="str">
        <f t="shared" si="7"/>
        <v/>
      </c>
    </row>
    <row r="248" spans="1:18" ht="22.95" customHeight="1">
      <c r="A248" s="20">
        <v>46287</v>
      </c>
      <c r="B248" t="s">
        <v>18</v>
      </c>
      <c r="C248" t="s">
        <v>87</v>
      </c>
      <c r="D248" t="s">
        <v>88</v>
      </c>
      <c r="E248" t="s">
        <v>781</v>
      </c>
      <c r="F248">
        <v>1</v>
      </c>
      <c r="I248" t="s">
        <v>427</v>
      </c>
      <c r="J248" t="s">
        <v>159</v>
      </c>
      <c r="K248" t="s">
        <v>78</v>
      </c>
      <c r="L248" t="s">
        <v>782</v>
      </c>
      <c r="M248" t="s">
        <v>92</v>
      </c>
      <c r="P248">
        <f t="shared" si="6"/>
        <v>1</v>
      </c>
      <c r="Q248" t="str">
        <f>IF(AND(P248&gt;1,COUNTIF($E$6:E248,E248)=1),MAX($Q$5:Q247)+1,"")</f>
        <v/>
      </c>
      <c r="R248" t="str">
        <f t="shared" si="7"/>
        <v/>
      </c>
    </row>
    <row r="249" spans="1:18" ht="22.95" customHeight="1">
      <c r="A249" s="20">
        <v>46287</v>
      </c>
      <c r="B249" t="s">
        <v>18</v>
      </c>
      <c r="C249" t="s">
        <v>87</v>
      </c>
      <c r="D249" t="s">
        <v>88</v>
      </c>
      <c r="E249" t="s">
        <v>783</v>
      </c>
      <c r="F249">
        <v>1</v>
      </c>
      <c r="I249" t="s">
        <v>427</v>
      </c>
      <c r="J249" t="s">
        <v>159</v>
      </c>
      <c r="K249" t="s">
        <v>78</v>
      </c>
      <c r="L249" t="s">
        <v>784</v>
      </c>
      <c r="M249" t="s">
        <v>92</v>
      </c>
      <c r="P249">
        <f t="shared" si="6"/>
        <v>1</v>
      </c>
      <c r="Q249" t="str">
        <f>IF(AND(P249&gt;1,COUNTIF($E$6:E249,E249)=1),MAX($Q$5:Q248)+1,"")</f>
        <v/>
      </c>
      <c r="R249" t="str">
        <f t="shared" si="7"/>
        <v/>
      </c>
    </row>
    <row r="250" spans="1:18" ht="22.95" customHeight="1">
      <c r="A250" s="20">
        <v>46287</v>
      </c>
      <c r="B250" t="s">
        <v>18</v>
      </c>
      <c r="C250" t="s">
        <v>62</v>
      </c>
      <c r="D250" t="s">
        <v>63</v>
      </c>
      <c r="E250" t="s">
        <v>785</v>
      </c>
      <c r="F250">
        <v>1</v>
      </c>
      <c r="G250" t="s">
        <v>39</v>
      </c>
      <c r="I250" t="s">
        <v>66</v>
      </c>
      <c r="J250" t="s">
        <v>154</v>
      </c>
      <c r="L250" t="s">
        <v>786</v>
      </c>
      <c r="M250" t="s">
        <v>92</v>
      </c>
      <c r="P250">
        <f t="shared" si="6"/>
        <v>1</v>
      </c>
      <c r="Q250" t="str">
        <f>IF(AND(P250&gt;1,COUNTIF($E$6:E250,E250)=1),MAX($Q$5:Q249)+1,"")</f>
        <v/>
      </c>
      <c r="R250" t="str">
        <f t="shared" si="7"/>
        <v/>
      </c>
    </row>
    <row r="251" spans="1:18" ht="22.95" customHeight="1">
      <c r="A251" s="20">
        <v>46287</v>
      </c>
      <c r="B251" t="s">
        <v>18</v>
      </c>
      <c r="C251" t="s">
        <v>97</v>
      </c>
      <c r="D251" t="s">
        <v>98</v>
      </c>
      <c r="E251" t="s">
        <v>787</v>
      </c>
      <c r="F251">
        <v>1</v>
      </c>
      <c r="G251" t="s">
        <v>39</v>
      </c>
      <c r="I251" t="s">
        <v>788</v>
      </c>
      <c r="K251" t="s">
        <v>789</v>
      </c>
      <c r="L251" t="s">
        <v>790</v>
      </c>
      <c r="M251" t="s">
        <v>38</v>
      </c>
      <c r="P251">
        <f t="shared" si="6"/>
        <v>1</v>
      </c>
      <c r="Q251" t="str">
        <f>IF(AND(P251&gt;1,COUNTIF($E$6:E251,E251)=1),MAX($Q$5:Q250)+1,"")</f>
        <v/>
      </c>
      <c r="R251" t="str">
        <f t="shared" si="7"/>
        <v/>
      </c>
    </row>
    <row r="252" spans="1:18" ht="22.95" customHeight="1">
      <c r="A252" s="20">
        <v>46287</v>
      </c>
      <c r="B252" t="s">
        <v>18</v>
      </c>
      <c r="C252" t="s">
        <v>97</v>
      </c>
      <c r="D252" t="s">
        <v>98</v>
      </c>
      <c r="E252" t="s">
        <v>791</v>
      </c>
      <c r="F252">
        <v>1</v>
      </c>
      <c r="G252" t="s">
        <v>39</v>
      </c>
      <c r="I252" t="s">
        <v>792</v>
      </c>
      <c r="K252" t="s">
        <v>40</v>
      </c>
      <c r="L252" t="s">
        <v>793</v>
      </c>
      <c r="M252" t="s">
        <v>38</v>
      </c>
      <c r="P252">
        <f t="shared" si="6"/>
        <v>1</v>
      </c>
      <c r="Q252" t="str">
        <f>IF(AND(P252&gt;1,COUNTIF($E$6:E252,E252)=1),MAX($Q$5:Q251)+1,"")</f>
        <v/>
      </c>
      <c r="R252" t="str">
        <f t="shared" si="7"/>
        <v/>
      </c>
    </row>
    <row r="253" spans="1:18" ht="22.95" customHeight="1">
      <c r="A253" s="20">
        <v>46288</v>
      </c>
      <c r="B253" t="s">
        <v>18</v>
      </c>
      <c r="C253" t="s">
        <v>81</v>
      </c>
      <c r="D253" t="s">
        <v>82</v>
      </c>
      <c r="E253" t="s">
        <v>794</v>
      </c>
      <c r="F253">
        <v>1</v>
      </c>
      <c r="G253" t="s">
        <v>795</v>
      </c>
      <c r="H253" t="s">
        <v>796</v>
      </c>
      <c r="I253" t="s">
        <v>797</v>
      </c>
      <c r="L253" t="s">
        <v>798</v>
      </c>
      <c r="M253" t="s">
        <v>69</v>
      </c>
      <c r="N253" t="s">
        <v>217</v>
      </c>
      <c r="P253">
        <f t="shared" si="6"/>
        <v>1</v>
      </c>
      <c r="Q253" t="str">
        <f>IF(AND(P253&gt;1,COUNTIF($E$6:E253,E253)=1),MAX($Q$5:Q252)+1,"")</f>
        <v/>
      </c>
      <c r="R253" t="str">
        <f t="shared" si="7"/>
        <v/>
      </c>
    </row>
    <row r="254" spans="1:18" ht="22.95" customHeight="1">
      <c r="A254" s="20">
        <v>46288</v>
      </c>
      <c r="B254" t="s">
        <v>18</v>
      </c>
      <c r="C254" t="s">
        <v>74</v>
      </c>
      <c r="D254" t="s">
        <v>75</v>
      </c>
      <c r="E254" t="s">
        <v>799</v>
      </c>
      <c r="F254">
        <v>1</v>
      </c>
      <c r="G254" t="s">
        <v>65</v>
      </c>
      <c r="I254" t="s">
        <v>800</v>
      </c>
      <c r="K254" t="s">
        <v>40</v>
      </c>
      <c r="L254" t="s">
        <v>801</v>
      </c>
      <c r="M254" t="s">
        <v>38</v>
      </c>
      <c r="P254">
        <f t="shared" si="6"/>
        <v>1</v>
      </c>
      <c r="Q254" t="str">
        <f>IF(AND(P254&gt;1,COUNTIF($E$6:E254,E254)=1),MAX($Q$5:Q253)+1,"")</f>
        <v/>
      </c>
      <c r="R254" t="str">
        <f t="shared" si="7"/>
        <v/>
      </c>
    </row>
    <row r="255" spans="1:18" ht="22.95" customHeight="1">
      <c r="A255" s="20">
        <v>46288</v>
      </c>
      <c r="B255" t="s">
        <v>18</v>
      </c>
      <c r="C255" t="s">
        <v>74</v>
      </c>
      <c r="D255" t="s">
        <v>75</v>
      </c>
      <c r="E255" t="s">
        <v>802</v>
      </c>
      <c r="F255">
        <v>1</v>
      </c>
      <c r="G255" t="s">
        <v>65</v>
      </c>
      <c r="I255" t="s">
        <v>800</v>
      </c>
      <c r="K255" t="s">
        <v>40</v>
      </c>
      <c r="L255" t="s">
        <v>801</v>
      </c>
      <c r="M255" t="s">
        <v>38</v>
      </c>
      <c r="P255">
        <f t="shared" si="6"/>
        <v>1</v>
      </c>
      <c r="Q255" t="str">
        <f>IF(AND(P255&gt;1,COUNTIF($E$6:E255,E255)=1),MAX($Q$5:Q254)+1,"")</f>
        <v/>
      </c>
      <c r="R255" t="str">
        <f t="shared" si="7"/>
        <v/>
      </c>
    </row>
    <row r="256" spans="1:18" ht="22.95" customHeight="1">
      <c r="A256" s="20">
        <v>46288</v>
      </c>
      <c r="B256" t="s">
        <v>18</v>
      </c>
      <c r="C256" t="s">
        <v>74</v>
      </c>
      <c r="D256" t="s">
        <v>75</v>
      </c>
      <c r="E256" t="s">
        <v>803</v>
      </c>
      <c r="F256">
        <v>1</v>
      </c>
      <c r="G256" t="s">
        <v>65</v>
      </c>
      <c r="I256" t="s">
        <v>800</v>
      </c>
      <c r="K256" t="s">
        <v>40</v>
      </c>
      <c r="L256" t="s">
        <v>801</v>
      </c>
      <c r="M256" t="s">
        <v>38</v>
      </c>
      <c r="P256">
        <f t="shared" si="6"/>
        <v>1</v>
      </c>
      <c r="Q256" t="str">
        <f>IF(AND(P256&gt;1,COUNTIF($E$6:E256,E256)=1),MAX($Q$5:Q255)+1,"")</f>
        <v/>
      </c>
      <c r="R256" t="str">
        <f t="shared" si="7"/>
        <v/>
      </c>
    </row>
    <row r="257" spans="1:18" ht="22.95" customHeight="1">
      <c r="A257" s="20">
        <v>46288</v>
      </c>
      <c r="B257" t="s">
        <v>18</v>
      </c>
      <c r="C257" t="s">
        <v>62</v>
      </c>
      <c r="D257" t="s">
        <v>161</v>
      </c>
      <c r="E257" t="s">
        <v>804</v>
      </c>
      <c r="F257">
        <v>1</v>
      </c>
      <c r="G257" t="s">
        <v>39</v>
      </c>
      <c r="I257" t="s">
        <v>805</v>
      </c>
      <c r="J257" t="s">
        <v>159</v>
      </c>
      <c r="L257" t="s">
        <v>806</v>
      </c>
      <c r="M257" t="s">
        <v>92</v>
      </c>
      <c r="P257">
        <f t="shared" si="6"/>
        <v>1</v>
      </c>
      <c r="Q257" t="str">
        <f>IF(AND(P257&gt;1,COUNTIF($E$6:E257,E257)=1),MAX($Q$5:Q256)+1,"")</f>
        <v/>
      </c>
      <c r="R257" t="str">
        <f t="shared" si="7"/>
        <v/>
      </c>
    </row>
    <row r="258" spans="1:18" ht="22.95" customHeight="1">
      <c r="A258" s="20">
        <v>46288</v>
      </c>
      <c r="B258" t="s">
        <v>18</v>
      </c>
      <c r="C258" t="s">
        <v>97</v>
      </c>
      <c r="D258" t="s">
        <v>98</v>
      </c>
      <c r="E258" t="s">
        <v>807</v>
      </c>
      <c r="F258">
        <v>1</v>
      </c>
      <c r="G258" t="s">
        <v>65</v>
      </c>
      <c r="I258" t="s">
        <v>66</v>
      </c>
      <c r="K258" t="s">
        <v>808</v>
      </c>
      <c r="L258" t="s">
        <v>809</v>
      </c>
      <c r="M258" t="s">
        <v>38</v>
      </c>
      <c r="P258">
        <f t="shared" si="6"/>
        <v>1</v>
      </c>
      <c r="Q258" t="str">
        <f>IF(AND(P258&gt;1,COUNTIF($E$6:E258,E258)=1),MAX($Q$5:Q257)+1,"")</f>
        <v/>
      </c>
      <c r="R258" t="str">
        <f t="shared" si="7"/>
        <v/>
      </c>
    </row>
    <row r="259" spans="1:18" ht="22.95" customHeight="1">
      <c r="A259" s="20">
        <v>46289</v>
      </c>
      <c r="B259" t="s">
        <v>18</v>
      </c>
      <c r="C259" t="s">
        <v>74</v>
      </c>
      <c r="D259" t="s">
        <v>75</v>
      </c>
      <c r="E259" t="s">
        <v>810</v>
      </c>
      <c r="F259">
        <v>1</v>
      </c>
      <c r="G259" t="s">
        <v>811</v>
      </c>
      <c r="H259" t="s">
        <v>812</v>
      </c>
      <c r="I259" t="s">
        <v>813</v>
      </c>
      <c r="K259" t="s">
        <v>814</v>
      </c>
      <c r="L259" t="s">
        <v>815</v>
      </c>
      <c r="M259" t="s">
        <v>69</v>
      </c>
      <c r="N259" t="s">
        <v>217</v>
      </c>
      <c r="P259">
        <f t="shared" si="6"/>
        <v>1</v>
      </c>
      <c r="Q259" t="str">
        <f>IF(AND(P259&gt;1,COUNTIF($E$6:E259,E259)=1),MAX($Q$5:Q258)+1,"")</f>
        <v/>
      </c>
      <c r="R259" t="str">
        <f t="shared" si="7"/>
        <v/>
      </c>
    </row>
    <row r="260" spans="1:18" ht="22.95" customHeight="1">
      <c r="A260" s="20">
        <v>46289</v>
      </c>
      <c r="B260" t="s">
        <v>18</v>
      </c>
      <c r="C260" t="s">
        <v>74</v>
      </c>
      <c r="D260" t="s">
        <v>75</v>
      </c>
      <c r="E260" t="s">
        <v>816</v>
      </c>
      <c r="F260">
        <v>1</v>
      </c>
      <c r="G260" t="s">
        <v>811</v>
      </c>
      <c r="H260" t="s">
        <v>812</v>
      </c>
      <c r="I260" t="s">
        <v>813</v>
      </c>
      <c r="K260" t="s">
        <v>814</v>
      </c>
      <c r="L260" t="s">
        <v>815</v>
      </c>
      <c r="M260" t="s">
        <v>69</v>
      </c>
      <c r="N260" t="s">
        <v>217</v>
      </c>
      <c r="P260">
        <f t="shared" si="6"/>
        <v>1</v>
      </c>
      <c r="Q260" t="str">
        <f>IF(AND(P260&gt;1,COUNTIF($E$6:E260,E260)=1),MAX($Q$5:Q259)+1,"")</f>
        <v/>
      </c>
      <c r="R260" t="str">
        <f t="shared" si="7"/>
        <v/>
      </c>
    </row>
    <row r="261" spans="1:18" ht="22.95" customHeight="1">
      <c r="A261" s="20">
        <v>46289</v>
      </c>
      <c r="B261" t="s">
        <v>18</v>
      </c>
      <c r="C261" t="s">
        <v>74</v>
      </c>
      <c r="D261" t="s">
        <v>75</v>
      </c>
      <c r="E261" t="s">
        <v>817</v>
      </c>
      <c r="F261">
        <v>1</v>
      </c>
      <c r="G261" t="s">
        <v>811</v>
      </c>
      <c r="H261" t="s">
        <v>812</v>
      </c>
      <c r="L261" t="s">
        <v>818</v>
      </c>
      <c r="M261" t="s">
        <v>69</v>
      </c>
      <c r="N261" t="s">
        <v>309</v>
      </c>
      <c r="P261">
        <f t="shared" si="6"/>
        <v>1</v>
      </c>
      <c r="Q261" t="str">
        <f>IF(AND(P261&gt;1,COUNTIF($E$6:E261,E261)=1),MAX($Q$5:Q260)+1,"")</f>
        <v/>
      </c>
      <c r="R261" t="str">
        <f t="shared" si="7"/>
        <v/>
      </c>
    </row>
    <row r="262" spans="1:18" ht="22.95" customHeight="1">
      <c r="A262" s="20">
        <v>46289</v>
      </c>
      <c r="B262" t="s">
        <v>18</v>
      </c>
      <c r="C262" t="s">
        <v>102</v>
      </c>
      <c r="D262" t="s">
        <v>706</v>
      </c>
      <c r="E262" t="s">
        <v>819</v>
      </c>
      <c r="F262">
        <v>1</v>
      </c>
      <c r="G262" t="s">
        <v>39</v>
      </c>
      <c r="I262" t="s">
        <v>820</v>
      </c>
      <c r="K262" t="s">
        <v>40</v>
      </c>
      <c r="L262" t="s">
        <v>821</v>
      </c>
      <c r="M262" t="s">
        <v>69</v>
      </c>
      <c r="N262" t="s">
        <v>143</v>
      </c>
      <c r="P262">
        <f t="shared" ref="P262:P325" si="8">COUNTIF($E$6:$E$1740,E262)</f>
        <v>1</v>
      </c>
      <c r="Q262" t="str">
        <f>IF(AND(P262&gt;1,COUNTIF($E$6:E262,E262)=1),MAX($Q$5:Q261)+1,"")</f>
        <v/>
      </c>
      <c r="R262" t="str">
        <f t="shared" ref="R262:R325" si="9">IF(Q262="","",IF(COUNTIFS($E$6:$E$1740,E262,$A$6:$A$1740,A262,$C$6:$C$1740,C262)&lt;P262,"LÉGITIME",IF(COUNTIFS($E$6:$E$1740,E262,$A$6:$A$1740,A262,$C$6:$C$1740,C262,$M$6:$M$1740,M262)&lt;P262,"STATUT DIFFÉRENT","VRAI DOUBLON")))</f>
        <v/>
      </c>
    </row>
    <row r="263" spans="1:18" ht="22.95" customHeight="1">
      <c r="A263" s="20">
        <v>46289</v>
      </c>
      <c r="B263" t="s">
        <v>18</v>
      </c>
      <c r="C263" t="s">
        <v>62</v>
      </c>
      <c r="D263" t="s">
        <v>161</v>
      </c>
      <c r="E263" t="s">
        <v>822</v>
      </c>
      <c r="F263">
        <v>1</v>
      </c>
      <c r="G263" t="s">
        <v>39</v>
      </c>
      <c r="I263" t="s">
        <v>823</v>
      </c>
      <c r="K263" t="s">
        <v>40</v>
      </c>
      <c r="L263" t="s">
        <v>824</v>
      </c>
      <c r="M263" t="s">
        <v>92</v>
      </c>
      <c r="P263">
        <f t="shared" si="8"/>
        <v>1</v>
      </c>
      <c r="Q263" t="str">
        <f>IF(AND(P263&gt;1,COUNTIF($E$6:E263,E263)=1),MAX($Q$5:Q262)+1,"")</f>
        <v/>
      </c>
      <c r="R263" t="str">
        <f t="shared" si="9"/>
        <v/>
      </c>
    </row>
    <row r="264" spans="1:18" ht="22.95" customHeight="1">
      <c r="A264" s="20">
        <v>46289</v>
      </c>
      <c r="B264" t="s">
        <v>18</v>
      </c>
      <c r="C264" t="s">
        <v>62</v>
      </c>
      <c r="D264" t="s">
        <v>161</v>
      </c>
      <c r="E264" t="s">
        <v>825</v>
      </c>
      <c r="F264">
        <v>1</v>
      </c>
      <c r="G264" t="s">
        <v>39</v>
      </c>
      <c r="I264" t="s">
        <v>826</v>
      </c>
      <c r="K264" t="s">
        <v>40</v>
      </c>
      <c r="L264" t="s">
        <v>824</v>
      </c>
      <c r="M264" t="s">
        <v>92</v>
      </c>
      <c r="P264">
        <f t="shared" si="8"/>
        <v>1</v>
      </c>
      <c r="Q264" t="str">
        <f>IF(AND(P264&gt;1,COUNTIF($E$6:E264,E264)=1),MAX($Q$5:Q263)+1,"")</f>
        <v/>
      </c>
      <c r="R264" t="str">
        <f t="shared" si="9"/>
        <v/>
      </c>
    </row>
    <row r="265" spans="1:18" ht="22.95" customHeight="1">
      <c r="A265" s="20">
        <v>46289</v>
      </c>
      <c r="B265" t="s">
        <v>18</v>
      </c>
      <c r="C265" t="s">
        <v>62</v>
      </c>
      <c r="D265" t="s">
        <v>161</v>
      </c>
      <c r="E265" t="s">
        <v>827</v>
      </c>
      <c r="F265">
        <v>1</v>
      </c>
      <c r="G265" t="s">
        <v>39</v>
      </c>
      <c r="I265" t="s">
        <v>828</v>
      </c>
      <c r="K265" t="s">
        <v>40</v>
      </c>
      <c r="L265" t="s">
        <v>824</v>
      </c>
      <c r="M265" t="s">
        <v>92</v>
      </c>
      <c r="P265">
        <f t="shared" si="8"/>
        <v>1</v>
      </c>
      <c r="Q265" t="str">
        <f>IF(AND(P265&gt;1,COUNTIF($E$6:E265,E265)=1),MAX($Q$5:Q264)+1,"")</f>
        <v/>
      </c>
      <c r="R265" t="str">
        <f t="shared" si="9"/>
        <v/>
      </c>
    </row>
    <row r="266" spans="1:18" ht="22.95" customHeight="1">
      <c r="A266" s="20">
        <v>46289</v>
      </c>
      <c r="B266" t="s">
        <v>18</v>
      </c>
      <c r="C266" t="s">
        <v>97</v>
      </c>
      <c r="D266" t="s">
        <v>98</v>
      </c>
      <c r="E266" t="s">
        <v>829</v>
      </c>
      <c r="F266">
        <v>1</v>
      </c>
      <c r="G266" t="s">
        <v>39</v>
      </c>
      <c r="I266" t="s">
        <v>830</v>
      </c>
      <c r="K266" t="s">
        <v>831</v>
      </c>
      <c r="L266" t="s">
        <v>832</v>
      </c>
      <c r="M266" t="s">
        <v>69</v>
      </c>
      <c r="N266" t="s">
        <v>143</v>
      </c>
      <c r="P266">
        <f t="shared" si="8"/>
        <v>1</v>
      </c>
      <c r="Q266" t="str">
        <f>IF(AND(P266&gt;1,COUNTIF($E$6:E266,E266)=1),MAX($Q$5:Q265)+1,"")</f>
        <v/>
      </c>
      <c r="R266" t="str">
        <f t="shared" si="9"/>
        <v/>
      </c>
    </row>
    <row r="267" spans="1:18" ht="22.95" customHeight="1">
      <c r="A267" s="20">
        <v>46290</v>
      </c>
      <c r="B267" t="s">
        <v>18</v>
      </c>
      <c r="C267" t="s">
        <v>74</v>
      </c>
      <c r="D267" t="s">
        <v>75</v>
      </c>
      <c r="E267" t="s">
        <v>833</v>
      </c>
      <c r="F267">
        <v>1</v>
      </c>
      <c r="G267" t="s">
        <v>569</v>
      </c>
      <c r="H267" t="s">
        <v>834</v>
      </c>
      <c r="I267" t="s">
        <v>835</v>
      </c>
      <c r="K267" t="s">
        <v>836</v>
      </c>
      <c r="L267" t="s">
        <v>837</v>
      </c>
      <c r="M267" t="s">
        <v>69</v>
      </c>
      <c r="N267" t="s">
        <v>217</v>
      </c>
      <c r="P267">
        <f t="shared" si="8"/>
        <v>1</v>
      </c>
      <c r="Q267" t="str">
        <f>IF(AND(P267&gt;1,COUNTIF($E$6:E267,E267)=1),MAX($Q$5:Q266)+1,"")</f>
        <v/>
      </c>
      <c r="R267" t="str">
        <f t="shared" si="9"/>
        <v/>
      </c>
    </row>
    <row r="268" spans="1:18" ht="22.95" customHeight="1">
      <c r="A268" s="20">
        <v>46290</v>
      </c>
      <c r="B268" t="s">
        <v>18</v>
      </c>
      <c r="C268" t="s">
        <v>74</v>
      </c>
      <c r="D268" t="s">
        <v>75</v>
      </c>
      <c r="E268" t="s">
        <v>838</v>
      </c>
      <c r="F268">
        <v>1</v>
      </c>
      <c r="G268" t="s">
        <v>569</v>
      </c>
      <c r="H268" t="s">
        <v>834</v>
      </c>
      <c r="I268" t="s">
        <v>839</v>
      </c>
      <c r="K268" t="s">
        <v>836</v>
      </c>
      <c r="L268" t="s">
        <v>837</v>
      </c>
      <c r="M268" t="s">
        <v>69</v>
      </c>
      <c r="N268" t="s">
        <v>217</v>
      </c>
      <c r="P268">
        <f t="shared" si="8"/>
        <v>1</v>
      </c>
      <c r="Q268" t="str">
        <f>IF(AND(P268&gt;1,COUNTIF($E$6:E268,E268)=1),MAX($Q$5:Q267)+1,"")</f>
        <v/>
      </c>
      <c r="R268" t="str">
        <f t="shared" si="9"/>
        <v/>
      </c>
    </row>
    <row r="269" spans="1:18" ht="22.95" customHeight="1">
      <c r="A269" s="20">
        <v>46290</v>
      </c>
      <c r="B269" t="s">
        <v>18</v>
      </c>
      <c r="C269" t="s">
        <v>74</v>
      </c>
      <c r="D269" t="s">
        <v>75</v>
      </c>
      <c r="E269" t="s">
        <v>840</v>
      </c>
      <c r="F269">
        <v>1</v>
      </c>
      <c r="G269" t="s">
        <v>569</v>
      </c>
      <c r="H269" t="s">
        <v>834</v>
      </c>
      <c r="I269" t="s">
        <v>841</v>
      </c>
      <c r="K269" t="s">
        <v>836</v>
      </c>
      <c r="L269" t="s">
        <v>842</v>
      </c>
      <c r="M269" t="s">
        <v>69</v>
      </c>
      <c r="N269" t="s">
        <v>217</v>
      </c>
      <c r="P269">
        <f t="shared" si="8"/>
        <v>1</v>
      </c>
      <c r="Q269" t="str">
        <f>IF(AND(P269&gt;1,COUNTIF($E$6:E269,E269)=1),MAX($Q$5:Q268)+1,"")</f>
        <v/>
      </c>
      <c r="R269" t="str">
        <f t="shared" si="9"/>
        <v/>
      </c>
    </row>
    <row r="270" spans="1:18" ht="22.95" customHeight="1">
      <c r="A270" s="20">
        <v>46290</v>
      </c>
      <c r="B270" t="s">
        <v>18</v>
      </c>
      <c r="C270" t="s">
        <v>74</v>
      </c>
      <c r="D270" t="s">
        <v>75</v>
      </c>
      <c r="E270" t="s">
        <v>843</v>
      </c>
      <c r="F270">
        <v>1</v>
      </c>
      <c r="G270" t="s">
        <v>569</v>
      </c>
      <c r="H270" t="s">
        <v>834</v>
      </c>
      <c r="I270" t="s">
        <v>844</v>
      </c>
      <c r="K270" t="s">
        <v>40</v>
      </c>
      <c r="L270" t="s">
        <v>845</v>
      </c>
      <c r="M270" t="s">
        <v>69</v>
      </c>
      <c r="N270" t="s">
        <v>217</v>
      </c>
      <c r="P270">
        <f t="shared" si="8"/>
        <v>1</v>
      </c>
      <c r="Q270" t="str">
        <f>IF(AND(P270&gt;1,COUNTIF($E$6:E270,E270)=1),MAX($Q$5:Q269)+1,"")</f>
        <v/>
      </c>
      <c r="R270" t="str">
        <f t="shared" si="9"/>
        <v/>
      </c>
    </row>
    <row r="271" spans="1:18" ht="22.95" customHeight="1">
      <c r="A271" s="20">
        <v>46290</v>
      </c>
      <c r="B271" t="s">
        <v>18</v>
      </c>
      <c r="C271" t="s">
        <v>81</v>
      </c>
      <c r="D271" t="s">
        <v>82</v>
      </c>
      <c r="E271" t="s">
        <v>846</v>
      </c>
      <c r="F271">
        <v>1</v>
      </c>
      <c r="G271" t="s">
        <v>39</v>
      </c>
      <c r="I271" t="s">
        <v>847</v>
      </c>
      <c r="K271" t="s">
        <v>848</v>
      </c>
      <c r="L271" t="s">
        <v>849</v>
      </c>
      <c r="M271" t="s">
        <v>92</v>
      </c>
      <c r="P271">
        <f t="shared" si="8"/>
        <v>1</v>
      </c>
      <c r="Q271" t="str">
        <f>IF(AND(P271&gt;1,COUNTIF($E$6:E271,E271)=1),MAX($Q$5:Q270)+1,"")</f>
        <v/>
      </c>
      <c r="R271" t="str">
        <f t="shared" si="9"/>
        <v/>
      </c>
    </row>
    <row r="272" spans="1:18" ht="22.95" customHeight="1">
      <c r="A272" s="20">
        <v>46290</v>
      </c>
      <c r="B272" t="s">
        <v>18</v>
      </c>
      <c r="C272" t="s">
        <v>81</v>
      </c>
      <c r="D272" t="s">
        <v>82</v>
      </c>
      <c r="E272" t="s">
        <v>850</v>
      </c>
      <c r="F272">
        <v>1</v>
      </c>
      <c r="G272" t="s">
        <v>39</v>
      </c>
      <c r="I272" t="s">
        <v>851</v>
      </c>
      <c r="K272" t="s">
        <v>848</v>
      </c>
      <c r="L272" t="s">
        <v>849</v>
      </c>
      <c r="M272" t="s">
        <v>92</v>
      </c>
      <c r="P272">
        <f t="shared" si="8"/>
        <v>1</v>
      </c>
      <c r="Q272" t="str">
        <f>IF(AND(P272&gt;1,COUNTIF($E$6:E272,E272)=1),MAX($Q$5:Q271)+1,"")</f>
        <v/>
      </c>
      <c r="R272" t="str">
        <f t="shared" si="9"/>
        <v/>
      </c>
    </row>
    <row r="273" spans="1:18" ht="22.95" customHeight="1">
      <c r="A273" s="20">
        <v>46290</v>
      </c>
      <c r="B273" t="s">
        <v>18</v>
      </c>
      <c r="C273" t="s">
        <v>87</v>
      </c>
      <c r="D273" t="s">
        <v>88</v>
      </c>
      <c r="E273" t="s">
        <v>852</v>
      </c>
      <c r="F273">
        <v>1</v>
      </c>
      <c r="G273" t="s">
        <v>39</v>
      </c>
      <c r="I273" t="s">
        <v>853</v>
      </c>
      <c r="K273" t="s">
        <v>78</v>
      </c>
      <c r="L273" t="s">
        <v>854</v>
      </c>
      <c r="M273" t="s">
        <v>92</v>
      </c>
      <c r="P273">
        <f t="shared" si="8"/>
        <v>1</v>
      </c>
      <c r="Q273" t="str">
        <f>IF(AND(P273&gt;1,COUNTIF($E$6:E273,E273)=1),MAX($Q$5:Q272)+1,"")</f>
        <v/>
      </c>
      <c r="R273" t="str">
        <f t="shared" si="9"/>
        <v/>
      </c>
    </row>
    <row r="274" spans="1:18" ht="22.95" customHeight="1">
      <c r="A274" s="20">
        <v>46290</v>
      </c>
      <c r="B274" t="s">
        <v>18</v>
      </c>
      <c r="C274" t="s">
        <v>97</v>
      </c>
      <c r="D274" t="s">
        <v>98</v>
      </c>
      <c r="E274" t="s">
        <v>855</v>
      </c>
      <c r="F274">
        <v>1</v>
      </c>
      <c r="G274" t="s">
        <v>65</v>
      </c>
      <c r="I274" t="s">
        <v>90</v>
      </c>
      <c r="L274" t="s">
        <v>856</v>
      </c>
      <c r="M274" t="s">
        <v>92</v>
      </c>
      <c r="P274">
        <f t="shared" si="8"/>
        <v>1</v>
      </c>
      <c r="Q274" t="str">
        <f>IF(AND(P274&gt;1,COUNTIF($E$6:E274,E274)=1),MAX($Q$5:Q273)+1,"")</f>
        <v/>
      </c>
      <c r="R274" t="str">
        <f t="shared" si="9"/>
        <v/>
      </c>
    </row>
    <row r="275" spans="1:18" ht="22.95" customHeight="1">
      <c r="A275" s="20">
        <v>46290</v>
      </c>
      <c r="B275" t="s">
        <v>18</v>
      </c>
      <c r="C275" t="s">
        <v>97</v>
      </c>
      <c r="D275" t="s">
        <v>98</v>
      </c>
      <c r="E275" t="s">
        <v>857</v>
      </c>
      <c r="F275">
        <v>1</v>
      </c>
      <c r="G275" t="s">
        <v>39</v>
      </c>
      <c r="I275" t="s">
        <v>858</v>
      </c>
      <c r="J275" t="s">
        <v>154</v>
      </c>
      <c r="L275" t="s">
        <v>859</v>
      </c>
      <c r="M275" t="s">
        <v>92</v>
      </c>
      <c r="P275">
        <f t="shared" si="8"/>
        <v>1</v>
      </c>
      <c r="Q275" t="str">
        <f>IF(AND(P275&gt;1,COUNTIF($E$6:E275,E275)=1),MAX($Q$5:Q274)+1,"")</f>
        <v/>
      </c>
      <c r="R275" t="str">
        <f t="shared" si="9"/>
        <v/>
      </c>
    </row>
    <row r="276" spans="1:18" ht="22.95" customHeight="1">
      <c r="A276" s="20">
        <v>46291</v>
      </c>
      <c r="B276" t="s">
        <v>18</v>
      </c>
      <c r="C276" t="s">
        <v>74</v>
      </c>
      <c r="D276" t="s">
        <v>75</v>
      </c>
      <c r="E276" t="s">
        <v>860</v>
      </c>
      <c r="F276">
        <v>1</v>
      </c>
      <c r="G276" t="s">
        <v>39</v>
      </c>
      <c r="I276" t="s">
        <v>861</v>
      </c>
      <c r="K276" t="s">
        <v>40</v>
      </c>
      <c r="L276" t="s">
        <v>862</v>
      </c>
      <c r="M276" t="s">
        <v>38</v>
      </c>
      <c r="P276">
        <f t="shared" si="8"/>
        <v>1</v>
      </c>
      <c r="Q276" t="str">
        <f>IF(AND(P276&gt;1,COUNTIF($E$6:E276,E276)=1),MAX($Q$5:Q275)+1,"")</f>
        <v/>
      </c>
      <c r="R276" t="str">
        <f t="shared" si="9"/>
        <v/>
      </c>
    </row>
    <row r="277" spans="1:18" ht="22.95" customHeight="1">
      <c r="A277" s="20">
        <v>46291</v>
      </c>
      <c r="B277" t="s">
        <v>18</v>
      </c>
      <c r="C277" t="s">
        <v>62</v>
      </c>
      <c r="D277" t="s">
        <v>63</v>
      </c>
      <c r="E277" t="s">
        <v>863</v>
      </c>
      <c r="F277">
        <v>1</v>
      </c>
      <c r="G277" t="s">
        <v>39</v>
      </c>
      <c r="I277" t="s">
        <v>864</v>
      </c>
      <c r="K277" t="s">
        <v>40</v>
      </c>
      <c r="L277" t="s">
        <v>865</v>
      </c>
      <c r="M277" t="s">
        <v>69</v>
      </c>
      <c r="N277" t="s">
        <v>70</v>
      </c>
      <c r="P277">
        <f t="shared" si="8"/>
        <v>1</v>
      </c>
      <c r="Q277" t="str">
        <f>IF(AND(P277&gt;1,COUNTIF($E$6:E277,E277)=1),MAX($Q$5:Q276)+1,"")</f>
        <v/>
      </c>
      <c r="R277" t="str">
        <f t="shared" si="9"/>
        <v/>
      </c>
    </row>
    <row r="278" spans="1:18" ht="22.95" customHeight="1">
      <c r="A278" s="20">
        <v>46292</v>
      </c>
      <c r="B278" t="s">
        <v>18</v>
      </c>
      <c r="C278" t="s">
        <v>74</v>
      </c>
      <c r="D278" t="s">
        <v>75</v>
      </c>
      <c r="E278" t="s">
        <v>866</v>
      </c>
      <c r="F278">
        <v>1</v>
      </c>
      <c r="G278" t="s">
        <v>39</v>
      </c>
      <c r="I278" t="s">
        <v>465</v>
      </c>
      <c r="K278" t="s">
        <v>40</v>
      </c>
      <c r="L278" t="s">
        <v>867</v>
      </c>
      <c r="M278" t="s">
        <v>69</v>
      </c>
      <c r="N278" t="s">
        <v>70</v>
      </c>
      <c r="P278">
        <f t="shared" si="8"/>
        <v>1</v>
      </c>
      <c r="Q278" t="str">
        <f>IF(AND(P278&gt;1,COUNTIF($E$6:E278,E278)=1),MAX($Q$5:Q277)+1,"")</f>
        <v/>
      </c>
      <c r="R278" t="str">
        <f t="shared" si="9"/>
        <v/>
      </c>
    </row>
    <row r="279" spans="1:18" ht="22.95" customHeight="1">
      <c r="A279" s="20">
        <v>46292</v>
      </c>
      <c r="B279" t="s">
        <v>18</v>
      </c>
      <c r="C279" t="s">
        <v>74</v>
      </c>
      <c r="D279" t="s">
        <v>75</v>
      </c>
      <c r="E279" t="s">
        <v>868</v>
      </c>
      <c r="F279">
        <v>1</v>
      </c>
      <c r="G279" t="s">
        <v>39</v>
      </c>
      <c r="I279" t="s">
        <v>465</v>
      </c>
      <c r="K279" t="s">
        <v>40</v>
      </c>
      <c r="L279" t="s">
        <v>869</v>
      </c>
      <c r="M279" t="s">
        <v>69</v>
      </c>
      <c r="N279" t="s">
        <v>70</v>
      </c>
      <c r="P279">
        <f t="shared" si="8"/>
        <v>1</v>
      </c>
      <c r="Q279" t="str">
        <f>IF(AND(P279&gt;1,COUNTIF($E$6:E279,E279)=1),MAX($Q$5:Q278)+1,"")</f>
        <v/>
      </c>
      <c r="R279" t="str">
        <f t="shared" si="9"/>
        <v/>
      </c>
    </row>
    <row r="280" spans="1:18" ht="22.95" customHeight="1">
      <c r="A280" s="20">
        <v>46292</v>
      </c>
      <c r="B280" t="s">
        <v>18</v>
      </c>
      <c r="C280" t="s">
        <v>87</v>
      </c>
      <c r="D280" t="s">
        <v>88</v>
      </c>
      <c r="E280" t="s">
        <v>870</v>
      </c>
      <c r="F280">
        <v>1</v>
      </c>
      <c r="G280" t="s">
        <v>39</v>
      </c>
      <c r="I280" t="s">
        <v>871</v>
      </c>
      <c r="K280" t="s">
        <v>555</v>
      </c>
      <c r="L280" t="s">
        <v>872</v>
      </c>
      <c r="M280" t="s">
        <v>69</v>
      </c>
      <c r="N280" t="s">
        <v>108</v>
      </c>
      <c r="P280">
        <f t="shared" si="8"/>
        <v>1</v>
      </c>
      <c r="Q280" t="str">
        <f>IF(AND(P280&gt;1,COUNTIF($E$6:E280,E280)=1),MAX($Q$5:Q279)+1,"")</f>
        <v/>
      </c>
      <c r="R280" t="str">
        <f t="shared" si="9"/>
        <v/>
      </c>
    </row>
    <row r="281" spans="1:18" ht="22.95" customHeight="1">
      <c r="A281" s="20">
        <v>46292</v>
      </c>
      <c r="B281" t="s">
        <v>18</v>
      </c>
      <c r="C281" t="s">
        <v>87</v>
      </c>
      <c r="D281" t="s">
        <v>88</v>
      </c>
      <c r="E281" t="s">
        <v>873</v>
      </c>
      <c r="F281">
        <v>1</v>
      </c>
      <c r="G281" t="s">
        <v>39</v>
      </c>
      <c r="I281" t="s">
        <v>874</v>
      </c>
      <c r="K281" t="s">
        <v>555</v>
      </c>
      <c r="L281" t="s">
        <v>875</v>
      </c>
      <c r="M281" t="s">
        <v>69</v>
      </c>
      <c r="N281" t="s">
        <v>70</v>
      </c>
      <c r="P281">
        <f t="shared" si="8"/>
        <v>1</v>
      </c>
      <c r="Q281" t="str">
        <f>IF(AND(P281&gt;1,COUNTIF($E$6:E281,E281)=1),MAX($Q$5:Q280)+1,"")</f>
        <v/>
      </c>
      <c r="R281" t="str">
        <f t="shared" si="9"/>
        <v/>
      </c>
    </row>
    <row r="282" spans="1:18" ht="22.95" customHeight="1">
      <c r="A282" s="20">
        <v>46292</v>
      </c>
      <c r="B282" t="s">
        <v>18</v>
      </c>
      <c r="C282" t="s">
        <v>87</v>
      </c>
      <c r="D282" t="s">
        <v>88</v>
      </c>
      <c r="E282" t="s">
        <v>876</v>
      </c>
      <c r="F282">
        <v>1</v>
      </c>
      <c r="G282" t="s">
        <v>39</v>
      </c>
      <c r="I282" t="s">
        <v>67</v>
      </c>
      <c r="K282" t="s">
        <v>78</v>
      </c>
      <c r="L282" t="s">
        <v>877</v>
      </c>
      <c r="M282" t="s">
        <v>92</v>
      </c>
      <c r="P282">
        <f t="shared" si="8"/>
        <v>1</v>
      </c>
      <c r="Q282" t="str">
        <f>IF(AND(P282&gt;1,COUNTIF($E$6:E282,E282)=1),MAX($Q$5:Q281)+1,"")</f>
        <v/>
      </c>
      <c r="R282" t="str">
        <f t="shared" si="9"/>
        <v/>
      </c>
    </row>
    <row r="283" spans="1:18" ht="22.95" customHeight="1">
      <c r="A283" s="20">
        <v>46292</v>
      </c>
      <c r="B283" t="s">
        <v>18</v>
      </c>
      <c r="C283" t="s">
        <v>97</v>
      </c>
      <c r="D283" t="s">
        <v>98</v>
      </c>
      <c r="E283" t="s">
        <v>878</v>
      </c>
      <c r="F283">
        <v>1</v>
      </c>
      <c r="L283" t="s">
        <v>879</v>
      </c>
      <c r="M283" t="s">
        <v>92</v>
      </c>
      <c r="P283">
        <f t="shared" si="8"/>
        <v>1</v>
      </c>
      <c r="Q283" t="str">
        <f>IF(AND(P283&gt;1,COUNTIF($E$6:E283,E283)=1),MAX($Q$5:Q282)+1,"")</f>
        <v/>
      </c>
      <c r="R283" t="str">
        <f t="shared" si="9"/>
        <v/>
      </c>
    </row>
    <row r="284" spans="1:18" ht="22.95" customHeight="1">
      <c r="A284" s="20">
        <v>46293</v>
      </c>
      <c r="B284" t="s">
        <v>18</v>
      </c>
      <c r="C284" t="s">
        <v>74</v>
      </c>
      <c r="D284" t="s">
        <v>75</v>
      </c>
      <c r="E284" t="s">
        <v>880</v>
      </c>
      <c r="F284">
        <v>1</v>
      </c>
      <c r="G284" t="s">
        <v>458</v>
      </c>
      <c r="H284" t="s">
        <v>881</v>
      </c>
      <c r="I284" t="s">
        <v>882</v>
      </c>
      <c r="K284" t="s">
        <v>883</v>
      </c>
      <c r="L284" t="s">
        <v>884</v>
      </c>
      <c r="M284" t="s">
        <v>69</v>
      </c>
      <c r="N284" t="s">
        <v>217</v>
      </c>
      <c r="P284">
        <f t="shared" si="8"/>
        <v>1</v>
      </c>
      <c r="Q284" t="str">
        <f>IF(AND(P284&gt;1,COUNTIF($E$6:E284,E284)=1),MAX($Q$5:Q283)+1,"")</f>
        <v/>
      </c>
      <c r="R284" t="str">
        <f t="shared" si="9"/>
        <v/>
      </c>
    </row>
    <row r="285" spans="1:18" ht="22.95" customHeight="1">
      <c r="A285" s="20">
        <v>46293</v>
      </c>
      <c r="B285" t="s">
        <v>18</v>
      </c>
      <c r="C285" t="s">
        <v>74</v>
      </c>
      <c r="D285" t="s">
        <v>75</v>
      </c>
      <c r="E285" t="s">
        <v>885</v>
      </c>
      <c r="F285">
        <v>1</v>
      </c>
      <c r="G285" t="s">
        <v>39</v>
      </c>
      <c r="I285" t="s">
        <v>886</v>
      </c>
      <c r="K285" t="s">
        <v>887</v>
      </c>
      <c r="L285" t="s">
        <v>888</v>
      </c>
      <c r="M285" t="s">
        <v>69</v>
      </c>
      <c r="N285" t="s">
        <v>566</v>
      </c>
      <c r="P285">
        <f t="shared" si="8"/>
        <v>1</v>
      </c>
      <c r="Q285" t="str">
        <f>IF(AND(P285&gt;1,COUNTIF($E$6:E285,E285)=1),MAX($Q$5:Q284)+1,"")</f>
        <v/>
      </c>
      <c r="R285" t="str">
        <f t="shared" si="9"/>
        <v/>
      </c>
    </row>
    <row r="286" spans="1:18" ht="22.95" customHeight="1">
      <c r="A286" s="20">
        <v>46293</v>
      </c>
      <c r="B286" t="s">
        <v>18</v>
      </c>
      <c r="C286" t="s">
        <v>74</v>
      </c>
      <c r="D286" t="s">
        <v>75</v>
      </c>
      <c r="E286" t="s">
        <v>889</v>
      </c>
      <c r="F286">
        <v>1</v>
      </c>
      <c r="G286" t="s">
        <v>39</v>
      </c>
      <c r="I286" t="s">
        <v>890</v>
      </c>
      <c r="K286" t="s">
        <v>78</v>
      </c>
      <c r="L286" t="s">
        <v>891</v>
      </c>
      <c r="M286" t="s">
        <v>92</v>
      </c>
      <c r="P286">
        <f t="shared" si="8"/>
        <v>1</v>
      </c>
      <c r="Q286" t="str">
        <f>IF(AND(P286&gt;1,COUNTIF($E$6:E286,E286)=1),MAX($Q$5:Q285)+1,"")</f>
        <v/>
      </c>
      <c r="R286" t="str">
        <f t="shared" si="9"/>
        <v/>
      </c>
    </row>
    <row r="287" spans="1:18" ht="22.95" customHeight="1">
      <c r="A287" s="20">
        <v>46293</v>
      </c>
      <c r="B287" t="s">
        <v>18</v>
      </c>
      <c r="C287" t="s">
        <v>81</v>
      </c>
      <c r="D287" t="s">
        <v>82</v>
      </c>
      <c r="E287" t="s">
        <v>892</v>
      </c>
      <c r="F287">
        <v>1</v>
      </c>
      <c r="G287" t="s">
        <v>39</v>
      </c>
      <c r="I287" t="s">
        <v>893</v>
      </c>
      <c r="K287" t="s">
        <v>894</v>
      </c>
      <c r="L287" t="s">
        <v>895</v>
      </c>
      <c r="M287" t="s">
        <v>69</v>
      </c>
      <c r="N287" t="s">
        <v>143</v>
      </c>
      <c r="P287">
        <f t="shared" si="8"/>
        <v>1</v>
      </c>
      <c r="Q287" t="str">
        <f>IF(AND(P287&gt;1,COUNTIF($E$6:E287,E287)=1),MAX($Q$5:Q286)+1,"")</f>
        <v/>
      </c>
      <c r="R287" t="str">
        <f t="shared" si="9"/>
        <v/>
      </c>
    </row>
    <row r="288" spans="1:18" ht="22.95" customHeight="1">
      <c r="A288" s="20">
        <v>46293</v>
      </c>
      <c r="B288" t="s">
        <v>18</v>
      </c>
      <c r="C288" t="s">
        <v>87</v>
      </c>
      <c r="D288" t="s">
        <v>88</v>
      </c>
      <c r="E288" t="s">
        <v>896</v>
      </c>
      <c r="F288">
        <v>1</v>
      </c>
      <c r="G288" t="s">
        <v>39</v>
      </c>
      <c r="I288" t="s">
        <v>897</v>
      </c>
      <c r="K288" t="s">
        <v>40</v>
      </c>
      <c r="L288" t="s">
        <v>898</v>
      </c>
      <c r="M288" t="s">
        <v>92</v>
      </c>
      <c r="P288">
        <f t="shared" si="8"/>
        <v>1</v>
      </c>
      <c r="Q288" t="str">
        <f>IF(AND(P288&gt;1,COUNTIF($E$6:E288,E288)=1),MAX($Q$5:Q287)+1,"")</f>
        <v/>
      </c>
      <c r="R288" t="str">
        <f t="shared" si="9"/>
        <v/>
      </c>
    </row>
    <row r="289" spans="1:18" ht="22.95" customHeight="1">
      <c r="A289" s="20">
        <v>46293</v>
      </c>
      <c r="B289" t="s">
        <v>18</v>
      </c>
      <c r="C289" t="s">
        <v>87</v>
      </c>
      <c r="D289" t="s">
        <v>88</v>
      </c>
      <c r="E289" t="s">
        <v>899</v>
      </c>
      <c r="F289">
        <v>1</v>
      </c>
      <c r="G289" t="s">
        <v>39</v>
      </c>
      <c r="I289" t="s">
        <v>897</v>
      </c>
      <c r="K289" t="s">
        <v>40</v>
      </c>
      <c r="L289" t="s">
        <v>898</v>
      </c>
      <c r="M289" t="s">
        <v>92</v>
      </c>
      <c r="P289">
        <f t="shared" si="8"/>
        <v>1</v>
      </c>
      <c r="Q289" t="str">
        <f>IF(AND(P289&gt;1,COUNTIF($E$6:E289,E289)=1),MAX($Q$5:Q288)+1,"")</f>
        <v/>
      </c>
      <c r="R289" t="str">
        <f t="shared" si="9"/>
        <v/>
      </c>
    </row>
    <row r="290" spans="1:18" ht="22.95" customHeight="1">
      <c r="A290" s="20">
        <v>46293</v>
      </c>
      <c r="B290" t="s">
        <v>18</v>
      </c>
      <c r="C290" t="s">
        <v>87</v>
      </c>
      <c r="D290" t="s">
        <v>88</v>
      </c>
      <c r="E290" t="s">
        <v>900</v>
      </c>
      <c r="F290">
        <v>1</v>
      </c>
      <c r="G290" t="s">
        <v>39</v>
      </c>
      <c r="I290" t="s">
        <v>901</v>
      </c>
      <c r="K290" t="s">
        <v>40</v>
      </c>
      <c r="L290" t="s">
        <v>902</v>
      </c>
      <c r="M290" t="s">
        <v>92</v>
      </c>
      <c r="P290">
        <f t="shared" si="8"/>
        <v>1</v>
      </c>
      <c r="Q290" t="str">
        <f>IF(AND(P290&gt;1,COUNTIF($E$6:E290,E290)=1),MAX($Q$5:Q289)+1,"")</f>
        <v/>
      </c>
      <c r="R290" t="str">
        <f t="shared" si="9"/>
        <v/>
      </c>
    </row>
    <row r="291" spans="1:18" ht="22.95" customHeight="1">
      <c r="A291" s="20">
        <v>46293</v>
      </c>
      <c r="B291" t="s">
        <v>18</v>
      </c>
      <c r="C291" t="s">
        <v>62</v>
      </c>
      <c r="D291" t="s">
        <v>161</v>
      </c>
      <c r="E291" t="s">
        <v>903</v>
      </c>
      <c r="F291">
        <v>1</v>
      </c>
      <c r="G291" t="s">
        <v>39</v>
      </c>
      <c r="I291" t="s">
        <v>904</v>
      </c>
      <c r="J291" t="s">
        <v>163</v>
      </c>
      <c r="K291" t="s">
        <v>905</v>
      </c>
      <c r="L291" t="s">
        <v>906</v>
      </c>
      <c r="M291" t="s">
        <v>69</v>
      </c>
      <c r="N291" t="s">
        <v>143</v>
      </c>
      <c r="P291">
        <f t="shared" si="8"/>
        <v>1</v>
      </c>
      <c r="Q291" t="str">
        <f>IF(AND(P291&gt;1,COUNTIF($E$6:E291,E291)=1),MAX($Q$5:Q290)+1,"")</f>
        <v/>
      </c>
      <c r="R291" t="str">
        <f t="shared" si="9"/>
        <v/>
      </c>
    </row>
    <row r="292" spans="1:18" ht="22.95" customHeight="1">
      <c r="A292" s="20">
        <v>46294</v>
      </c>
      <c r="B292" t="s">
        <v>18</v>
      </c>
      <c r="C292" t="s">
        <v>74</v>
      </c>
      <c r="D292" t="s">
        <v>75</v>
      </c>
      <c r="E292" t="s">
        <v>907</v>
      </c>
      <c r="F292">
        <v>1</v>
      </c>
      <c r="G292" t="s">
        <v>569</v>
      </c>
      <c r="H292" t="s">
        <v>908</v>
      </c>
      <c r="I292" t="s">
        <v>909</v>
      </c>
      <c r="K292" t="s">
        <v>910</v>
      </c>
      <c r="L292" t="s">
        <v>911</v>
      </c>
      <c r="M292" t="s">
        <v>69</v>
      </c>
      <c r="N292" t="s">
        <v>418</v>
      </c>
      <c r="P292">
        <f t="shared" si="8"/>
        <v>1</v>
      </c>
      <c r="Q292" t="str">
        <f>IF(AND(P292&gt;1,COUNTIF($E$6:E292,E292)=1),MAX($Q$5:Q291)+1,"")</f>
        <v/>
      </c>
      <c r="R292" t="str">
        <f t="shared" si="9"/>
        <v/>
      </c>
    </row>
    <row r="293" spans="1:18" ht="22.95" customHeight="1">
      <c r="A293" s="20">
        <v>46294</v>
      </c>
      <c r="B293" t="s">
        <v>18</v>
      </c>
      <c r="C293" t="s">
        <v>74</v>
      </c>
      <c r="D293" t="s">
        <v>75</v>
      </c>
      <c r="E293" t="s">
        <v>912</v>
      </c>
      <c r="F293">
        <v>1</v>
      </c>
      <c r="G293" t="s">
        <v>39</v>
      </c>
      <c r="I293" t="s">
        <v>913</v>
      </c>
      <c r="K293" t="s">
        <v>914</v>
      </c>
      <c r="L293" t="s">
        <v>915</v>
      </c>
      <c r="M293" t="s">
        <v>69</v>
      </c>
      <c r="N293" t="s">
        <v>916</v>
      </c>
      <c r="P293">
        <f t="shared" si="8"/>
        <v>1</v>
      </c>
      <c r="Q293" t="str">
        <f>IF(AND(P293&gt;1,COUNTIF($E$6:E293,E293)=1),MAX($Q$5:Q292)+1,"")</f>
        <v/>
      </c>
      <c r="R293" t="str">
        <f t="shared" si="9"/>
        <v/>
      </c>
    </row>
    <row r="294" spans="1:18" ht="22.95" customHeight="1">
      <c r="A294" s="20">
        <v>46294</v>
      </c>
      <c r="B294" t="s">
        <v>18</v>
      </c>
      <c r="C294" t="s">
        <v>81</v>
      </c>
      <c r="D294" t="s">
        <v>82</v>
      </c>
      <c r="E294" t="s">
        <v>917</v>
      </c>
      <c r="F294">
        <v>1</v>
      </c>
      <c r="G294" t="s">
        <v>917</v>
      </c>
      <c r="H294" t="s">
        <v>918</v>
      </c>
      <c r="I294" t="s">
        <v>919</v>
      </c>
      <c r="K294" t="s">
        <v>910</v>
      </c>
      <c r="L294" t="s">
        <v>920</v>
      </c>
      <c r="M294" t="s">
        <v>69</v>
      </c>
      <c r="N294" t="s">
        <v>418</v>
      </c>
      <c r="P294">
        <f t="shared" si="8"/>
        <v>1</v>
      </c>
      <c r="Q294" t="str">
        <f>IF(AND(P294&gt;1,COUNTIF($E$6:E294,E294)=1),MAX($Q$5:Q293)+1,"")</f>
        <v/>
      </c>
      <c r="R294" t="str">
        <f t="shared" si="9"/>
        <v/>
      </c>
    </row>
    <row r="295" spans="1:18" ht="22.95" customHeight="1">
      <c r="A295" s="20">
        <v>46294</v>
      </c>
      <c r="B295" t="s">
        <v>18</v>
      </c>
      <c r="C295" t="s">
        <v>81</v>
      </c>
      <c r="D295" t="s">
        <v>82</v>
      </c>
      <c r="E295" t="s">
        <v>921</v>
      </c>
      <c r="F295">
        <v>1</v>
      </c>
      <c r="G295" t="s">
        <v>39</v>
      </c>
      <c r="I295" t="s">
        <v>922</v>
      </c>
      <c r="K295" t="s">
        <v>923</v>
      </c>
      <c r="L295" t="s">
        <v>924</v>
      </c>
      <c r="M295" t="s">
        <v>69</v>
      </c>
      <c r="N295" t="s">
        <v>96</v>
      </c>
      <c r="P295">
        <f t="shared" si="8"/>
        <v>1</v>
      </c>
      <c r="Q295" t="str">
        <f>IF(AND(P295&gt;1,COUNTIF($E$6:E295,E295)=1),MAX($Q$5:Q294)+1,"")</f>
        <v/>
      </c>
      <c r="R295" t="str">
        <f t="shared" si="9"/>
        <v/>
      </c>
    </row>
    <row r="296" spans="1:18" ht="22.95" customHeight="1">
      <c r="A296" s="20">
        <v>46294</v>
      </c>
      <c r="B296" t="s">
        <v>18</v>
      </c>
      <c r="C296" t="s">
        <v>87</v>
      </c>
      <c r="D296" t="s">
        <v>88</v>
      </c>
      <c r="E296" t="s">
        <v>925</v>
      </c>
      <c r="F296">
        <v>1</v>
      </c>
      <c r="G296" t="s">
        <v>39</v>
      </c>
      <c r="I296" t="s">
        <v>926</v>
      </c>
      <c r="K296" t="s">
        <v>927</v>
      </c>
      <c r="L296" t="s">
        <v>928</v>
      </c>
      <c r="M296" t="s">
        <v>92</v>
      </c>
      <c r="P296">
        <f t="shared" si="8"/>
        <v>1</v>
      </c>
      <c r="Q296" t="str">
        <f>IF(AND(P296&gt;1,COUNTIF($E$6:E296,E296)=1),MAX($Q$5:Q295)+1,"")</f>
        <v/>
      </c>
      <c r="R296" t="str">
        <f t="shared" si="9"/>
        <v/>
      </c>
    </row>
    <row r="297" spans="1:18" ht="22.95" customHeight="1">
      <c r="A297" s="20">
        <v>46294</v>
      </c>
      <c r="B297" t="s">
        <v>18</v>
      </c>
      <c r="C297" t="s">
        <v>87</v>
      </c>
      <c r="D297" t="s">
        <v>88</v>
      </c>
      <c r="E297" t="s">
        <v>929</v>
      </c>
      <c r="F297">
        <v>1</v>
      </c>
      <c r="G297" t="s">
        <v>39</v>
      </c>
      <c r="I297" t="s">
        <v>930</v>
      </c>
      <c r="J297" t="s">
        <v>159</v>
      </c>
      <c r="L297" t="s">
        <v>931</v>
      </c>
      <c r="M297" t="s">
        <v>92</v>
      </c>
      <c r="P297">
        <f t="shared" si="8"/>
        <v>1</v>
      </c>
      <c r="Q297" t="str">
        <f>IF(AND(P297&gt;1,COUNTIF($E$6:E297,E297)=1),MAX($Q$5:Q296)+1,"")</f>
        <v/>
      </c>
      <c r="R297" t="str">
        <f t="shared" si="9"/>
        <v/>
      </c>
    </row>
    <row r="298" spans="1:18" ht="22.95" customHeight="1">
      <c r="A298" s="20">
        <v>46294</v>
      </c>
      <c r="B298" t="s">
        <v>18</v>
      </c>
      <c r="C298" t="s">
        <v>62</v>
      </c>
      <c r="D298" t="s">
        <v>63</v>
      </c>
      <c r="E298" t="s">
        <v>932</v>
      </c>
      <c r="F298">
        <v>1</v>
      </c>
      <c r="G298" t="s">
        <v>65</v>
      </c>
      <c r="I298" t="s">
        <v>933</v>
      </c>
      <c r="K298" t="s">
        <v>40</v>
      </c>
      <c r="L298" t="s">
        <v>934</v>
      </c>
      <c r="M298" t="s">
        <v>69</v>
      </c>
      <c r="N298" t="s">
        <v>70</v>
      </c>
      <c r="P298">
        <f t="shared" si="8"/>
        <v>1</v>
      </c>
      <c r="Q298" t="str">
        <f>IF(AND(P298&gt;1,COUNTIF($E$6:E298,E298)=1),MAX($Q$5:Q297)+1,"")</f>
        <v/>
      </c>
      <c r="R298" t="str">
        <f t="shared" si="9"/>
        <v/>
      </c>
    </row>
    <row r="299" spans="1:18" ht="22.95" customHeight="1">
      <c r="A299" s="20">
        <v>46294</v>
      </c>
      <c r="B299" t="s">
        <v>18</v>
      </c>
      <c r="C299" t="s">
        <v>97</v>
      </c>
      <c r="D299" t="s">
        <v>98</v>
      </c>
      <c r="E299" t="s">
        <v>935</v>
      </c>
      <c r="F299">
        <v>1</v>
      </c>
      <c r="G299" t="s">
        <v>39</v>
      </c>
      <c r="I299" t="s">
        <v>66</v>
      </c>
      <c r="J299" t="s">
        <v>154</v>
      </c>
      <c r="K299" t="s">
        <v>67</v>
      </c>
      <c r="L299" t="s">
        <v>936</v>
      </c>
      <c r="M299" t="s">
        <v>92</v>
      </c>
      <c r="P299">
        <f t="shared" si="8"/>
        <v>1</v>
      </c>
      <c r="Q299" t="str">
        <f>IF(AND(P299&gt;1,COUNTIF($E$6:E299,E299)=1),MAX($Q$5:Q298)+1,"")</f>
        <v/>
      </c>
      <c r="R299" t="str">
        <f t="shared" si="9"/>
        <v/>
      </c>
    </row>
    <row r="300" spans="1:18" ht="22.95" customHeight="1">
      <c r="A300" s="20">
        <v>46295</v>
      </c>
      <c r="B300" t="s">
        <v>18</v>
      </c>
      <c r="C300" t="s">
        <v>74</v>
      </c>
      <c r="D300" t="s">
        <v>75</v>
      </c>
      <c r="E300" t="s">
        <v>937</v>
      </c>
      <c r="F300">
        <v>1</v>
      </c>
      <c r="G300" t="s">
        <v>938</v>
      </c>
      <c r="H300" t="s">
        <v>939</v>
      </c>
      <c r="I300" t="s">
        <v>940</v>
      </c>
      <c r="K300" t="s">
        <v>941</v>
      </c>
      <c r="L300" t="s">
        <v>942</v>
      </c>
      <c r="M300" t="s">
        <v>38</v>
      </c>
      <c r="P300">
        <f t="shared" si="8"/>
        <v>1</v>
      </c>
      <c r="Q300" t="str">
        <f>IF(AND(P300&gt;1,COUNTIF($E$6:E300,E300)=1),MAX($Q$5:Q299)+1,"")</f>
        <v/>
      </c>
      <c r="R300" t="str">
        <f t="shared" si="9"/>
        <v/>
      </c>
    </row>
    <row r="301" spans="1:18" ht="22.95" customHeight="1">
      <c r="A301" s="20">
        <v>46295</v>
      </c>
      <c r="B301" t="s">
        <v>18</v>
      </c>
      <c r="C301" t="s">
        <v>74</v>
      </c>
      <c r="D301" t="s">
        <v>75</v>
      </c>
      <c r="E301" t="s">
        <v>943</v>
      </c>
      <c r="F301">
        <v>1</v>
      </c>
      <c r="G301" t="s">
        <v>938</v>
      </c>
      <c r="H301" t="s">
        <v>939</v>
      </c>
      <c r="I301" t="s">
        <v>940</v>
      </c>
      <c r="K301" t="s">
        <v>941</v>
      </c>
      <c r="L301" t="s">
        <v>942</v>
      </c>
      <c r="M301" t="s">
        <v>38</v>
      </c>
      <c r="P301">
        <f t="shared" si="8"/>
        <v>1</v>
      </c>
      <c r="Q301" t="str">
        <f>IF(AND(P301&gt;1,COUNTIF($E$6:E301,E301)=1),MAX($Q$5:Q300)+1,"")</f>
        <v/>
      </c>
      <c r="R301" t="str">
        <f t="shared" si="9"/>
        <v/>
      </c>
    </row>
    <row r="302" spans="1:18" ht="22.95" customHeight="1">
      <c r="A302" s="20">
        <v>46295</v>
      </c>
      <c r="B302" t="s">
        <v>18</v>
      </c>
      <c r="C302" t="s">
        <v>81</v>
      </c>
      <c r="D302" t="s">
        <v>82</v>
      </c>
      <c r="E302" t="s">
        <v>944</v>
      </c>
      <c r="F302">
        <v>1</v>
      </c>
      <c r="G302" t="s">
        <v>39</v>
      </c>
      <c r="I302" t="s">
        <v>945</v>
      </c>
      <c r="K302" t="s">
        <v>946</v>
      </c>
      <c r="L302" t="s">
        <v>947</v>
      </c>
      <c r="M302" t="s">
        <v>69</v>
      </c>
      <c r="N302" t="s">
        <v>916</v>
      </c>
      <c r="P302">
        <f t="shared" si="8"/>
        <v>1</v>
      </c>
      <c r="Q302" t="str">
        <f>IF(AND(P302&gt;1,COUNTIF($E$6:E302,E302)=1),MAX($Q$5:Q301)+1,"")</f>
        <v/>
      </c>
      <c r="R302" t="str">
        <f t="shared" si="9"/>
        <v/>
      </c>
    </row>
    <row r="303" spans="1:18" ht="22.95" customHeight="1">
      <c r="A303" s="20">
        <v>46295</v>
      </c>
      <c r="B303" t="s">
        <v>18</v>
      </c>
      <c r="C303" t="s">
        <v>81</v>
      </c>
      <c r="D303" t="s">
        <v>82</v>
      </c>
      <c r="E303" t="s">
        <v>948</v>
      </c>
      <c r="F303">
        <v>1</v>
      </c>
      <c r="G303" t="s">
        <v>39</v>
      </c>
      <c r="I303" t="s">
        <v>949</v>
      </c>
      <c r="L303" t="s">
        <v>950</v>
      </c>
      <c r="M303" t="s">
        <v>92</v>
      </c>
      <c r="P303">
        <f t="shared" si="8"/>
        <v>1</v>
      </c>
      <c r="Q303" t="str">
        <f>IF(AND(P303&gt;1,COUNTIF($E$6:E303,E303)=1),MAX($Q$5:Q302)+1,"")</f>
        <v/>
      </c>
      <c r="R303" t="str">
        <f t="shared" si="9"/>
        <v/>
      </c>
    </row>
    <row r="304" spans="1:18" ht="22.95" customHeight="1">
      <c r="A304" s="20">
        <v>46295</v>
      </c>
      <c r="B304" t="s">
        <v>18</v>
      </c>
      <c r="C304" t="s">
        <v>62</v>
      </c>
      <c r="D304" t="s">
        <v>161</v>
      </c>
      <c r="E304" t="s">
        <v>951</v>
      </c>
      <c r="F304">
        <v>1</v>
      </c>
      <c r="G304" t="s">
        <v>39</v>
      </c>
      <c r="I304" t="s">
        <v>66</v>
      </c>
      <c r="J304" t="s">
        <v>159</v>
      </c>
      <c r="K304" t="s">
        <v>67</v>
      </c>
      <c r="L304" t="s">
        <v>952</v>
      </c>
      <c r="M304" t="s">
        <v>92</v>
      </c>
      <c r="P304">
        <f t="shared" si="8"/>
        <v>1</v>
      </c>
      <c r="Q304" t="str">
        <f>IF(AND(P304&gt;1,COUNTIF($E$6:E304,E304)=1),MAX($Q$5:Q303)+1,"")</f>
        <v/>
      </c>
      <c r="R304" t="str">
        <f t="shared" si="9"/>
        <v/>
      </c>
    </row>
    <row r="305" spans="1:18" ht="22.95" customHeight="1">
      <c r="A305" s="20">
        <v>46295</v>
      </c>
      <c r="B305" t="s">
        <v>18</v>
      </c>
      <c r="C305" t="s">
        <v>62</v>
      </c>
      <c r="D305" t="s">
        <v>161</v>
      </c>
      <c r="E305" t="s">
        <v>953</v>
      </c>
      <c r="F305">
        <v>1</v>
      </c>
      <c r="G305" t="s">
        <v>39</v>
      </c>
      <c r="I305" t="s">
        <v>66</v>
      </c>
      <c r="J305" t="s">
        <v>159</v>
      </c>
      <c r="K305" t="s">
        <v>67</v>
      </c>
      <c r="L305" t="s">
        <v>952</v>
      </c>
      <c r="M305" t="s">
        <v>92</v>
      </c>
      <c r="P305">
        <f t="shared" si="8"/>
        <v>1</v>
      </c>
      <c r="Q305" t="str">
        <f>IF(AND(P305&gt;1,COUNTIF($E$6:E305,E305)=1),MAX($Q$5:Q304)+1,"")</f>
        <v/>
      </c>
      <c r="R305" t="str">
        <f t="shared" si="9"/>
        <v/>
      </c>
    </row>
    <row r="306" spans="1:18" ht="22.95" customHeight="1">
      <c r="A306" s="20">
        <v>46295</v>
      </c>
      <c r="B306" t="s">
        <v>18</v>
      </c>
      <c r="C306" t="s">
        <v>97</v>
      </c>
      <c r="D306" t="s">
        <v>98</v>
      </c>
      <c r="E306" t="s">
        <v>954</v>
      </c>
      <c r="F306">
        <v>1</v>
      </c>
      <c r="G306" t="s">
        <v>39</v>
      </c>
      <c r="I306" t="s">
        <v>66</v>
      </c>
      <c r="J306" t="s">
        <v>154</v>
      </c>
      <c r="K306" t="s">
        <v>67</v>
      </c>
      <c r="L306" t="s">
        <v>955</v>
      </c>
      <c r="M306" t="s">
        <v>92</v>
      </c>
      <c r="P306">
        <f t="shared" si="8"/>
        <v>1</v>
      </c>
      <c r="Q306" t="str">
        <f>IF(AND(P306&gt;1,COUNTIF($E$6:E306,E306)=1),MAX($Q$5:Q305)+1,"")</f>
        <v/>
      </c>
      <c r="R306" t="str">
        <f t="shared" si="9"/>
        <v/>
      </c>
    </row>
    <row r="307" spans="1:18" ht="22.95" customHeight="1">
      <c r="A307" s="20">
        <v>46295</v>
      </c>
      <c r="B307" t="s">
        <v>18</v>
      </c>
      <c r="C307" t="s">
        <v>97</v>
      </c>
      <c r="D307" t="s">
        <v>98</v>
      </c>
      <c r="E307" t="s">
        <v>956</v>
      </c>
      <c r="F307">
        <v>1</v>
      </c>
      <c r="G307" t="s">
        <v>39</v>
      </c>
      <c r="I307" t="s">
        <v>66</v>
      </c>
      <c r="J307" t="s">
        <v>154</v>
      </c>
      <c r="K307" t="s">
        <v>67</v>
      </c>
      <c r="L307" t="s">
        <v>957</v>
      </c>
      <c r="M307" t="s">
        <v>92</v>
      </c>
      <c r="P307">
        <f t="shared" si="8"/>
        <v>1</v>
      </c>
      <c r="Q307" t="str">
        <f>IF(AND(P307&gt;1,COUNTIF($E$6:E307,E307)=1),MAX($Q$5:Q306)+1,"")</f>
        <v/>
      </c>
      <c r="R307" t="str">
        <f t="shared" si="9"/>
        <v/>
      </c>
    </row>
    <row r="308" spans="1:18" ht="22.95" customHeight="1">
      <c r="P308">
        <f t="shared" si="8"/>
        <v>0</v>
      </c>
      <c r="Q308" t="str">
        <f>IF(AND(P308&gt;1,COUNTIF($E$6:E308,E308)=1),MAX($Q$5:Q307)+1,"")</f>
        <v/>
      </c>
      <c r="R308" t="str">
        <f t="shared" si="9"/>
        <v/>
      </c>
    </row>
    <row r="309" spans="1:18" ht="22.95" customHeight="1">
      <c r="P309">
        <f t="shared" si="8"/>
        <v>0</v>
      </c>
      <c r="Q309" t="str">
        <f>IF(AND(P309&gt;1,COUNTIF($E$6:E309,E309)=1),MAX($Q$5:Q308)+1,"")</f>
        <v/>
      </c>
      <c r="R309" t="str">
        <f t="shared" si="9"/>
        <v/>
      </c>
    </row>
    <row r="310" spans="1:18" ht="22.95" customHeight="1">
      <c r="P310">
        <f t="shared" si="8"/>
        <v>0</v>
      </c>
      <c r="Q310" t="str">
        <f>IF(AND(P310&gt;1,COUNTIF($E$6:E310,E310)=1),MAX($Q$5:Q309)+1,"")</f>
        <v/>
      </c>
      <c r="R310" t="str">
        <f t="shared" si="9"/>
        <v/>
      </c>
    </row>
    <row r="311" spans="1:18" ht="22.95" customHeight="1">
      <c r="P311">
        <f t="shared" si="8"/>
        <v>0</v>
      </c>
      <c r="Q311" t="str">
        <f>IF(AND(P311&gt;1,COUNTIF($E$6:E311,E311)=1),MAX($Q$5:Q310)+1,"")</f>
        <v/>
      </c>
      <c r="R311" t="str">
        <f t="shared" si="9"/>
        <v/>
      </c>
    </row>
    <row r="312" spans="1:18" ht="22.95" customHeight="1">
      <c r="P312">
        <f t="shared" si="8"/>
        <v>0</v>
      </c>
      <c r="Q312" t="str">
        <f>IF(AND(P312&gt;1,COUNTIF($E$6:E312,E312)=1),MAX($Q$5:Q311)+1,"")</f>
        <v/>
      </c>
      <c r="R312" t="str">
        <f t="shared" si="9"/>
        <v/>
      </c>
    </row>
    <row r="313" spans="1:18" ht="22.95" customHeight="1">
      <c r="P313">
        <f t="shared" si="8"/>
        <v>0</v>
      </c>
      <c r="Q313" t="str">
        <f>IF(AND(P313&gt;1,COUNTIF($E$6:E313,E313)=1),MAX($Q$5:Q312)+1,"")</f>
        <v/>
      </c>
      <c r="R313" t="str">
        <f t="shared" si="9"/>
        <v/>
      </c>
    </row>
    <row r="314" spans="1:18" ht="22.95" customHeight="1">
      <c r="P314">
        <f t="shared" si="8"/>
        <v>0</v>
      </c>
      <c r="Q314" t="str">
        <f>IF(AND(P314&gt;1,COUNTIF($E$6:E314,E314)=1),MAX($Q$5:Q313)+1,"")</f>
        <v/>
      </c>
      <c r="R314" t="str">
        <f t="shared" si="9"/>
        <v/>
      </c>
    </row>
    <row r="315" spans="1:18" ht="22.95" customHeight="1">
      <c r="P315">
        <f t="shared" si="8"/>
        <v>0</v>
      </c>
      <c r="Q315" t="str">
        <f>IF(AND(P315&gt;1,COUNTIF($E$6:E315,E315)=1),MAX($Q$5:Q314)+1,"")</f>
        <v/>
      </c>
      <c r="R315" t="str">
        <f t="shared" si="9"/>
        <v/>
      </c>
    </row>
    <row r="316" spans="1:18" ht="22.95" customHeight="1">
      <c r="P316">
        <f t="shared" si="8"/>
        <v>0</v>
      </c>
      <c r="Q316" t="str">
        <f>IF(AND(P316&gt;1,COUNTIF($E$6:E316,E316)=1),MAX($Q$5:Q315)+1,"")</f>
        <v/>
      </c>
      <c r="R316" t="str">
        <f t="shared" si="9"/>
        <v/>
      </c>
    </row>
    <row r="317" spans="1:18" ht="22.95" customHeight="1">
      <c r="P317">
        <f t="shared" si="8"/>
        <v>0</v>
      </c>
      <c r="Q317" t="str">
        <f>IF(AND(P317&gt;1,COUNTIF($E$6:E317,E317)=1),MAX($Q$5:Q316)+1,"")</f>
        <v/>
      </c>
      <c r="R317" t="str">
        <f t="shared" si="9"/>
        <v/>
      </c>
    </row>
    <row r="318" spans="1:18" ht="22.95" customHeight="1">
      <c r="P318">
        <f t="shared" si="8"/>
        <v>0</v>
      </c>
      <c r="Q318" t="str">
        <f>IF(AND(P318&gt;1,COUNTIF($E$6:E318,E318)=1),MAX($Q$5:Q317)+1,"")</f>
        <v/>
      </c>
      <c r="R318" t="str">
        <f t="shared" si="9"/>
        <v/>
      </c>
    </row>
    <row r="319" spans="1:18" ht="22.95" customHeight="1">
      <c r="P319">
        <f t="shared" si="8"/>
        <v>0</v>
      </c>
      <c r="Q319" t="str">
        <f>IF(AND(P319&gt;1,COUNTIF($E$6:E319,E319)=1),MAX($Q$5:Q318)+1,"")</f>
        <v/>
      </c>
      <c r="R319" t="str">
        <f t="shared" si="9"/>
        <v/>
      </c>
    </row>
    <row r="320" spans="1:18" ht="22.95" customHeight="1">
      <c r="P320">
        <f t="shared" si="8"/>
        <v>0</v>
      </c>
      <c r="Q320" t="str">
        <f>IF(AND(P320&gt;1,COUNTIF($E$6:E320,E320)=1),MAX($Q$5:Q319)+1,"")</f>
        <v/>
      </c>
      <c r="R320" t="str">
        <f t="shared" si="9"/>
        <v/>
      </c>
    </row>
    <row r="321" spans="16:18" ht="22.95" customHeight="1">
      <c r="P321">
        <f t="shared" si="8"/>
        <v>0</v>
      </c>
      <c r="Q321" t="str">
        <f>IF(AND(P321&gt;1,COUNTIF($E$6:E321,E321)=1),MAX($Q$5:Q320)+1,"")</f>
        <v/>
      </c>
      <c r="R321" t="str">
        <f t="shared" si="9"/>
        <v/>
      </c>
    </row>
    <row r="322" spans="16:18" ht="22.95" customHeight="1">
      <c r="P322">
        <f t="shared" si="8"/>
        <v>0</v>
      </c>
      <c r="Q322" t="str">
        <f>IF(AND(P322&gt;1,COUNTIF($E$6:E322,E322)=1),MAX($Q$5:Q321)+1,"")</f>
        <v/>
      </c>
      <c r="R322" t="str">
        <f t="shared" si="9"/>
        <v/>
      </c>
    </row>
    <row r="323" spans="16:18" ht="22.95" customHeight="1">
      <c r="P323">
        <f t="shared" si="8"/>
        <v>0</v>
      </c>
      <c r="Q323" t="str">
        <f>IF(AND(P323&gt;1,COUNTIF($E$6:E323,E323)=1),MAX($Q$5:Q322)+1,"")</f>
        <v/>
      </c>
      <c r="R323" t="str">
        <f t="shared" si="9"/>
        <v/>
      </c>
    </row>
    <row r="324" spans="16:18" ht="22.95" customHeight="1">
      <c r="P324">
        <f t="shared" si="8"/>
        <v>0</v>
      </c>
      <c r="Q324" t="str">
        <f>IF(AND(P324&gt;1,COUNTIF($E$6:E324,E324)=1),MAX($Q$5:Q323)+1,"")</f>
        <v/>
      </c>
      <c r="R324" t="str">
        <f t="shared" si="9"/>
        <v/>
      </c>
    </row>
    <row r="325" spans="16:18" ht="22.95" customHeight="1">
      <c r="P325">
        <f t="shared" si="8"/>
        <v>0</v>
      </c>
      <c r="Q325" t="str">
        <f>IF(AND(P325&gt;1,COUNTIF($E$6:E325,E325)=1),MAX($Q$5:Q324)+1,"")</f>
        <v/>
      </c>
      <c r="R325" t="str">
        <f t="shared" si="9"/>
        <v/>
      </c>
    </row>
    <row r="326" spans="16:18" ht="22.95" customHeight="1">
      <c r="P326">
        <f t="shared" ref="P326:P389" si="10">COUNTIF($E$6:$E$1740,E326)</f>
        <v>0</v>
      </c>
      <c r="Q326" t="str">
        <f>IF(AND(P326&gt;1,COUNTIF($E$6:E326,E326)=1),MAX($Q$5:Q325)+1,"")</f>
        <v/>
      </c>
      <c r="R326" t="str">
        <f t="shared" ref="R326:R389" si="11">IF(Q326="","",IF(COUNTIFS($E$6:$E$1740,E326,$A$6:$A$1740,A326,$C$6:$C$1740,C326)&lt;P326,"LÉGITIME",IF(COUNTIFS($E$6:$E$1740,E326,$A$6:$A$1740,A326,$C$6:$C$1740,C326,$M$6:$M$1740,M326)&lt;P326,"STATUT DIFFÉRENT","VRAI DOUBLON")))</f>
        <v/>
      </c>
    </row>
    <row r="327" spans="16:18" ht="22.95" customHeight="1">
      <c r="P327">
        <f t="shared" si="10"/>
        <v>0</v>
      </c>
      <c r="Q327" t="str">
        <f>IF(AND(P327&gt;1,COUNTIF($E$6:E327,E327)=1),MAX($Q$5:Q326)+1,"")</f>
        <v/>
      </c>
      <c r="R327" t="str">
        <f t="shared" si="11"/>
        <v/>
      </c>
    </row>
    <row r="328" spans="16:18" ht="22.95" customHeight="1">
      <c r="P328">
        <f t="shared" si="10"/>
        <v>0</v>
      </c>
      <c r="Q328" t="str">
        <f>IF(AND(P328&gt;1,COUNTIF($E$6:E328,E328)=1),MAX($Q$5:Q327)+1,"")</f>
        <v/>
      </c>
      <c r="R328" t="str">
        <f t="shared" si="11"/>
        <v/>
      </c>
    </row>
    <row r="329" spans="16:18" ht="22.95" customHeight="1">
      <c r="P329">
        <f t="shared" si="10"/>
        <v>0</v>
      </c>
      <c r="Q329" t="str">
        <f>IF(AND(P329&gt;1,COUNTIF($E$6:E329,E329)=1),MAX($Q$5:Q328)+1,"")</f>
        <v/>
      </c>
      <c r="R329" t="str">
        <f t="shared" si="11"/>
        <v/>
      </c>
    </row>
    <row r="330" spans="16:18" ht="22.95" customHeight="1">
      <c r="P330">
        <f t="shared" si="10"/>
        <v>0</v>
      </c>
      <c r="Q330" t="str">
        <f>IF(AND(P330&gt;1,COUNTIF($E$6:E330,E330)=1),MAX($Q$5:Q329)+1,"")</f>
        <v/>
      </c>
      <c r="R330" t="str">
        <f t="shared" si="11"/>
        <v/>
      </c>
    </row>
    <row r="331" spans="16:18" ht="22.95" customHeight="1">
      <c r="P331">
        <f t="shared" si="10"/>
        <v>0</v>
      </c>
      <c r="Q331" t="str">
        <f>IF(AND(P331&gt;1,COUNTIF($E$6:E331,E331)=1),MAX($Q$5:Q330)+1,"")</f>
        <v/>
      </c>
      <c r="R331" t="str">
        <f t="shared" si="11"/>
        <v/>
      </c>
    </row>
    <row r="332" spans="16:18" ht="22.95" customHeight="1">
      <c r="P332">
        <f t="shared" si="10"/>
        <v>0</v>
      </c>
      <c r="Q332" t="str">
        <f>IF(AND(P332&gt;1,COUNTIF($E$6:E332,E332)=1),MAX($Q$5:Q331)+1,"")</f>
        <v/>
      </c>
      <c r="R332" t="str">
        <f t="shared" si="11"/>
        <v/>
      </c>
    </row>
    <row r="333" spans="16:18" ht="22.95" customHeight="1">
      <c r="P333">
        <f t="shared" si="10"/>
        <v>0</v>
      </c>
      <c r="Q333" t="str">
        <f>IF(AND(P333&gt;1,COUNTIF($E$6:E333,E333)=1),MAX($Q$5:Q332)+1,"")</f>
        <v/>
      </c>
      <c r="R333" t="str">
        <f t="shared" si="11"/>
        <v/>
      </c>
    </row>
    <row r="334" spans="16:18" ht="22.95" customHeight="1">
      <c r="P334">
        <f t="shared" si="10"/>
        <v>0</v>
      </c>
      <c r="Q334" t="str">
        <f>IF(AND(P334&gt;1,COUNTIF($E$6:E334,E334)=1),MAX($Q$5:Q333)+1,"")</f>
        <v/>
      </c>
      <c r="R334" t="str">
        <f t="shared" si="11"/>
        <v/>
      </c>
    </row>
    <row r="335" spans="16:18" ht="22.95" customHeight="1">
      <c r="P335">
        <f t="shared" si="10"/>
        <v>0</v>
      </c>
      <c r="Q335" t="str">
        <f>IF(AND(P335&gt;1,COUNTIF($E$6:E335,E335)=1),MAX($Q$5:Q334)+1,"")</f>
        <v/>
      </c>
      <c r="R335" t="str">
        <f t="shared" si="11"/>
        <v/>
      </c>
    </row>
    <row r="336" spans="16:18" ht="22.95" customHeight="1">
      <c r="P336">
        <f t="shared" si="10"/>
        <v>0</v>
      </c>
      <c r="Q336" t="str">
        <f>IF(AND(P336&gt;1,COUNTIF($E$6:E336,E336)=1),MAX($Q$5:Q335)+1,"")</f>
        <v/>
      </c>
      <c r="R336" t="str">
        <f t="shared" si="11"/>
        <v/>
      </c>
    </row>
    <row r="337" spans="16:18" ht="22.95" customHeight="1">
      <c r="P337">
        <f t="shared" si="10"/>
        <v>0</v>
      </c>
      <c r="Q337" t="str">
        <f>IF(AND(P337&gt;1,COUNTIF($E$6:E337,E337)=1),MAX($Q$5:Q336)+1,"")</f>
        <v/>
      </c>
      <c r="R337" t="str">
        <f t="shared" si="11"/>
        <v/>
      </c>
    </row>
    <row r="338" spans="16:18" ht="22.95" customHeight="1">
      <c r="P338">
        <f t="shared" si="10"/>
        <v>0</v>
      </c>
      <c r="Q338" t="str">
        <f>IF(AND(P338&gt;1,COUNTIF($E$6:E338,E338)=1),MAX($Q$5:Q337)+1,"")</f>
        <v/>
      </c>
      <c r="R338" t="str">
        <f t="shared" si="11"/>
        <v/>
      </c>
    </row>
    <row r="339" spans="16:18" ht="22.95" customHeight="1">
      <c r="P339">
        <f t="shared" si="10"/>
        <v>0</v>
      </c>
      <c r="Q339" t="str">
        <f>IF(AND(P339&gt;1,COUNTIF($E$6:E339,E339)=1),MAX($Q$5:Q338)+1,"")</f>
        <v/>
      </c>
      <c r="R339" t="str">
        <f t="shared" si="11"/>
        <v/>
      </c>
    </row>
    <row r="340" spans="16:18" ht="22.95" customHeight="1">
      <c r="P340">
        <f t="shared" si="10"/>
        <v>0</v>
      </c>
      <c r="Q340" t="str">
        <f>IF(AND(P340&gt;1,COUNTIF($E$6:E340,E340)=1),MAX($Q$5:Q339)+1,"")</f>
        <v/>
      </c>
      <c r="R340" t="str">
        <f t="shared" si="11"/>
        <v/>
      </c>
    </row>
    <row r="341" spans="16:18" ht="22.95" customHeight="1">
      <c r="P341">
        <f t="shared" si="10"/>
        <v>0</v>
      </c>
      <c r="Q341" t="str">
        <f>IF(AND(P341&gt;1,COUNTIF($E$6:E341,E341)=1),MAX($Q$5:Q340)+1,"")</f>
        <v/>
      </c>
      <c r="R341" t="str">
        <f t="shared" si="11"/>
        <v/>
      </c>
    </row>
    <row r="342" spans="16:18" ht="22.95" customHeight="1">
      <c r="P342">
        <f t="shared" si="10"/>
        <v>0</v>
      </c>
      <c r="Q342" t="str">
        <f>IF(AND(P342&gt;1,COUNTIF($E$6:E342,E342)=1),MAX($Q$5:Q341)+1,"")</f>
        <v/>
      </c>
      <c r="R342" t="str">
        <f t="shared" si="11"/>
        <v/>
      </c>
    </row>
    <row r="343" spans="16:18" ht="22.95" customHeight="1">
      <c r="P343">
        <f t="shared" si="10"/>
        <v>0</v>
      </c>
      <c r="Q343" t="str">
        <f>IF(AND(P343&gt;1,COUNTIF($E$6:E343,E343)=1),MAX($Q$5:Q342)+1,"")</f>
        <v/>
      </c>
      <c r="R343" t="str">
        <f t="shared" si="11"/>
        <v/>
      </c>
    </row>
    <row r="344" spans="16:18" ht="22.95" customHeight="1">
      <c r="P344">
        <f t="shared" si="10"/>
        <v>0</v>
      </c>
      <c r="Q344" t="str">
        <f>IF(AND(P344&gt;1,COUNTIF($E$6:E344,E344)=1),MAX($Q$5:Q343)+1,"")</f>
        <v/>
      </c>
      <c r="R344" t="str">
        <f t="shared" si="11"/>
        <v/>
      </c>
    </row>
    <row r="345" spans="16:18" ht="22.95" customHeight="1">
      <c r="P345">
        <f t="shared" si="10"/>
        <v>0</v>
      </c>
      <c r="Q345" t="str">
        <f>IF(AND(P345&gt;1,COUNTIF($E$6:E345,E345)=1),MAX($Q$5:Q344)+1,"")</f>
        <v/>
      </c>
      <c r="R345" t="str">
        <f t="shared" si="11"/>
        <v/>
      </c>
    </row>
    <row r="346" spans="16:18" ht="22.95" customHeight="1">
      <c r="P346">
        <f t="shared" si="10"/>
        <v>0</v>
      </c>
      <c r="Q346" t="str">
        <f>IF(AND(P346&gt;1,COUNTIF($E$6:E346,E346)=1),MAX($Q$5:Q345)+1,"")</f>
        <v/>
      </c>
      <c r="R346" t="str">
        <f t="shared" si="11"/>
        <v/>
      </c>
    </row>
    <row r="347" spans="16:18" ht="22.95" customHeight="1">
      <c r="P347">
        <f t="shared" si="10"/>
        <v>0</v>
      </c>
      <c r="Q347" t="str">
        <f>IF(AND(P347&gt;1,COUNTIF($E$6:E347,E347)=1),MAX($Q$5:Q346)+1,"")</f>
        <v/>
      </c>
      <c r="R347" t="str">
        <f t="shared" si="11"/>
        <v/>
      </c>
    </row>
    <row r="348" spans="16:18" ht="22.95" customHeight="1">
      <c r="P348">
        <f t="shared" si="10"/>
        <v>0</v>
      </c>
      <c r="Q348" t="str">
        <f>IF(AND(P348&gt;1,COUNTIF($E$6:E348,E348)=1),MAX($Q$5:Q347)+1,"")</f>
        <v/>
      </c>
      <c r="R348" t="str">
        <f t="shared" si="11"/>
        <v/>
      </c>
    </row>
    <row r="349" spans="16:18" ht="22.95" customHeight="1">
      <c r="P349">
        <f t="shared" si="10"/>
        <v>0</v>
      </c>
      <c r="Q349" t="str">
        <f>IF(AND(P349&gt;1,COUNTIF($E$6:E349,E349)=1),MAX($Q$5:Q348)+1,"")</f>
        <v/>
      </c>
      <c r="R349" t="str">
        <f t="shared" si="11"/>
        <v/>
      </c>
    </row>
    <row r="350" spans="16:18" ht="22.95" customHeight="1">
      <c r="P350">
        <f t="shared" si="10"/>
        <v>0</v>
      </c>
      <c r="Q350" t="str">
        <f>IF(AND(P350&gt;1,COUNTIF($E$6:E350,E350)=1),MAX($Q$5:Q349)+1,"")</f>
        <v/>
      </c>
      <c r="R350" t="str">
        <f t="shared" si="11"/>
        <v/>
      </c>
    </row>
    <row r="351" spans="16:18" ht="22.95" customHeight="1">
      <c r="P351">
        <f t="shared" si="10"/>
        <v>0</v>
      </c>
      <c r="Q351" t="str">
        <f>IF(AND(P351&gt;1,COUNTIF($E$6:E351,E351)=1),MAX($Q$5:Q350)+1,"")</f>
        <v/>
      </c>
      <c r="R351" t="str">
        <f t="shared" si="11"/>
        <v/>
      </c>
    </row>
    <row r="352" spans="16:18" ht="22.95" customHeight="1">
      <c r="P352">
        <f t="shared" si="10"/>
        <v>0</v>
      </c>
      <c r="Q352" t="str">
        <f>IF(AND(P352&gt;1,COUNTIF($E$6:E352,E352)=1),MAX($Q$5:Q351)+1,"")</f>
        <v/>
      </c>
      <c r="R352" t="str">
        <f t="shared" si="11"/>
        <v/>
      </c>
    </row>
    <row r="353" spans="16:18" ht="22.95" customHeight="1">
      <c r="P353">
        <f t="shared" si="10"/>
        <v>0</v>
      </c>
      <c r="Q353" t="str">
        <f>IF(AND(P353&gt;1,COUNTIF($E$6:E353,E353)=1),MAX($Q$5:Q352)+1,"")</f>
        <v/>
      </c>
      <c r="R353" t="str">
        <f t="shared" si="11"/>
        <v/>
      </c>
    </row>
    <row r="354" spans="16:18" ht="22.95" customHeight="1">
      <c r="P354">
        <f t="shared" si="10"/>
        <v>0</v>
      </c>
      <c r="Q354" t="str">
        <f>IF(AND(P354&gt;1,COUNTIF($E$6:E354,E354)=1),MAX($Q$5:Q353)+1,"")</f>
        <v/>
      </c>
      <c r="R354" t="str">
        <f t="shared" si="11"/>
        <v/>
      </c>
    </row>
    <row r="355" spans="16:18" ht="22.95" customHeight="1">
      <c r="P355">
        <f t="shared" si="10"/>
        <v>0</v>
      </c>
      <c r="Q355" t="str">
        <f>IF(AND(P355&gt;1,COUNTIF($E$6:E355,E355)=1),MAX($Q$5:Q354)+1,"")</f>
        <v/>
      </c>
      <c r="R355" t="str">
        <f t="shared" si="11"/>
        <v/>
      </c>
    </row>
    <row r="356" spans="16:18" ht="22.95" customHeight="1">
      <c r="P356">
        <f t="shared" si="10"/>
        <v>0</v>
      </c>
      <c r="Q356" t="str">
        <f>IF(AND(P356&gt;1,COUNTIF($E$6:E356,E356)=1),MAX($Q$5:Q355)+1,"")</f>
        <v/>
      </c>
      <c r="R356" t="str">
        <f t="shared" si="11"/>
        <v/>
      </c>
    </row>
    <row r="357" spans="16:18" ht="22.95" customHeight="1">
      <c r="P357">
        <f t="shared" si="10"/>
        <v>0</v>
      </c>
      <c r="Q357" t="str">
        <f>IF(AND(P357&gt;1,COUNTIF($E$6:E357,E357)=1),MAX($Q$5:Q356)+1,"")</f>
        <v/>
      </c>
      <c r="R357" t="str">
        <f t="shared" si="11"/>
        <v/>
      </c>
    </row>
    <row r="358" spans="16:18" ht="22.95" customHeight="1">
      <c r="P358">
        <f t="shared" si="10"/>
        <v>0</v>
      </c>
      <c r="Q358" t="str">
        <f>IF(AND(P358&gt;1,COUNTIF($E$6:E358,E358)=1),MAX($Q$5:Q357)+1,"")</f>
        <v/>
      </c>
      <c r="R358" t="str">
        <f t="shared" si="11"/>
        <v/>
      </c>
    </row>
    <row r="359" spans="16:18" ht="22.95" customHeight="1">
      <c r="P359">
        <f t="shared" si="10"/>
        <v>0</v>
      </c>
      <c r="Q359" t="str">
        <f>IF(AND(P359&gt;1,COUNTIF($E$6:E359,E359)=1),MAX($Q$5:Q358)+1,"")</f>
        <v/>
      </c>
      <c r="R359" t="str">
        <f t="shared" si="11"/>
        <v/>
      </c>
    </row>
    <row r="360" spans="16:18" ht="22.95" customHeight="1">
      <c r="P360">
        <f t="shared" si="10"/>
        <v>0</v>
      </c>
      <c r="Q360" t="str">
        <f>IF(AND(P360&gt;1,COUNTIF($E$6:E360,E360)=1),MAX($Q$5:Q359)+1,"")</f>
        <v/>
      </c>
      <c r="R360" t="str">
        <f t="shared" si="11"/>
        <v/>
      </c>
    </row>
    <row r="361" spans="16:18" ht="22.95" customHeight="1">
      <c r="P361">
        <f t="shared" si="10"/>
        <v>0</v>
      </c>
      <c r="Q361" t="str">
        <f>IF(AND(P361&gt;1,COUNTIF($E$6:E361,E361)=1),MAX($Q$5:Q360)+1,"")</f>
        <v/>
      </c>
      <c r="R361" t="str">
        <f t="shared" si="11"/>
        <v/>
      </c>
    </row>
    <row r="362" spans="16:18" ht="22.95" customHeight="1">
      <c r="P362">
        <f t="shared" si="10"/>
        <v>0</v>
      </c>
      <c r="Q362" t="str">
        <f>IF(AND(P362&gt;1,COUNTIF($E$6:E362,E362)=1),MAX($Q$5:Q361)+1,"")</f>
        <v/>
      </c>
      <c r="R362" t="str">
        <f t="shared" si="11"/>
        <v/>
      </c>
    </row>
    <row r="363" spans="16:18" ht="22.95" customHeight="1">
      <c r="P363">
        <f t="shared" si="10"/>
        <v>0</v>
      </c>
      <c r="Q363" t="str">
        <f>IF(AND(P363&gt;1,COUNTIF($E$6:E363,E363)=1),MAX($Q$5:Q362)+1,"")</f>
        <v/>
      </c>
      <c r="R363" t="str">
        <f t="shared" si="11"/>
        <v/>
      </c>
    </row>
    <row r="364" spans="16:18" ht="22.95" customHeight="1">
      <c r="P364">
        <f t="shared" si="10"/>
        <v>0</v>
      </c>
      <c r="Q364" t="str">
        <f>IF(AND(P364&gt;1,COUNTIF($E$6:E364,E364)=1),MAX($Q$5:Q363)+1,"")</f>
        <v/>
      </c>
      <c r="R364" t="str">
        <f t="shared" si="11"/>
        <v/>
      </c>
    </row>
    <row r="365" spans="16:18" ht="22.95" customHeight="1">
      <c r="P365">
        <f t="shared" si="10"/>
        <v>0</v>
      </c>
      <c r="Q365" t="str">
        <f>IF(AND(P365&gt;1,COUNTIF($E$6:E365,E365)=1),MAX($Q$5:Q364)+1,"")</f>
        <v/>
      </c>
      <c r="R365" t="str">
        <f t="shared" si="11"/>
        <v/>
      </c>
    </row>
    <row r="366" spans="16:18" ht="22.95" customHeight="1">
      <c r="P366">
        <f t="shared" si="10"/>
        <v>0</v>
      </c>
      <c r="Q366" t="str">
        <f>IF(AND(P366&gt;1,COUNTIF($E$6:E366,E366)=1),MAX($Q$5:Q365)+1,"")</f>
        <v/>
      </c>
      <c r="R366" t="str">
        <f t="shared" si="11"/>
        <v/>
      </c>
    </row>
    <row r="367" spans="16:18" ht="22.95" customHeight="1">
      <c r="P367">
        <f t="shared" si="10"/>
        <v>0</v>
      </c>
      <c r="Q367" t="str">
        <f>IF(AND(P367&gt;1,COUNTIF($E$6:E367,E367)=1),MAX($Q$5:Q366)+1,"")</f>
        <v/>
      </c>
      <c r="R367" t="str">
        <f t="shared" si="11"/>
        <v/>
      </c>
    </row>
    <row r="368" spans="16:18" ht="22.95" customHeight="1">
      <c r="P368">
        <f t="shared" si="10"/>
        <v>0</v>
      </c>
      <c r="Q368" t="str">
        <f>IF(AND(P368&gt;1,COUNTIF($E$6:E368,E368)=1),MAX($Q$5:Q367)+1,"")</f>
        <v/>
      </c>
      <c r="R368" t="str">
        <f t="shared" si="11"/>
        <v/>
      </c>
    </row>
    <row r="369" spans="16:18" ht="22.95" customHeight="1">
      <c r="P369">
        <f t="shared" si="10"/>
        <v>0</v>
      </c>
      <c r="Q369" t="str">
        <f>IF(AND(P369&gt;1,COUNTIF($E$6:E369,E369)=1),MAX($Q$5:Q368)+1,"")</f>
        <v/>
      </c>
      <c r="R369" t="str">
        <f t="shared" si="11"/>
        <v/>
      </c>
    </row>
    <row r="370" spans="16:18" ht="22.95" customHeight="1">
      <c r="P370">
        <f t="shared" si="10"/>
        <v>0</v>
      </c>
      <c r="Q370" t="str">
        <f>IF(AND(P370&gt;1,COUNTIF($E$6:E370,E370)=1),MAX($Q$5:Q369)+1,"")</f>
        <v/>
      </c>
      <c r="R370" t="str">
        <f t="shared" si="11"/>
        <v/>
      </c>
    </row>
    <row r="371" spans="16:18" ht="22.95" customHeight="1">
      <c r="P371">
        <f t="shared" si="10"/>
        <v>0</v>
      </c>
      <c r="Q371" t="str">
        <f>IF(AND(P371&gt;1,COUNTIF($E$6:E371,E371)=1),MAX($Q$5:Q370)+1,"")</f>
        <v/>
      </c>
      <c r="R371" t="str">
        <f t="shared" si="11"/>
        <v/>
      </c>
    </row>
    <row r="372" spans="16:18" ht="22.95" customHeight="1">
      <c r="P372">
        <f t="shared" si="10"/>
        <v>0</v>
      </c>
      <c r="Q372" t="str">
        <f>IF(AND(P372&gt;1,COUNTIF($E$6:E372,E372)=1),MAX($Q$5:Q371)+1,"")</f>
        <v/>
      </c>
      <c r="R372" t="str">
        <f t="shared" si="11"/>
        <v/>
      </c>
    </row>
    <row r="373" spans="16:18" ht="22.95" customHeight="1">
      <c r="P373">
        <f t="shared" si="10"/>
        <v>0</v>
      </c>
      <c r="Q373" t="str">
        <f>IF(AND(P373&gt;1,COUNTIF($E$6:E373,E373)=1),MAX($Q$5:Q372)+1,"")</f>
        <v/>
      </c>
      <c r="R373" t="str">
        <f t="shared" si="11"/>
        <v/>
      </c>
    </row>
    <row r="374" spans="16:18" ht="22.95" customHeight="1">
      <c r="P374">
        <f t="shared" si="10"/>
        <v>0</v>
      </c>
      <c r="Q374" t="str">
        <f>IF(AND(P374&gt;1,COUNTIF($E$6:E374,E374)=1),MAX($Q$5:Q373)+1,"")</f>
        <v/>
      </c>
      <c r="R374" t="str">
        <f t="shared" si="11"/>
        <v/>
      </c>
    </row>
    <row r="375" spans="16:18" ht="22.95" customHeight="1">
      <c r="P375">
        <f t="shared" si="10"/>
        <v>0</v>
      </c>
      <c r="Q375" t="str">
        <f>IF(AND(P375&gt;1,COUNTIF($E$6:E375,E375)=1),MAX($Q$5:Q374)+1,"")</f>
        <v/>
      </c>
      <c r="R375" t="str">
        <f t="shared" si="11"/>
        <v/>
      </c>
    </row>
    <row r="376" spans="16:18" ht="22.95" customHeight="1">
      <c r="P376">
        <f t="shared" si="10"/>
        <v>0</v>
      </c>
      <c r="Q376" t="str">
        <f>IF(AND(P376&gt;1,COUNTIF($E$6:E376,E376)=1),MAX($Q$5:Q375)+1,"")</f>
        <v/>
      </c>
      <c r="R376" t="str">
        <f t="shared" si="11"/>
        <v/>
      </c>
    </row>
    <row r="377" spans="16:18" ht="22.95" customHeight="1">
      <c r="P377">
        <f t="shared" si="10"/>
        <v>0</v>
      </c>
      <c r="Q377" t="str">
        <f>IF(AND(P377&gt;1,COUNTIF($E$6:E377,E377)=1),MAX($Q$5:Q376)+1,"")</f>
        <v/>
      </c>
      <c r="R377" t="str">
        <f t="shared" si="11"/>
        <v/>
      </c>
    </row>
    <row r="378" spans="16:18" ht="22.95" customHeight="1">
      <c r="P378">
        <f t="shared" si="10"/>
        <v>0</v>
      </c>
      <c r="Q378" t="str">
        <f>IF(AND(P378&gt;1,COUNTIF($E$6:E378,E378)=1),MAX($Q$5:Q377)+1,"")</f>
        <v/>
      </c>
      <c r="R378" t="str">
        <f t="shared" si="11"/>
        <v/>
      </c>
    </row>
    <row r="379" spans="16:18" ht="22.95" customHeight="1">
      <c r="P379">
        <f t="shared" si="10"/>
        <v>0</v>
      </c>
      <c r="Q379" t="str">
        <f>IF(AND(P379&gt;1,COUNTIF($E$6:E379,E379)=1),MAX($Q$5:Q378)+1,"")</f>
        <v/>
      </c>
      <c r="R379" t="str">
        <f t="shared" si="11"/>
        <v/>
      </c>
    </row>
    <row r="380" spans="16:18" ht="22.95" customHeight="1">
      <c r="P380">
        <f t="shared" si="10"/>
        <v>0</v>
      </c>
      <c r="Q380" t="str">
        <f>IF(AND(P380&gt;1,COUNTIF($E$6:E380,E380)=1),MAX($Q$5:Q379)+1,"")</f>
        <v/>
      </c>
      <c r="R380" t="str">
        <f t="shared" si="11"/>
        <v/>
      </c>
    </row>
    <row r="381" spans="16:18" ht="22.95" customHeight="1">
      <c r="P381">
        <f t="shared" si="10"/>
        <v>0</v>
      </c>
      <c r="Q381" t="str">
        <f>IF(AND(P381&gt;1,COUNTIF($E$6:E381,E381)=1),MAX($Q$5:Q380)+1,"")</f>
        <v/>
      </c>
      <c r="R381" t="str">
        <f t="shared" si="11"/>
        <v/>
      </c>
    </row>
    <row r="382" spans="16:18" ht="22.95" customHeight="1">
      <c r="P382">
        <f t="shared" si="10"/>
        <v>0</v>
      </c>
      <c r="Q382" t="str">
        <f>IF(AND(P382&gt;1,COUNTIF($E$6:E382,E382)=1),MAX($Q$5:Q381)+1,"")</f>
        <v/>
      </c>
      <c r="R382" t="str">
        <f t="shared" si="11"/>
        <v/>
      </c>
    </row>
    <row r="383" spans="16:18" ht="22.95" customHeight="1">
      <c r="P383">
        <f t="shared" si="10"/>
        <v>0</v>
      </c>
      <c r="Q383" t="str">
        <f>IF(AND(P383&gt;1,COUNTIF($E$6:E383,E383)=1),MAX($Q$5:Q382)+1,"")</f>
        <v/>
      </c>
      <c r="R383" t="str">
        <f t="shared" si="11"/>
        <v/>
      </c>
    </row>
    <row r="384" spans="16:18" ht="22.95" customHeight="1">
      <c r="P384">
        <f t="shared" si="10"/>
        <v>0</v>
      </c>
      <c r="Q384" t="str">
        <f>IF(AND(P384&gt;1,COUNTIF($E$6:E384,E384)=1),MAX($Q$5:Q383)+1,"")</f>
        <v/>
      </c>
      <c r="R384" t="str">
        <f t="shared" si="11"/>
        <v/>
      </c>
    </row>
    <row r="385" spans="16:18" ht="22.95" customHeight="1">
      <c r="P385">
        <f t="shared" si="10"/>
        <v>0</v>
      </c>
      <c r="Q385" t="str">
        <f>IF(AND(P385&gt;1,COUNTIF($E$6:E385,E385)=1),MAX($Q$5:Q384)+1,"")</f>
        <v/>
      </c>
      <c r="R385" t="str">
        <f t="shared" si="11"/>
        <v/>
      </c>
    </row>
    <row r="386" spans="16:18" ht="22.95" customHeight="1">
      <c r="P386">
        <f t="shared" si="10"/>
        <v>0</v>
      </c>
      <c r="Q386" t="str">
        <f>IF(AND(P386&gt;1,COUNTIF($E$6:E386,E386)=1),MAX($Q$5:Q385)+1,"")</f>
        <v/>
      </c>
      <c r="R386" t="str">
        <f t="shared" si="11"/>
        <v/>
      </c>
    </row>
    <row r="387" spans="16:18" ht="22.95" customHeight="1">
      <c r="P387">
        <f t="shared" si="10"/>
        <v>0</v>
      </c>
      <c r="Q387" t="str">
        <f>IF(AND(P387&gt;1,COUNTIF($E$6:E387,E387)=1),MAX($Q$5:Q386)+1,"")</f>
        <v/>
      </c>
      <c r="R387" t="str">
        <f t="shared" si="11"/>
        <v/>
      </c>
    </row>
    <row r="388" spans="16:18" ht="22.95" customHeight="1">
      <c r="P388">
        <f t="shared" si="10"/>
        <v>0</v>
      </c>
      <c r="Q388" t="str">
        <f>IF(AND(P388&gt;1,COUNTIF($E$6:E388,E388)=1),MAX($Q$5:Q387)+1,"")</f>
        <v/>
      </c>
      <c r="R388" t="str">
        <f t="shared" si="11"/>
        <v/>
      </c>
    </row>
    <row r="389" spans="16:18" ht="22.95" customHeight="1">
      <c r="P389">
        <f t="shared" si="10"/>
        <v>0</v>
      </c>
      <c r="Q389" t="str">
        <f>IF(AND(P389&gt;1,COUNTIF($E$6:E389,E389)=1),MAX($Q$5:Q388)+1,"")</f>
        <v/>
      </c>
      <c r="R389" t="str">
        <f t="shared" si="11"/>
        <v/>
      </c>
    </row>
    <row r="390" spans="16:18" ht="22.95" customHeight="1">
      <c r="P390">
        <f t="shared" ref="P390:P453" si="12">COUNTIF($E$6:$E$1740,E390)</f>
        <v>0</v>
      </c>
      <c r="Q390" t="str">
        <f>IF(AND(P390&gt;1,COUNTIF($E$6:E390,E390)=1),MAX($Q$5:Q389)+1,"")</f>
        <v/>
      </c>
      <c r="R390" t="str">
        <f t="shared" ref="R390:R453" si="13">IF(Q390="","",IF(COUNTIFS($E$6:$E$1740,E390,$A$6:$A$1740,A390,$C$6:$C$1740,C390)&lt;P390,"LÉGITIME",IF(COUNTIFS($E$6:$E$1740,E390,$A$6:$A$1740,A390,$C$6:$C$1740,C390,$M$6:$M$1740,M390)&lt;P390,"STATUT DIFFÉRENT","VRAI DOUBLON")))</f>
        <v/>
      </c>
    </row>
    <row r="391" spans="16:18" ht="22.95" customHeight="1">
      <c r="P391">
        <f t="shared" si="12"/>
        <v>0</v>
      </c>
      <c r="Q391" t="str">
        <f>IF(AND(P391&gt;1,COUNTIF($E$6:E391,E391)=1),MAX($Q$5:Q390)+1,"")</f>
        <v/>
      </c>
      <c r="R391" t="str">
        <f t="shared" si="13"/>
        <v/>
      </c>
    </row>
    <row r="392" spans="16:18" ht="22.95" customHeight="1">
      <c r="P392">
        <f t="shared" si="12"/>
        <v>0</v>
      </c>
      <c r="Q392" t="str">
        <f>IF(AND(P392&gt;1,COUNTIF($E$6:E392,E392)=1),MAX($Q$5:Q391)+1,"")</f>
        <v/>
      </c>
      <c r="R392" t="str">
        <f t="shared" si="13"/>
        <v/>
      </c>
    </row>
    <row r="393" spans="16:18" ht="22.95" customHeight="1">
      <c r="P393">
        <f t="shared" si="12"/>
        <v>0</v>
      </c>
      <c r="Q393" t="str">
        <f>IF(AND(P393&gt;1,COUNTIF($E$6:E393,E393)=1),MAX($Q$5:Q392)+1,"")</f>
        <v/>
      </c>
      <c r="R393" t="str">
        <f t="shared" si="13"/>
        <v/>
      </c>
    </row>
    <row r="394" spans="16:18" ht="22.95" customHeight="1">
      <c r="P394">
        <f t="shared" si="12"/>
        <v>0</v>
      </c>
      <c r="Q394" t="str">
        <f>IF(AND(P394&gt;1,COUNTIF($E$6:E394,E394)=1),MAX($Q$5:Q393)+1,"")</f>
        <v/>
      </c>
      <c r="R394" t="str">
        <f t="shared" si="13"/>
        <v/>
      </c>
    </row>
    <row r="395" spans="16:18" ht="22.95" customHeight="1">
      <c r="P395">
        <f t="shared" si="12"/>
        <v>0</v>
      </c>
      <c r="Q395" t="str">
        <f>IF(AND(P395&gt;1,COUNTIF($E$6:E395,E395)=1),MAX($Q$5:Q394)+1,"")</f>
        <v/>
      </c>
      <c r="R395" t="str">
        <f t="shared" si="13"/>
        <v/>
      </c>
    </row>
    <row r="396" spans="16:18" ht="22.95" customHeight="1">
      <c r="P396">
        <f t="shared" si="12"/>
        <v>0</v>
      </c>
      <c r="Q396" t="str">
        <f>IF(AND(P396&gt;1,COUNTIF($E$6:E396,E396)=1),MAX($Q$5:Q395)+1,"")</f>
        <v/>
      </c>
      <c r="R396" t="str">
        <f t="shared" si="13"/>
        <v/>
      </c>
    </row>
    <row r="397" spans="16:18" ht="22.95" customHeight="1">
      <c r="P397">
        <f t="shared" si="12"/>
        <v>0</v>
      </c>
      <c r="Q397" t="str">
        <f>IF(AND(P397&gt;1,COUNTIF($E$6:E397,E397)=1),MAX($Q$5:Q396)+1,"")</f>
        <v/>
      </c>
      <c r="R397" t="str">
        <f t="shared" si="13"/>
        <v/>
      </c>
    </row>
    <row r="398" spans="16:18" ht="22.95" customHeight="1">
      <c r="P398">
        <f t="shared" si="12"/>
        <v>0</v>
      </c>
      <c r="Q398" t="str">
        <f>IF(AND(P398&gt;1,COUNTIF($E$6:E398,E398)=1),MAX($Q$5:Q397)+1,"")</f>
        <v/>
      </c>
      <c r="R398" t="str">
        <f t="shared" si="13"/>
        <v/>
      </c>
    </row>
    <row r="399" spans="16:18" ht="22.95" customHeight="1">
      <c r="P399">
        <f t="shared" si="12"/>
        <v>0</v>
      </c>
      <c r="Q399" t="str">
        <f>IF(AND(P399&gt;1,COUNTIF($E$6:E399,E399)=1),MAX($Q$5:Q398)+1,"")</f>
        <v/>
      </c>
      <c r="R399" t="str">
        <f t="shared" si="13"/>
        <v/>
      </c>
    </row>
    <row r="400" spans="16:18" ht="22.95" customHeight="1">
      <c r="P400">
        <f t="shared" si="12"/>
        <v>0</v>
      </c>
      <c r="Q400" t="str">
        <f>IF(AND(P400&gt;1,COUNTIF($E$6:E400,E400)=1),MAX($Q$5:Q399)+1,"")</f>
        <v/>
      </c>
      <c r="R400" t="str">
        <f t="shared" si="13"/>
        <v/>
      </c>
    </row>
    <row r="401" spans="16:18" ht="22.95" customHeight="1">
      <c r="P401">
        <f t="shared" si="12"/>
        <v>0</v>
      </c>
      <c r="Q401" t="str">
        <f>IF(AND(P401&gt;1,COUNTIF($E$6:E401,E401)=1),MAX($Q$5:Q400)+1,"")</f>
        <v/>
      </c>
      <c r="R401" t="str">
        <f t="shared" si="13"/>
        <v/>
      </c>
    </row>
    <row r="402" spans="16:18" ht="22.95" customHeight="1">
      <c r="P402">
        <f t="shared" si="12"/>
        <v>0</v>
      </c>
      <c r="Q402" t="str">
        <f>IF(AND(P402&gt;1,COUNTIF($E$6:E402,E402)=1),MAX($Q$5:Q401)+1,"")</f>
        <v/>
      </c>
      <c r="R402" t="str">
        <f t="shared" si="13"/>
        <v/>
      </c>
    </row>
    <row r="403" spans="16:18" ht="22.95" customHeight="1">
      <c r="P403">
        <f t="shared" si="12"/>
        <v>0</v>
      </c>
      <c r="Q403" t="str">
        <f>IF(AND(P403&gt;1,COUNTIF($E$6:E403,E403)=1),MAX($Q$5:Q402)+1,"")</f>
        <v/>
      </c>
      <c r="R403" t="str">
        <f t="shared" si="13"/>
        <v/>
      </c>
    </row>
    <row r="404" spans="16:18" ht="22.95" customHeight="1">
      <c r="P404">
        <f t="shared" si="12"/>
        <v>0</v>
      </c>
      <c r="Q404" t="str">
        <f>IF(AND(P404&gt;1,COUNTIF($E$6:E404,E404)=1),MAX($Q$5:Q403)+1,"")</f>
        <v/>
      </c>
      <c r="R404" t="str">
        <f t="shared" si="13"/>
        <v/>
      </c>
    </row>
    <row r="405" spans="16:18" ht="22.95" customHeight="1">
      <c r="P405">
        <f t="shared" si="12"/>
        <v>0</v>
      </c>
      <c r="Q405" t="str">
        <f>IF(AND(P405&gt;1,COUNTIF($E$6:E405,E405)=1),MAX($Q$5:Q404)+1,"")</f>
        <v/>
      </c>
      <c r="R405" t="str">
        <f t="shared" si="13"/>
        <v/>
      </c>
    </row>
    <row r="406" spans="16:18" ht="22.95" customHeight="1">
      <c r="P406">
        <f t="shared" si="12"/>
        <v>0</v>
      </c>
      <c r="Q406" t="str">
        <f>IF(AND(P406&gt;1,COUNTIF($E$6:E406,E406)=1),MAX($Q$5:Q405)+1,"")</f>
        <v/>
      </c>
      <c r="R406" t="str">
        <f t="shared" si="13"/>
        <v/>
      </c>
    </row>
    <row r="407" spans="16:18" ht="22.95" customHeight="1">
      <c r="P407">
        <f t="shared" si="12"/>
        <v>0</v>
      </c>
      <c r="Q407" t="str">
        <f>IF(AND(P407&gt;1,COUNTIF($E$6:E407,E407)=1),MAX($Q$5:Q406)+1,"")</f>
        <v/>
      </c>
      <c r="R407" t="str">
        <f t="shared" si="13"/>
        <v/>
      </c>
    </row>
    <row r="408" spans="16:18" ht="22.95" customHeight="1">
      <c r="P408">
        <f t="shared" si="12"/>
        <v>0</v>
      </c>
      <c r="Q408" t="str">
        <f>IF(AND(P408&gt;1,COUNTIF($E$6:E408,E408)=1),MAX($Q$5:Q407)+1,"")</f>
        <v/>
      </c>
      <c r="R408" t="str">
        <f t="shared" si="13"/>
        <v/>
      </c>
    </row>
    <row r="409" spans="16:18" ht="22.95" customHeight="1">
      <c r="P409">
        <f t="shared" si="12"/>
        <v>0</v>
      </c>
      <c r="Q409" t="str">
        <f>IF(AND(P409&gt;1,COUNTIF($E$6:E409,E409)=1),MAX($Q$5:Q408)+1,"")</f>
        <v/>
      </c>
      <c r="R409" t="str">
        <f t="shared" si="13"/>
        <v/>
      </c>
    </row>
    <row r="410" spans="16:18" ht="22.95" customHeight="1">
      <c r="P410">
        <f t="shared" si="12"/>
        <v>0</v>
      </c>
      <c r="Q410" t="str">
        <f>IF(AND(P410&gt;1,COUNTIF($E$6:E410,E410)=1),MAX($Q$5:Q409)+1,"")</f>
        <v/>
      </c>
      <c r="R410" t="str">
        <f t="shared" si="13"/>
        <v/>
      </c>
    </row>
    <row r="411" spans="16:18" ht="22.95" customHeight="1">
      <c r="P411">
        <f t="shared" si="12"/>
        <v>0</v>
      </c>
      <c r="Q411" t="str">
        <f>IF(AND(P411&gt;1,COUNTIF($E$6:E411,E411)=1),MAX($Q$5:Q410)+1,"")</f>
        <v/>
      </c>
      <c r="R411" t="str">
        <f t="shared" si="13"/>
        <v/>
      </c>
    </row>
    <row r="412" spans="16:18" ht="22.95" customHeight="1">
      <c r="P412">
        <f t="shared" si="12"/>
        <v>0</v>
      </c>
      <c r="Q412" t="str">
        <f>IF(AND(P412&gt;1,COUNTIF($E$6:E412,E412)=1),MAX($Q$5:Q411)+1,"")</f>
        <v/>
      </c>
      <c r="R412" t="str">
        <f t="shared" si="13"/>
        <v/>
      </c>
    </row>
    <row r="413" spans="16:18" ht="22.95" customHeight="1">
      <c r="P413">
        <f t="shared" si="12"/>
        <v>0</v>
      </c>
      <c r="Q413" t="str">
        <f>IF(AND(P413&gt;1,COUNTIF($E$6:E413,E413)=1),MAX($Q$5:Q412)+1,"")</f>
        <v/>
      </c>
      <c r="R413" t="str">
        <f t="shared" si="13"/>
        <v/>
      </c>
    </row>
    <row r="414" spans="16:18" ht="22.95" customHeight="1">
      <c r="P414">
        <f t="shared" si="12"/>
        <v>0</v>
      </c>
      <c r="Q414" t="str">
        <f>IF(AND(P414&gt;1,COUNTIF($E$6:E414,E414)=1),MAX($Q$5:Q413)+1,"")</f>
        <v/>
      </c>
      <c r="R414" t="str">
        <f t="shared" si="13"/>
        <v/>
      </c>
    </row>
    <row r="415" spans="16:18" ht="22.95" customHeight="1">
      <c r="P415">
        <f t="shared" si="12"/>
        <v>0</v>
      </c>
      <c r="Q415" t="str">
        <f>IF(AND(P415&gt;1,COUNTIF($E$6:E415,E415)=1),MAX($Q$5:Q414)+1,"")</f>
        <v/>
      </c>
      <c r="R415" t="str">
        <f t="shared" si="13"/>
        <v/>
      </c>
    </row>
    <row r="416" spans="16:18" ht="22.95" customHeight="1">
      <c r="P416">
        <f t="shared" si="12"/>
        <v>0</v>
      </c>
      <c r="Q416" t="str">
        <f>IF(AND(P416&gt;1,COUNTIF($E$6:E416,E416)=1),MAX($Q$5:Q415)+1,"")</f>
        <v/>
      </c>
      <c r="R416" t="str">
        <f t="shared" si="13"/>
        <v/>
      </c>
    </row>
    <row r="417" spans="16:18" ht="22.95" customHeight="1">
      <c r="P417">
        <f t="shared" si="12"/>
        <v>0</v>
      </c>
      <c r="Q417" t="str">
        <f>IF(AND(P417&gt;1,COUNTIF($E$6:E417,E417)=1),MAX($Q$5:Q416)+1,"")</f>
        <v/>
      </c>
      <c r="R417" t="str">
        <f t="shared" si="13"/>
        <v/>
      </c>
    </row>
    <row r="418" spans="16:18" ht="22.95" customHeight="1">
      <c r="P418">
        <f t="shared" si="12"/>
        <v>0</v>
      </c>
      <c r="Q418" t="str">
        <f>IF(AND(P418&gt;1,COUNTIF($E$6:E418,E418)=1),MAX($Q$5:Q417)+1,"")</f>
        <v/>
      </c>
      <c r="R418" t="str">
        <f t="shared" si="13"/>
        <v/>
      </c>
    </row>
    <row r="419" spans="16:18" ht="22.95" customHeight="1">
      <c r="P419">
        <f t="shared" si="12"/>
        <v>0</v>
      </c>
      <c r="Q419" t="str">
        <f>IF(AND(P419&gt;1,COUNTIF($E$6:E419,E419)=1),MAX($Q$5:Q418)+1,"")</f>
        <v/>
      </c>
      <c r="R419" t="str">
        <f t="shared" si="13"/>
        <v/>
      </c>
    </row>
    <row r="420" spans="16:18" ht="22.95" customHeight="1">
      <c r="P420">
        <f t="shared" si="12"/>
        <v>0</v>
      </c>
      <c r="Q420" t="str">
        <f>IF(AND(P420&gt;1,COUNTIF($E$6:E420,E420)=1),MAX($Q$5:Q419)+1,"")</f>
        <v/>
      </c>
      <c r="R420" t="str">
        <f t="shared" si="13"/>
        <v/>
      </c>
    </row>
    <row r="421" spans="16:18" ht="22.95" customHeight="1">
      <c r="P421">
        <f t="shared" si="12"/>
        <v>0</v>
      </c>
      <c r="Q421" t="str">
        <f>IF(AND(P421&gt;1,COUNTIF($E$6:E421,E421)=1),MAX($Q$5:Q420)+1,"")</f>
        <v/>
      </c>
      <c r="R421" t="str">
        <f t="shared" si="13"/>
        <v/>
      </c>
    </row>
    <row r="422" spans="16:18" ht="22.95" customHeight="1">
      <c r="P422">
        <f t="shared" si="12"/>
        <v>0</v>
      </c>
      <c r="Q422" t="str">
        <f>IF(AND(P422&gt;1,COUNTIF($E$6:E422,E422)=1),MAX($Q$5:Q421)+1,"")</f>
        <v/>
      </c>
      <c r="R422" t="str">
        <f t="shared" si="13"/>
        <v/>
      </c>
    </row>
    <row r="423" spans="16:18" ht="22.95" customHeight="1">
      <c r="P423">
        <f t="shared" si="12"/>
        <v>0</v>
      </c>
      <c r="Q423" t="str">
        <f>IF(AND(P423&gt;1,COUNTIF($E$6:E423,E423)=1),MAX($Q$5:Q422)+1,"")</f>
        <v/>
      </c>
      <c r="R423" t="str">
        <f t="shared" si="13"/>
        <v/>
      </c>
    </row>
    <row r="424" spans="16:18" ht="22.95" customHeight="1">
      <c r="P424">
        <f t="shared" si="12"/>
        <v>0</v>
      </c>
      <c r="Q424" t="str">
        <f>IF(AND(P424&gt;1,COUNTIF($E$6:E424,E424)=1),MAX($Q$5:Q423)+1,"")</f>
        <v/>
      </c>
      <c r="R424" t="str">
        <f t="shared" si="13"/>
        <v/>
      </c>
    </row>
    <row r="425" spans="16:18" ht="22.95" customHeight="1">
      <c r="P425">
        <f t="shared" si="12"/>
        <v>0</v>
      </c>
      <c r="Q425" t="str">
        <f>IF(AND(P425&gt;1,COUNTIF($E$6:E425,E425)=1),MAX($Q$5:Q424)+1,"")</f>
        <v/>
      </c>
      <c r="R425" t="str">
        <f t="shared" si="13"/>
        <v/>
      </c>
    </row>
    <row r="426" spans="16:18" ht="22.95" customHeight="1">
      <c r="P426">
        <f t="shared" si="12"/>
        <v>0</v>
      </c>
      <c r="Q426" t="str">
        <f>IF(AND(P426&gt;1,COUNTIF($E$6:E426,E426)=1),MAX($Q$5:Q425)+1,"")</f>
        <v/>
      </c>
      <c r="R426" t="str">
        <f t="shared" si="13"/>
        <v/>
      </c>
    </row>
    <row r="427" spans="16:18" ht="22.95" customHeight="1">
      <c r="P427">
        <f t="shared" si="12"/>
        <v>0</v>
      </c>
      <c r="Q427" t="str">
        <f>IF(AND(P427&gt;1,COUNTIF($E$6:E427,E427)=1),MAX($Q$5:Q426)+1,"")</f>
        <v/>
      </c>
      <c r="R427" t="str">
        <f t="shared" si="13"/>
        <v/>
      </c>
    </row>
    <row r="428" spans="16:18" ht="22.95" customHeight="1">
      <c r="P428">
        <f t="shared" si="12"/>
        <v>0</v>
      </c>
      <c r="Q428" t="str">
        <f>IF(AND(P428&gt;1,COUNTIF($E$6:E428,E428)=1),MAX($Q$5:Q427)+1,"")</f>
        <v/>
      </c>
      <c r="R428" t="str">
        <f t="shared" si="13"/>
        <v/>
      </c>
    </row>
    <row r="429" spans="16:18" ht="22.95" customHeight="1">
      <c r="P429">
        <f t="shared" si="12"/>
        <v>0</v>
      </c>
      <c r="Q429" t="str">
        <f>IF(AND(P429&gt;1,COUNTIF($E$6:E429,E429)=1),MAX($Q$5:Q428)+1,"")</f>
        <v/>
      </c>
      <c r="R429" t="str">
        <f t="shared" si="13"/>
        <v/>
      </c>
    </row>
    <row r="430" spans="16:18" ht="22.95" customHeight="1">
      <c r="P430">
        <f t="shared" si="12"/>
        <v>0</v>
      </c>
      <c r="Q430" t="str">
        <f>IF(AND(P430&gt;1,COUNTIF($E$6:E430,E430)=1),MAX($Q$5:Q429)+1,"")</f>
        <v/>
      </c>
      <c r="R430" t="str">
        <f t="shared" si="13"/>
        <v/>
      </c>
    </row>
    <row r="431" spans="16:18" ht="22.95" customHeight="1">
      <c r="P431">
        <f t="shared" si="12"/>
        <v>0</v>
      </c>
      <c r="Q431" t="str">
        <f>IF(AND(P431&gt;1,COUNTIF($E$6:E431,E431)=1),MAX($Q$5:Q430)+1,"")</f>
        <v/>
      </c>
      <c r="R431" t="str">
        <f t="shared" si="13"/>
        <v/>
      </c>
    </row>
    <row r="432" spans="16:18" ht="22.95" customHeight="1">
      <c r="P432">
        <f t="shared" si="12"/>
        <v>0</v>
      </c>
      <c r="Q432" t="str">
        <f>IF(AND(P432&gt;1,COUNTIF($E$6:E432,E432)=1),MAX($Q$5:Q431)+1,"")</f>
        <v/>
      </c>
      <c r="R432" t="str">
        <f t="shared" si="13"/>
        <v/>
      </c>
    </row>
    <row r="433" spans="16:18" ht="22.95" customHeight="1">
      <c r="P433">
        <f t="shared" si="12"/>
        <v>0</v>
      </c>
      <c r="Q433" t="str">
        <f>IF(AND(P433&gt;1,COUNTIF($E$6:E433,E433)=1),MAX($Q$5:Q432)+1,"")</f>
        <v/>
      </c>
      <c r="R433" t="str">
        <f t="shared" si="13"/>
        <v/>
      </c>
    </row>
    <row r="434" spans="16:18" ht="22.95" customHeight="1">
      <c r="P434">
        <f t="shared" si="12"/>
        <v>0</v>
      </c>
      <c r="Q434" t="str">
        <f>IF(AND(P434&gt;1,COUNTIF($E$6:E434,E434)=1),MAX($Q$5:Q433)+1,"")</f>
        <v/>
      </c>
      <c r="R434" t="str">
        <f t="shared" si="13"/>
        <v/>
      </c>
    </row>
    <row r="435" spans="16:18" ht="22.95" customHeight="1">
      <c r="P435">
        <f t="shared" si="12"/>
        <v>0</v>
      </c>
      <c r="Q435" t="str">
        <f>IF(AND(P435&gt;1,COUNTIF($E$6:E435,E435)=1),MAX($Q$5:Q434)+1,"")</f>
        <v/>
      </c>
      <c r="R435" t="str">
        <f t="shared" si="13"/>
        <v/>
      </c>
    </row>
    <row r="436" spans="16:18" ht="22.95" customHeight="1">
      <c r="P436">
        <f t="shared" si="12"/>
        <v>0</v>
      </c>
      <c r="Q436" t="str">
        <f>IF(AND(P436&gt;1,COUNTIF($E$6:E436,E436)=1),MAX($Q$5:Q435)+1,"")</f>
        <v/>
      </c>
      <c r="R436" t="str">
        <f t="shared" si="13"/>
        <v/>
      </c>
    </row>
    <row r="437" spans="16:18" ht="22.95" customHeight="1">
      <c r="P437">
        <f t="shared" si="12"/>
        <v>0</v>
      </c>
      <c r="Q437" t="str">
        <f>IF(AND(P437&gt;1,COUNTIF($E$6:E437,E437)=1),MAX($Q$5:Q436)+1,"")</f>
        <v/>
      </c>
      <c r="R437" t="str">
        <f t="shared" si="13"/>
        <v/>
      </c>
    </row>
    <row r="438" spans="16:18" ht="22.95" customHeight="1">
      <c r="P438">
        <f t="shared" si="12"/>
        <v>0</v>
      </c>
      <c r="Q438" t="str">
        <f>IF(AND(P438&gt;1,COUNTIF($E$6:E438,E438)=1),MAX($Q$5:Q437)+1,"")</f>
        <v/>
      </c>
      <c r="R438" t="str">
        <f t="shared" si="13"/>
        <v/>
      </c>
    </row>
    <row r="439" spans="16:18" ht="22.95" customHeight="1">
      <c r="P439">
        <f t="shared" si="12"/>
        <v>0</v>
      </c>
      <c r="Q439" t="str">
        <f>IF(AND(P439&gt;1,COUNTIF($E$6:E439,E439)=1),MAX($Q$5:Q438)+1,"")</f>
        <v/>
      </c>
      <c r="R439" t="str">
        <f t="shared" si="13"/>
        <v/>
      </c>
    </row>
    <row r="440" spans="16:18" ht="22.95" customHeight="1">
      <c r="P440">
        <f t="shared" si="12"/>
        <v>0</v>
      </c>
      <c r="Q440" t="str">
        <f>IF(AND(P440&gt;1,COUNTIF($E$6:E440,E440)=1),MAX($Q$5:Q439)+1,"")</f>
        <v/>
      </c>
      <c r="R440" t="str">
        <f t="shared" si="13"/>
        <v/>
      </c>
    </row>
    <row r="441" spans="16:18" ht="22.95" customHeight="1">
      <c r="P441">
        <f t="shared" si="12"/>
        <v>0</v>
      </c>
      <c r="Q441" t="str">
        <f>IF(AND(P441&gt;1,COUNTIF($E$6:E441,E441)=1),MAX($Q$5:Q440)+1,"")</f>
        <v/>
      </c>
      <c r="R441" t="str">
        <f t="shared" si="13"/>
        <v/>
      </c>
    </row>
    <row r="442" spans="16:18" ht="22.95" customHeight="1">
      <c r="P442">
        <f t="shared" si="12"/>
        <v>0</v>
      </c>
      <c r="Q442" t="str">
        <f>IF(AND(P442&gt;1,COUNTIF($E$6:E442,E442)=1),MAX($Q$5:Q441)+1,"")</f>
        <v/>
      </c>
      <c r="R442" t="str">
        <f t="shared" si="13"/>
        <v/>
      </c>
    </row>
    <row r="443" spans="16:18" ht="22.95" customHeight="1">
      <c r="P443">
        <f t="shared" si="12"/>
        <v>0</v>
      </c>
      <c r="Q443" t="str">
        <f>IF(AND(P443&gt;1,COUNTIF($E$6:E443,E443)=1),MAX($Q$5:Q442)+1,"")</f>
        <v/>
      </c>
      <c r="R443" t="str">
        <f t="shared" si="13"/>
        <v/>
      </c>
    </row>
    <row r="444" spans="16:18" ht="22.95" customHeight="1">
      <c r="P444">
        <f t="shared" si="12"/>
        <v>0</v>
      </c>
      <c r="Q444" t="str">
        <f>IF(AND(P444&gt;1,COUNTIF($E$6:E444,E444)=1),MAX($Q$5:Q443)+1,"")</f>
        <v/>
      </c>
      <c r="R444" t="str">
        <f t="shared" si="13"/>
        <v/>
      </c>
    </row>
    <row r="445" spans="16:18" ht="22.95" customHeight="1">
      <c r="P445">
        <f t="shared" si="12"/>
        <v>0</v>
      </c>
      <c r="Q445" t="str">
        <f>IF(AND(P445&gt;1,COUNTIF($E$6:E445,E445)=1),MAX($Q$5:Q444)+1,"")</f>
        <v/>
      </c>
      <c r="R445" t="str">
        <f t="shared" si="13"/>
        <v/>
      </c>
    </row>
    <row r="446" spans="16:18" ht="22.95" customHeight="1">
      <c r="P446">
        <f t="shared" si="12"/>
        <v>0</v>
      </c>
      <c r="Q446" t="str">
        <f>IF(AND(P446&gt;1,COUNTIF($E$6:E446,E446)=1),MAX($Q$5:Q445)+1,"")</f>
        <v/>
      </c>
      <c r="R446" t="str">
        <f t="shared" si="13"/>
        <v/>
      </c>
    </row>
    <row r="447" spans="16:18" ht="22.95" customHeight="1">
      <c r="P447">
        <f t="shared" si="12"/>
        <v>0</v>
      </c>
      <c r="Q447" t="str">
        <f>IF(AND(P447&gt;1,COUNTIF($E$6:E447,E447)=1),MAX($Q$5:Q446)+1,"")</f>
        <v/>
      </c>
      <c r="R447" t="str">
        <f t="shared" si="13"/>
        <v/>
      </c>
    </row>
    <row r="448" spans="16:18" ht="22.95" customHeight="1">
      <c r="P448">
        <f t="shared" si="12"/>
        <v>0</v>
      </c>
      <c r="Q448" t="str">
        <f>IF(AND(P448&gt;1,COUNTIF($E$6:E448,E448)=1),MAX($Q$5:Q447)+1,"")</f>
        <v/>
      </c>
      <c r="R448" t="str">
        <f t="shared" si="13"/>
        <v/>
      </c>
    </row>
    <row r="449" spans="16:18" ht="22.95" customHeight="1">
      <c r="P449">
        <f t="shared" si="12"/>
        <v>0</v>
      </c>
      <c r="Q449" t="str">
        <f>IF(AND(P449&gt;1,COUNTIF($E$6:E449,E449)=1),MAX($Q$5:Q448)+1,"")</f>
        <v/>
      </c>
      <c r="R449" t="str">
        <f t="shared" si="13"/>
        <v/>
      </c>
    </row>
    <row r="450" spans="16:18" ht="22.95" customHeight="1">
      <c r="P450">
        <f t="shared" si="12"/>
        <v>0</v>
      </c>
      <c r="Q450" t="str">
        <f>IF(AND(P450&gt;1,COUNTIF($E$6:E450,E450)=1),MAX($Q$5:Q449)+1,"")</f>
        <v/>
      </c>
      <c r="R450" t="str">
        <f t="shared" si="13"/>
        <v/>
      </c>
    </row>
    <row r="451" spans="16:18" ht="22.95" customHeight="1">
      <c r="P451">
        <f t="shared" si="12"/>
        <v>0</v>
      </c>
      <c r="Q451" t="str">
        <f>IF(AND(P451&gt;1,COUNTIF($E$6:E451,E451)=1),MAX($Q$5:Q450)+1,"")</f>
        <v/>
      </c>
      <c r="R451" t="str">
        <f t="shared" si="13"/>
        <v/>
      </c>
    </row>
    <row r="452" spans="16:18" ht="22.95" customHeight="1">
      <c r="P452">
        <f t="shared" si="12"/>
        <v>0</v>
      </c>
      <c r="Q452" t="str">
        <f>IF(AND(P452&gt;1,COUNTIF($E$6:E452,E452)=1),MAX($Q$5:Q451)+1,"")</f>
        <v/>
      </c>
      <c r="R452" t="str">
        <f t="shared" si="13"/>
        <v/>
      </c>
    </row>
    <row r="453" spans="16:18" ht="22.95" customHeight="1">
      <c r="P453">
        <f t="shared" si="12"/>
        <v>0</v>
      </c>
      <c r="Q453" t="str">
        <f>IF(AND(P453&gt;1,COUNTIF($E$6:E453,E453)=1),MAX($Q$5:Q452)+1,"")</f>
        <v/>
      </c>
      <c r="R453" t="str">
        <f t="shared" si="13"/>
        <v/>
      </c>
    </row>
    <row r="454" spans="16:18" ht="22.95" customHeight="1">
      <c r="P454">
        <f t="shared" ref="P454:P517" si="14">COUNTIF($E$6:$E$1740,E454)</f>
        <v>0</v>
      </c>
      <c r="Q454" t="str">
        <f>IF(AND(P454&gt;1,COUNTIF($E$6:E454,E454)=1),MAX($Q$5:Q453)+1,"")</f>
        <v/>
      </c>
      <c r="R454" t="str">
        <f t="shared" ref="R454:R517" si="15">IF(Q454="","",IF(COUNTIFS($E$6:$E$1740,E454,$A$6:$A$1740,A454,$C$6:$C$1740,C454)&lt;P454,"LÉGITIME",IF(COUNTIFS($E$6:$E$1740,E454,$A$6:$A$1740,A454,$C$6:$C$1740,C454,$M$6:$M$1740,M454)&lt;P454,"STATUT DIFFÉRENT","VRAI DOUBLON")))</f>
        <v/>
      </c>
    </row>
    <row r="455" spans="16:18" ht="22.95" customHeight="1">
      <c r="P455">
        <f t="shared" si="14"/>
        <v>0</v>
      </c>
      <c r="Q455" t="str">
        <f>IF(AND(P455&gt;1,COUNTIF($E$6:E455,E455)=1),MAX($Q$5:Q454)+1,"")</f>
        <v/>
      </c>
      <c r="R455" t="str">
        <f t="shared" si="15"/>
        <v/>
      </c>
    </row>
    <row r="456" spans="16:18" ht="22.95" customHeight="1">
      <c r="P456">
        <f t="shared" si="14"/>
        <v>0</v>
      </c>
      <c r="Q456" t="str">
        <f>IF(AND(P456&gt;1,COUNTIF($E$6:E456,E456)=1),MAX($Q$5:Q455)+1,"")</f>
        <v/>
      </c>
      <c r="R456" t="str">
        <f t="shared" si="15"/>
        <v/>
      </c>
    </row>
    <row r="457" spans="16:18" ht="22.95" customHeight="1">
      <c r="P457">
        <f t="shared" si="14"/>
        <v>0</v>
      </c>
      <c r="Q457" t="str">
        <f>IF(AND(P457&gt;1,COUNTIF($E$6:E457,E457)=1),MAX($Q$5:Q456)+1,"")</f>
        <v/>
      </c>
      <c r="R457" t="str">
        <f t="shared" si="15"/>
        <v/>
      </c>
    </row>
    <row r="458" spans="16:18" ht="22.95" customHeight="1">
      <c r="P458">
        <f t="shared" si="14"/>
        <v>0</v>
      </c>
      <c r="Q458" t="str">
        <f>IF(AND(P458&gt;1,COUNTIF($E$6:E458,E458)=1),MAX($Q$5:Q457)+1,"")</f>
        <v/>
      </c>
      <c r="R458" t="str">
        <f t="shared" si="15"/>
        <v/>
      </c>
    </row>
    <row r="459" spans="16:18" ht="22.95" customHeight="1">
      <c r="P459">
        <f t="shared" si="14"/>
        <v>0</v>
      </c>
      <c r="Q459" t="str">
        <f>IF(AND(P459&gt;1,COUNTIF($E$6:E459,E459)=1),MAX($Q$5:Q458)+1,"")</f>
        <v/>
      </c>
      <c r="R459" t="str">
        <f t="shared" si="15"/>
        <v/>
      </c>
    </row>
    <row r="460" spans="16:18" ht="22.95" customHeight="1">
      <c r="P460">
        <f t="shared" si="14"/>
        <v>0</v>
      </c>
      <c r="Q460" t="str">
        <f>IF(AND(P460&gt;1,COUNTIF($E$6:E460,E460)=1),MAX($Q$5:Q459)+1,"")</f>
        <v/>
      </c>
      <c r="R460" t="str">
        <f t="shared" si="15"/>
        <v/>
      </c>
    </row>
    <row r="461" spans="16:18" ht="22.95" customHeight="1">
      <c r="P461">
        <f t="shared" si="14"/>
        <v>0</v>
      </c>
      <c r="Q461" t="str">
        <f>IF(AND(P461&gt;1,COUNTIF($E$6:E461,E461)=1),MAX($Q$5:Q460)+1,"")</f>
        <v/>
      </c>
      <c r="R461" t="str">
        <f t="shared" si="15"/>
        <v/>
      </c>
    </row>
    <row r="462" spans="16:18" ht="22.95" customHeight="1">
      <c r="P462">
        <f t="shared" si="14"/>
        <v>0</v>
      </c>
      <c r="Q462" t="str">
        <f>IF(AND(P462&gt;1,COUNTIF($E$6:E462,E462)=1),MAX($Q$5:Q461)+1,"")</f>
        <v/>
      </c>
      <c r="R462" t="str">
        <f t="shared" si="15"/>
        <v/>
      </c>
    </row>
    <row r="463" spans="16:18" ht="22.95" customHeight="1">
      <c r="P463">
        <f t="shared" si="14"/>
        <v>0</v>
      </c>
      <c r="Q463" t="str">
        <f>IF(AND(P463&gt;1,COUNTIF($E$6:E463,E463)=1),MAX($Q$5:Q462)+1,"")</f>
        <v/>
      </c>
      <c r="R463" t="str">
        <f t="shared" si="15"/>
        <v/>
      </c>
    </row>
    <row r="464" spans="16:18" ht="22.95" customHeight="1">
      <c r="P464">
        <f t="shared" si="14"/>
        <v>0</v>
      </c>
      <c r="Q464" t="str">
        <f>IF(AND(P464&gt;1,COUNTIF($E$6:E464,E464)=1),MAX($Q$5:Q463)+1,"")</f>
        <v/>
      </c>
      <c r="R464" t="str">
        <f t="shared" si="15"/>
        <v/>
      </c>
    </row>
    <row r="465" spans="16:18" ht="22.95" customHeight="1">
      <c r="P465">
        <f t="shared" si="14"/>
        <v>0</v>
      </c>
      <c r="Q465" t="str">
        <f>IF(AND(P465&gt;1,COUNTIF($E$6:E465,E465)=1),MAX($Q$5:Q464)+1,"")</f>
        <v/>
      </c>
      <c r="R465" t="str">
        <f t="shared" si="15"/>
        <v/>
      </c>
    </row>
    <row r="466" spans="16:18" ht="22.95" customHeight="1">
      <c r="P466">
        <f t="shared" si="14"/>
        <v>0</v>
      </c>
      <c r="Q466" t="str">
        <f>IF(AND(P466&gt;1,COUNTIF($E$6:E466,E466)=1),MAX($Q$5:Q465)+1,"")</f>
        <v/>
      </c>
      <c r="R466" t="str">
        <f t="shared" si="15"/>
        <v/>
      </c>
    </row>
    <row r="467" spans="16:18" ht="22.95" customHeight="1">
      <c r="P467">
        <f t="shared" si="14"/>
        <v>0</v>
      </c>
      <c r="Q467" t="str">
        <f>IF(AND(P467&gt;1,COUNTIF($E$6:E467,E467)=1),MAX($Q$5:Q466)+1,"")</f>
        <v/>
      </c>
      <c r="R467" t="str">
        <f t="shared" si="15"/>
        <v/>
      </c>
    </row>
    <row r="468" spans="16:18" ht="22.95" customHeight="1">
      <c r="P468">
        <f t="shared" si="14"/>
        <v>0</v>
      </c>
      <c r="Q468" t="str">
        <f>IF(AND(P468&gt;1,COUNTIF($E$6:E468,E468)=1),MAX($Q$5:Q467)+1,"")</f>
        <v/>
      </c>
      <c r="R468" t="str">
        <f t="shared" si="15"/>
        <v/>
      </c>
    </row>
    <row r="469" spans="16:18" ht="22.95" customHeight="1">
      <c r="P469">
        <f t="shared" si="14"/>
        <v>0</v>
      </c>
      <c r="Q469" t="str">
        <f>IF(AND(P469&gt;1,COUNTIF($E$6:E469,E469)=1),MAX($Q$5:Q468)+1,"")</f>
        <v/>
      </c>
      <c r="R469" t="str">
        <f t="shared" si="15"/>
        <v/>
      </c>
    </row>
    <row r="470" spans="16:18" ht="22.95" customHeight="1">
      <c r="P470">
        <f t="shared" si="14"/>
        <v>0</v>
      </c>
      <c r="Q470" t="str">
        <f>IF(AND(P470&gt;1,COUNTIF($E$6:E470,E470)=1),MAX($Q$5:Q469)+1,"")</f>
        <v/>
      </c>
      <c r="R470" t="str">
        <f t="shared" si="15"/>
        <v/>
      </c>
    </row>
    <row r="471" spans="16:18" ht="22.95" customHeight="1">
      <c r="P471">
        <f t="shared" si="14"/>
        <v>0</v>
      </c>
      <c r="Q471" t="str">
        <f>IF(AND(P471&gt;1,COUNTIF($E$6:E471,E471)=1),MAX($Q$5:Q470)+1,"")</f>
        <v/>
      </c>
      <c r="R471" t="str">
        <f t="shared" si="15"/>
        <v/>
      </c>
    </row>
    <row r="472" spans="16:18" ht="22.95" customHeight="1">
      <c r="P472">
        <f t="shared" si="14"/>
        <v>0</v>
      </c>
      <c r="Q472" t="str">
        <f>IF(AND(P472&gt;1,COUNTIF($E$6:E472,E472)=1),MAX($Q$5:Q471)+1,"")</f>
        <v/>
      </c>
      <c r="R472" t="str">
        <f t="shared" si="15"/>
        <v/>
      </c>
    </row>
    <row r="473" spans="16:18" ht="22.95" customHeight="1">
      <c r="P473">
        <f t="shared" si="14"/>
        <v>0</v>
      </c>
      <c r="Q473" t="str">
        <f>IF(AND(P473&gt;1,COUNTIF($E$6:E473,E473)=1),MAX($Q$5:Q472)+1,"")</f>
        <v/>
      </c>
      <c r="R473" t="str">
        <f t="shared" si="15"/>
        <v/>
      </c>
    </row>
    <row r="474" spans="16:18" ht="22.95" customHeight="1">
      <c r="P474">
        <f t="shared" si="14"/>
        <v>0</v>
      </c>
      <c r="Q474" t="str">
        <f>IF(AND(P474&gt;1,COUNTIF($E$6:E474,E474)=1),MAX($Q$5:Q473)+1,"")</f>
        <v/>
      </c>
      <c r="R474" t="str">
        <f t="shared" si="15"/>
        <v/>
      </c>
    </row>
    <row r="475" spans="16:18" ht="22.95" customHeight="1">
      <c r="P475">
        <f t="shared" si="14"/>
        <v>0</v>
      </c>
      <c r="Q475" t="str">
        <f>IF(AND(P475&gt;1,COUNTIF($E$6:E475,E475)=1),MAX($Q$5:Q474)+1,"")</f>
        <v/>
      </c>
      <c r="R475" t="str">
        <f t="shared" si="15"/>
        <v/>
      </c>
    </row>
    <row r="476" spans="16:18" ht="22.95" customHeight="1">
      <c r="P476">
        <f t="shared" si="14"/>
        <v>0</v>
      </c>
      <c r="Q476" t="str">
        <f>IF(AND(P476&gt;1,COUNTIF($E$6:E476,E476)=1),MAX($Q$5:Q475)+1,"")</f>
        <v/>
      </c>
      <c r="R476" t="str">
        <f t="shared" si="15"/>
        <v/>
      </c>
    </row>
    <row r="477" spans="16:18" ht="22.95" customHeight="1">
      <c r="P477">
        <f t="shared" si="14"/>
        <v>0</v>
      </c>
      <c r="Q477" t="str">
        <f>IF(AND(P477&gt;1,COUNTIF($E$6:E477,E477)=1),MAX($Q$5:Q476)+1,"")</f>
        <v/>
      </c>
      <c r="R477" t="str">
        <f t="shared" si="15"/>
        <v/>
      </c>
    </row>
    <row r="478" spans="16:18" ht="22.95" customHeight="1">
      <c r="P478">
        <f t="shared" si="14"/>
        <v>0</v>
      </c>
      <c r="Q478" t="str">
        <f>IF(AND(P478&gt;1,COUNTIF($E$6:E478,E478)=1),MAX($Q$5:Q477)+1,"")</f>
        <v/>
      </c>
      <c r="R478" t="str">
        <f t="shared" si="15"/>
        <v/>
      </c>
    </row>
    <row r="479" spans="16:18" ht="22.95" customHeight="1">
      <c r="P479">
        <f t="shared" si="14"/>
        <v>0</v>
      </c>
      <c r="Q479" t="str">
        <f>IF(AND(P479&gt;1,COUNTIF($E$6:E479,E479)=1),MAX($Q$5:Q478)+1,"")</f>
        <v/>
      </c>
      <c r="R479" t="str">
        <f t="shared" si="15"/>
        <v/>
      </c>
    </row>
    <row r="480" spans="16:18" ht="22.95" customHeight="1">
      <c r="P480">
        <f t="shared" si="14"/>
        <v>0</v>
      </c>
      <c r="Q480" t="str">
        <f>IF(AND(P480&gt;1,COUNTIF($E$6:E480,E480)=1),MAX($Q$5:Q479)+1,"")</f>
        <v/>
      </c>
      <c r="R480" t="str">
        <f t="shared" si="15"/>
        <v/>
      </c>
    </row>
    <row r="481" spans="16:18" ht="22.95" customHeight="1">
      <c r="P481">
        <f t="shared" si="14"/>
        <v>0</v>
      </c>
      <c r="Q481" t="str">
        <f>IF(AND(P481&gt;1,COUNTIF($E$6:E481,E481)=1),MAX($Q$5:Q480)+1,"")</f>
        <v/>
      </c>
      <c r="R481" t="str">
        <f t="shared" si="15"/>
        <v/>
      </c>
    </row>
    <row r="482" spans="16:18" ht="22.95" customHeight="1">
      <c r="P482">
        <f t="shared" si="14"/>
        <v>0</v>
      </c>
      <c r="Q482" t="str">
        <f>IF(AND(P482&gt;1,COUNTIF($E$6:E482,E482)=1),MAX($Q$5:Q481)+1,"")</f>
        <v/>
      </c>
      <c r="R482" t="str">
        <f t="shared" si="15"/>
        <v/>
      </c>
    </row>
    <row r="483" spans="16:18" ht="22.95" customHeight="1">
      <c r="P483">
        <f t="shared" si="14"/>
        <v>0</v>
      </c>
      <c r="Q483" t="str">
        <f>IF(AND(P483&gt;1,COUNTIF($E$6:E483,E483)=1),MAX($Q$5:Q482)+1,"")</f>
        <v/>
      </c>
      <c r="R483" t="str">
        <f t="shared" si="15"/>
        <v/>
      </c>
    </row>
    <row r="484" spans="16:18" ht="22.95" customHeight="1">
      <c r="P484">
        <f t="shared" si="14"/>
        <v>0</v>
      </c>
      <c r="Q484" t="str">
        <f>IF(AND(P484&gt;1,COUNTIF($E$6:E484,E484)=1),MAX($Q$5:Q483)+1,"")</f>
        <v/>
      </c>
      <c r="R484" t="str">
        <f t="shared" si="15"/>
        <v/>
      </c>
    </row>
    <row r="485" spans="16:18" ht="22.95" customHeight="1">
      <c r="P485">
        <f t="shared" si="14"/>
        <v>0</v>
      </c>
      <c r="Q485" t="str">
        <f>IF(AND(P485&gt;1,COUNTIF($E$6:E485,E485)=1),MAX($Q$5:Q484)+1,"")</f>
        <v/>
      </c>
      <c r="R485" t="str">
        <f t="shared" si="15"/>
        <v/>
      </c>
    </row>
    <row r="486" spans="16:18" ht="22.95" customHeight="1">
      <c r="P486">
        <f t="shared" si="14"/>
        <v>0</v>
      </c>
      <c r="Q486" t="str">
        <f>IF(AND(P486&gt;1,COUNTIF($E$6:E486,E486)=1),MAX($Q$5:Q485)+1,"")</f>
        <v/>
      </c>
      <c r="R486" t="str">
        <f t="shared" si="15"/>
        <v/>
      </c>
    </row>
    <row r="487" spans="16:18" ht="22.95" customHeight="1">
      <c r="P487">
        <f t="shared" si="14"/>
        <v>0</v>
      </c>
      <c r="Q487" t="str">
        <f>IF(AND(P487&gt;1,COUNTIF($E$6:E487,E487)=1),MAX($Q$5:Q486)+1,"")</f>
        <v/>
      </c>
      <c r="R487" t="str">
        <f t="shared" si="15"/>
        <v/>
      </c>
    </row>
    <row r="488" spans="16:18" ht="22.95" customHeight="1">
      <c r="P488">
        <f t="shared" si="14"/>
        <v>0</v>
      </c>
      <c r="Q488" t="str">
        <f>IF(AND(P488&gt;1,COUNTIF($E$6:E488,E488)=1),MAX($Q$5:Q487)+1,"")</f>
        <v/>
      </c>
      <c r="R488" t="str">
        <f t="shared" si="15"/>
        <v/>
      </c>
    </row>
    <row r="489" spans="16:18" ht="22.95" customHeight="1">
      <c r="P489">
        <f t="shared" si="14"/>
        <v>0</v>
      </c>
      <c r="Q489" t="str">
        <f>IF(AND(P489&gt;1,COUNTIF($E$6:E489,E489)=1),MAX($Q$5:Q488)+1,"")</f>
        <v/>
      </c>
      <c r="R489" t="str">
        <f t="shared" si="15"/>
        <v/>
      </c>
    </row>
    <row r="490" spans="16:18" ht="22.95" customHeight="1">
      <c r="P490">
        <f t="shared" si="14"/>
        <v>0</v>
      </c>
      <c r="Q490" t="str">
        <f>IF(AND(P490&gt;1,COUNTIF($E$6:E490,E490)=1),MAX($Q$5:Q489)+1,"")</f>
        <v/>
      </c>
      <c r="R490" t="str">
        <f t="shared" si="15"/>
        <v/>
      </c>
    </row>
    <row r="491" spans="16:18" ht="22.95" customHeight="1">
      <c r="P491">
        <f t="shared" si="14"/>
        <v>0</v>
      </c>
      <c r="Q491" t="str">
        <f>IF(AND(P491&gt;1,COUNTIF($E$6:E491,E491)=1),MAX($Q$5:Q490)+1,"")</f>
        <v/>
      </c>
      <c r="R491" t="str">
        <f t="shared" si="15"/>
        <v/>
      </c>
    </row>
    <row r="492" spans="16:18" ht="22.95" customHeight="1">
      <c r="P492">
        <f t="shared" si="14"/>
        <v>0</v>
      </c>
      <c r="Q492" t="str">
        <f>IF(AND(P492&gt;1,COUNTIF($E$6:E492,E492)=1),MAX($Q$5:Q491)+1,"")</f>
        <v/>
      </c>
      <c r="R492" t="str">
        <f t="shared" si="15"/>
        <v/>
      </c>
    </row>
    <row r="493" spans="16:18" ht="22.95" customHeight="1">
      <c r="P493">
        <f t="shared" si="14"/>
        <v>0</v>
      </c>
      <c r="Q493" t="str">
        <f>IF(AND(P493&gt;1,COUNTIF($E$6:E493,E493)=1),MAX($Q$5:Q492)+1,"")</f>
        <v/>
      </c>
      <c r="R493" t="str">
        <f t="shared" si="15"/>
        <v/>
      </c>
    </row>
    <row r="494" spans="16:18" ht="22.95" customHeight="1">
      <c r="P494">
        <f t="shared" si="14"/>
        <v>0</v>
      </c>
      <c r="Q494" t="str">
        <f>IF(AND(P494&gt;1,COUNTIF($E$6:E494,E494)=1),MAX($Q$5:Q493)+1,"")</f>
        <v/>
      </c>
      <c r="R494" t="str">
        <f t="shared" si="15"/>
        <v/>
      </c>
    </row>
    <row r="495" spans="16:18" ht="22.95" customHeight="1">
      <c r="P495">
        <f t="shared" si="14"/>
        <v>0</v>
      </c>
      <c r="Q495" t="str">
        <f>IF(AND(P495&gt;1,COUNTIF($E$6:E495,E495)=1),MAX($Q$5:Q494)+1,"")</f>
        <v/>
      </c>
      <c r="R495" t="str">
        <f t="shared" si="15"/>
        <v/>
      </c>
    </row>
    <row r="496" spans="16:18" ht="22.95" customHeight="1">
      <c r="P496">
        <f t="shared" si="14"/>
        <v>0</v>
      </c>
      <c r="Q496" t="str">
        <f>IF(AND(P496&gt;1,COUNTIF($E$6:E496,E496)=1),MAX($Q$5:Q495)+1,"")</f>
        <v/>
      </c>
      <c r="R496" t="str">
        <f t="shared" si="15"/>
        <v/>
      </c>
    </row>
    <row r="497" spans="16:18" ht="22.95" customHeight="1">
      <c r="P497">
        <f t="shared" si="14"/>
        <v>0</v>
      </c>
      <c r="Q497" t="str">
        <f>IF(AND(P497&gt;1,COUNTIF($E$6:E497,E497)=1),MAX($Q$5:Q496)+1,"")</f>
        <v/>
      </c>
      <c r="R497" t="str">
        <f t="shared" si="15"/>
        <v/>
      </c>
    </row>
    <row r="498" spans="16:18" ht="22.95" customHeight="1">
      <c r="P498">
        <f t="shared" si="14"/>
        <v>0</v>
      </c>
      <c r="Q498" t="str">
        <f>IF(AND(P498&gt;1,COUNTIF($E$6:E498,E498)=1),MAX($Q$5:Q497)+1,"")</f>
        <v/>
      </c>
      <c r="R498" t="str">
        <f t="shared" si="15"/>
        <v/>
      </c>
    </row>
    <row r="499" spans="16:18" ht="22.95" customHeight="1">
      <c r="P499">
        <f t="shared" si="14"/>
        <v>0</v>
      </c>
      <c r="Q499" t="str">
        <f>IF(AND(P499&gt;1,COUNTIF($E$6:E499,E499)=1),MAX($Q$5:Q498)+1,"")</f>
        <v/>
      </c>
      <c r="R499" t="str">
        <f t="shared" si="15"/>
        <v/>
      </c>
    </row>
    <row r="500" spans="16:18" ht="22.95" customHeight="1">
      <c r="P500">
        <f t="shared" si="14"/>
        <v>0</v>
      </c>
      <c r="Q500" t="str">
        <f>IF(AND(P500&gt;1,COUNTIF($E$6:E500,E500)=1),MAX($Q$5:Q499)+1,"")</f>
        <v/>
      </c>
      <c r="R500" t="str">
        <f t="shared" si="15"/>
        <v/>
      </c>
    </row>
    <row r="501" spans="16:18" ht="22.95" customHeight="1">
      <c r="P501">
        <f t="shared" si="14"/>
        <v>0</v>
      </c>
      <c r="Q501" t="str">
        <f>IF(AND(P501&gt;1,COUNTIF($E$6:E501,E501)=1),MAX($Q$5:Q500)+1,"")</f>
        <v/>
      </c>
      <c r="R501" t="str">
        <f t="shared" si="15"/>
        <v/>
      </c>
    </row>
    <row r="502" spans="16:18" ht="22.95" customHeight="1">
      <c r="P502">
        <f t="shared" si="14"/>
        <v>0</v>
      </c>
      <c r="Q502" t="str">
        <f>IF(AND(P502&gt;1,COUNTIF($E$6:E502,E502)=1),MAX($Q$5:Q501)+1,"")</f>
        <v/>
      </c>
      <c r="R502" t="str">
        <f t="shared" si="15"/>
        <v/>
      </c>
    </row>
    <row r="503" spans="16:18" ht="22.95" customHeight="1">
      <c r="P503">
        <f t="shared" si="14"/>
        <v>0</v>
      </c>
      <c r="Q503" t="str">
        <f>IF(AND(P503&gt;1,COUNTIF($E$6:E503,E503)=1),MAX($Q$5:Q502)+1,"")</f>
        <v/>
      </c>
      <c r="R503" t="str">
        <f t="shared" si="15"/>
        <v/>
      </c>
    </row>
    <row r="504" spans="16:18" ht="22.95" customHeight="1">
      <c r="P504">
        <f t="shared" si="14"/>
        <v>0</v>
      </c>
      <c r="Q504" t="str">
        <f>IF(AND(P504&gt;1,COUNTIF($E$6:E504,E504)=1),MAX($Q$5:Q503)+1,"")</f>
        <v/>
      </c>
      <c r="R504" t="str">
        <f t="shared" si="15"/>
        <v/>
      </c>
    </row>
    <row r="505" spans="16:18" ht="22.95" customHeight="1">
      <c r="P505">
        <f t="shared" si="14"/>
        <v>0</v>
      </c>
      <c r="Q505" t="str">
        <f>IF(AND(P505&gt;1,COUNTIF($E$6:E505,E505)=1),MAX($Q$5:Q504)+1,"")</f>
        <v/>
      </c>
      <c r="R505" t="str">
        <f t="shared" si="15"/>
        <v/>
      </c>
    </row>
    <row r="506" spans="16:18" ht="22.95" customHeight="1">
      <c r="P506">
        <f t="shared" si="14"/>
        <v>0</v>
      </c>
      <c r="Q506" t="str">
        <f>IF(AND(P506&gt;1,COUNTIF($E$6:E506,E506)=1),MAX($Q$5:Q505)+1,"")</f>
        <v/>
      </c>
      <c r="R506" t="str">
        <f t="shared" si="15"/>
        <v/>
      </c>
    </row>
    <row r="507" spans="16:18" ht="22.95" customHeight="1">
      <c r="P507">
        <f t="shared" si="14"/>
        <v>0</v>
      </c>
      <c r="Q507" t="str">
        <f>IF(AND(P507&gt;1,COUNTIF($E$6:E507,E507)=1),MAX($Q$5:Q506)+1,"")</f>
        <v/>
      </c>
      <c r="R507" t="str">
        <f t="shared" si="15"/>
        <v/>
      </c>
    </row>
    <row r="508" spans="16:18" ht="22.95" customHeight="1">
      <c r="P508">
        <f t="shared" si="14"/>
        <v>0</v>
      </c>
      <c r="Q508" t="str">
        <f>IF(AND(P508&gt;1,COUNTIF($E$6:E508,E508)=1),MAX($Q$5:Q507)+1,"")</f>
        <v/>
      </c>
      <c r="R508" t="str">
        <f t="shared" si="15"/>
        <v/>
      </c>
    </row>
    <row r="509" spans="16:18" ht="22.95" customHeight="1">
      <c r="P509">
        <f t="shared" si="14"/>
        <v>0</v>
      </c>
      <c r="Q509" t="str">
        <f>IF(AND(P509&gt;1,COUNTIF($E$6:E509,E509)=1),MAX($Q$5:Q508)+1,"")</f>
        <v/>
      </c>
      <c r="R509" t="str">
        <f t="shared" si="15"/>
        <v/>
      </c>
    </row>
    <row r="510" spans="16:18" ht="22.95" customHeight="1">
      <c r="P510">
        <f t="shared" si="14"/>
        <v>0</v>
      </c>
      <c r="Q510" t="str">
        <f>IF(AND(P510&gt;1,COUNTIF($E$6:E510,E510)=1),MAX($Q$5:Q509)+1,"")</f>
        <v/>
      </c>
      <c r="R510" t="str">
        <f t="shared" si="15"/>
        <v/>
      </c>
    </row>
    <row r="511" spans="16:18" ht="22.95" customHeight="1">
      <c r="P511">
        <f t="shared" si="14"/>
        <v>0</v>
      </c>
      <c r="Q511" t="str">
        <f>IF(AND(P511&gt;1,COUNTIF($E$6:E511,E511)=1),MAX($Q$5:Q510)+1,"")</f>
        <v/>
      </c>
      <c r="R511" t="str">
        <f t="shared" si="15"/>
        <v/>
      </c>
    </row>
    <row r="512" spans="16:18" ht="22.95" customHeight="1">
      <c r="P512">
        <f t="shared" si="14"/>
        <v>0</v>
      </c>
      <c r="Q512" t="str">
        <f>IF(AND(P512&gt;1,COUNTIF($E$6:E512,E512)=1),MAX($Q$5:Q511)+1,"")</f>
        <v/>
      </c>
      <c r="R512" t="str">
        <f t="shared" si="15"/>
        <v/>
      </c>
    </row>
    <row r="513" spans="16:18" ht="22.95" customHeight="1">
      <c r="P513">
        <f t="shared" si="14"/>
        <v>0</v>
      </c>
      <c r="Q513" t="str">
        <f>IF(AND(P513&gt;1,COUNTIF($E$6:E513,E513)=1),MAX($Q$5:Q512)+1,"")</f>
        <v/>
      </c>
      <c r="R513" t="str">
        <f t="shared" si="15"/>
        <v/>
      </c>
    </row>
    <row r="514" spans="16:18" ht="22.95" customHeight="1">
      <c r="P514">
        <f t="shared" si="14"/>
        <v>0</v>
      </c>
      <c r="Q514" t="str">
        <f>IF(AND(P514&gt;1,COUNTIF($E$6:E514,E514)=1),MAX($Q$5:Q513)+1,"")</f>
        <v/>
      </c>
      <c r="R514" t="str">
        <f t="shared" si="15"/>
        <v/>
      </c>
    </row>
    <row r="515" spans="16:18" ht="22.95" customHeight="1">
      <c r="P515">
        <f t="shared" si="14"/>
        <v>0</v>
      </c>
      <c r="Q515" t="str">
        <f>IF(AND(P515&gt;1,COUNTIF($E$6:E515,E515)=1),MAX($Q$5:Q514)+1,"")</f>
        <v/>
      </c>
      <c r="R515" t="str">
        <f t="shared" si="15"/>
        <v/>
      </c>
    </row>
    <row r="516" spans="16:18" ht="22.95" customHeight="1">
      <c r="P516">
        <f t="shared" si="14"/>
        <v>0</v>
      </c>
      <c r="Q516" t="str">
        <f>IF(AND(P516&gt;1,COUNTIF($E$6:E516,E516)=1),MAX($Q$5:Q515)+1,"")</f>
        <v/>
      </c>
      <c r="R516" t="str">
        <f t="shared" si="15"/>
        <v/>
      </c>
    </row>
    <row r="517" spans="16:18" ht="22.95" customHeight="1">
      <c r="P517">
        <f t="shared" si="14"/>
        <v>0</v>
      </c>
      <c r="Q517" t="str">
        <f>IF(AND(P517&gt;1,COUNTIF($E$6:E517,E517)=1),MAX($Q$5:Q516)+1,"")</f>
        <v/>
      </c>
      <c r="R517" t="str">
        <f t="shared" si="15"/>
        <v/>
      </c>
    </row>
    <row r="518" spans="16:18" ht="22.95" customHeight="1">
      <c r="P518">
        <f t="shared" ref="P518:P581" si="16">COUNTIF($E$6:$E$1740,E518)</f>
        <v>0</v>
      </c>
      <c r="Q518" t="str">
        <f>IF(AND(P518&gt;1,COUNTIF($E$6:E518,E518)=1),MAX($Q$5:Q517)+1,"")</f>
        <v/>
      </c>
      <c r="R518" t="str">
        <f t="shared" ref="R518:R581" si="17">IF(Q518="","",IF(COUNTIFS($E$6:$E$1740,E518,$A$6:$A$1740,A518,$C$6:$C$1740,C518)&lt;P518,"LÉGITIME",IF(COUNTIFS($E$6:$E$1740,E518,$A$6:$A$1740,A518,$C$6:$C$1740,C518,$M$6:$M$1740,M518)&lt;P518,"STATUT DIFFÉRENT","VRAI DOUBLON")))</f>
        <v/>
      </c>
    </row>
    <row r="519" spans="16:18" ht="22.95" customHeight="1">
      <c r="P519">
        <f t="shared" si="16"/>
        <v>0</v>
      </c>
      <c r="Q519" t="str">
        <f>IF(AND(P519&gt;1,COUNTIF($E$6:E519,E519)=1),MAX($Q$5:Q518)+1,"")</f>
        <v/>
      </c>
      <c r="R519" t="str">
        <f t="shared" si="17"/>
        <v/>
      </c>
    </row>
    <row r="520" spans="16:18" ht="22.95" customHeight="1">
      <c r="P520">
        <f t="shared" si="16"/>
        <v>0</v>
      </c>
      <c r="Q520" t="str">
        <f>IF(AND(P520&gt;1,COUNTIF($E$6:E520,E520)=1),MAX($Q$5:Q519)+1,"")</f>
        <v/>
      </c>
      <c r="R520" t="str">
        <f t="shared" si="17"/>
        <v/>
      </c>
    </row>
    <row r="521" spans="16:18" ht="22.95" customHeight="1">
      <c r="P521">
        <f t="shared" si="16"/>
        <v>0</v>
      </c>
      <c r="Q521" t="str">
        <f>IF(AND(P521&gt;1,COUNTIF($E$6:E521,E521)=1),MAX($Q$5:Q520)+1,"")</f>
        <v/>
      </c>
      <c r="R521" t="str">
        <f t="shared" si="17"/>
        <v/>
      </c>
    </row>
    <row r="522" spans="16:18" ht="22.95" customHeight="1">
      <c r="P522">
        <f t="shared" si="16"/>
        <v>0</v>
      </c>
      <c r="Q522" t="str">
        <f>IF(AND(P522&gt;1,COUNTIF($E$6:E522,E522)=1),MAX($Q$5:Q521)+1,"")</f>
        <v/>
      </c>
      <c r="R522" t="str">
        <f t="shared" si="17"/>
        <v/>
      </c>
    </row>
    <row r="523" spans="16:18" ht="22.95" customHeight="1">
      <c r="P523">
        <f t="shared" si="16"/>
        <v>0</v>
      </c>
      <c r="Q523" t="str">
        <f>IF(AND(P523&gt;1,COUNTIF($E$6:E523,E523)=1),MAX($Q$5:Q522)+1,"")</f>
        <v/>
      </c>
      <c r="R523" t="str">
        <f t="shared" si="17"/>
        <v/>
      </c>
    </row>
    <row r="524" spans="16:18" ht="22.95" customHeight="1">
      <c r="P524">
        <f t="shared" si="16"/>
        <v>0</v>
      </c>
      <c r="Q524" t="str">
        <f>IF(AND(P524&gt;1,COUNTIF($E$6:E524,E524)=1),MAX($Q$5:Q523)+1,"")</f>
        <v/>
      </c>
      <c r="R524" t="str">
        <f t="shared" si="17"/>
        <v/>
      </c>
    </row>
    <row r="525" spans="16:18" ht="22.95" customHeight="1">
      <c r="P525">
        <f t="shared" si="16"/>
        <v>0</v>
      </c>
      <c r="Q525" t="str">
        <f>IF(AND(P525&gt;1,COUNTIF($E$6:E525,E525)=1),MAX($Q$5:Q524)+1,"")</f>
        <v/>
      </c>
      <c r="R525" t="str">
        <f t="shared" si="17"/>
        <v/>
      </c>
    </row>
    <row r="526" spans="16:18" ht="22.95" customHeight="1">
      <c r="P526">
        <f t="shared" si="16"/>
        <v>0</v>
      </c>
      <c r="Q526" t="str">
        <f>IF(AND(P526&gt;1,COUNTIF($E$6:E526,E526)=1),MAX($Q$5:Q525)+1,"")</f>
        <v/>
      </c>
      <c r="R526" t="str">
        <f t="shared" si="17"/>
        <v/>
      </c>
    </row>
    <row r="527" spans="16:18" ht="22.95" customHeight="1">
      <c r="P527">
        <f t="shared" si="16"/>
        <v>0</v>
      </c>
      <c r="Q527" t="str">
        <f>IF(AND(P527&gt;1,COUNTIF($E$6:E527,E527)=1),MAX($Q$5:Q526)+1,"")</f>
        <v/>
      </c>
      <c r="R527" t="str">
        <f t="shared" si="17"/>
        <v/>
      </c>
    </row>
    <row r="528" spans="16:18" ht="22.95" customHeight="1">
      <c r="P528">
        <f t="shared" si="16"/>
        <v>0</v>
      </c>
      <c r="Q528" t="str">
        <f>IF(AND(P528&gt;1,COUNTIF($E$6:E528,E528)=1),MAX($Q$5:Q527)+1,"")</f>
        <v/>
      </c>
      <c r="R528" t="str">
        <f t="shared" si="17"/>
        <v/>
      </c>
    </row>
    <row r="529" spans="16:18" ht="22.95" customHeight="1">
      <c r="P529">
        <f t="shared" si="16"/>
        <v>0</v>
      </c>
      <c r="Q529" t="str">
        <f>IF(AND(P529&gt;1,COUNTIF($E$6:E529,E529)=1),MAX($Q$5:Q528)+1,"")</f>
        <v/>
      </c>
      <c r="R529" t="str">
        <f t="shared" si="17"/>
        <v/>
      </c>
    </row>
    <row r="530" spans="16:18" ht="22.95" customHeight="1">
      <c r="P530">
        <f t="shared" si="16"/>
        <v>0</v>
      </c>
      <c r="Q530" t="str">
        <f>IF(AND(P530&gt;1,COUNTIF($E$6:E530,E530)=1),MAX($Q$5:Q529)+1,"")</f>
        <v/>
      </c>
      <c r="R530" t="str">
        <f t="shared" si="17"/>
        <v/>
      </c>
    </row>
    <row r="531" spans="16:18" ht="22.95" customHeight="1">
      <c r="P531">
        <f t="shared" si="16"/>
        <v>0</v>
      </c>
      <c r="Q531" t="str">
        <f>IF(AND(P531&gt;1,COUNTIF($E$6:E531,E531)=1),MAX($Q$5:Q530)+1,"")</f>
        <v/>
      </c>
      <c r="R531" t="str">
        <f t="shared" si="17"/>
        <v/>
      </c>
    </row>
    <row r="532" spans="16:18" ht="22.95" customHeight="1">
      <c r="P532">
        <f t="shared" si="16"/>
        <v>0</v>
      </c>
      <c r="Q532" t="str">
        <f>IF(AND(P532&gt;1,COUNTIF($E$6:E532,E532)=1),MAX($Q$5:Q531)+1,"")</f>
        <v/>
      </c>
      <c r="R532" t="str">
        <f t="shared" si="17"/>
        <v/>
      </c>
    </row>
    <row r="533" spans="16:18" ht="22.95" customHeight="1">
      <c r="P533">
        <f t="shared" si="16"/>
        <v>0</v>
      </c>
      <c r="Q533" t="str">
        <f>IF(AND(P533&gt;1,COUNTIF($E$6:E533,E533)=1),MAX($Q$5:Q532)+1,"")</f>
        <v/>
      </c>
      <c r="R533" t="str">
        <f t="shared" si="17"/>
        <v/>
      </c>
    </row>
    <row r="534" spans="16:18" ht="22.95" customHeight="1">
      <c r="P534">
        <f t="shared" si="16"/>
        <v>0</v>
      </c>
      <c r="Q534" t="str">
        <f>IF(AND(P534&gt;1,COUNTIF($E$6:E534,E534)=1),MAX($Q$5:Q533)+1,"")</f>
        <v/>
      </c>
      <c r="R534" t="str">
        <f t="shared" si="17"/>
        <v/>
      </c>
    </row>
    <row r="535" spans="16:18" ht="22.95" customHeight="1">
      <c r="P535">
        <f t="shared" si="16"/>
        <v>0</v>
      </c>
      <c r="Q535" t="str">
        <f>IF(AND(P535&gt;1,COUNTIF($E$6:E535,E535)=1),MAX($Q$5:Q534)+1,"")</f>
        <v/>
      </c>
      <c r="R535" t="str">
        <f t="shared" si="17"/>
        <v/>
      </c>
    </row>
    <row r="536" spans="16:18" ht="22.95" customHeight="1">
      <c r="P536">
        <f t="shared" si="16"/>
        <v>0</v>
      </c>
      <c r="Q536" t="str">
        <f>IF(AND(P536&gt;1,COUNTIF($E$6:E536,E536)=1),MAX($Q$5:Q535)+1,"")</f>
        <v/>
      </c>
      <c r="R536" t="str">
        <f t="shared" si="17"/>
        <v/>
      </c>
    </row>
    <row r="537" spans="16:18" ht="22.95" customHeight="1">
      <c r="P537">
        <f t="shared" si="16"/>
        <v>0</v>
      </c>
      <c r="Q537" t="str">
        <f>IF(AND(P537&gt;1,COUNTIF($E$6:E537,E537)=1),MAX($Q$5:Q536)+1,"")</f>
        <v/>
      </c>
      <c r="R537" t="str">
        <f t="shared" si="17"/>
        <v/>
      </c>
    </row>
    <row r="538" spans="16:18" ht="22.95" customHeight="1">
      <c r="P538">
        <f t="shared" si="16"/>
        <v>0</v>
      </c>
      <c r="Q538" t="str">
        <f>IF(AND(P538&gt;1,COUNTIF($E$6:E538,E538)=1),MAX($Q$5:Q537)+1,"")</f>
        <v/>
      </c>
      <c r="R538" t="str">
        <f t="shared" si="17"/>
        <v/>
      </c>
    </row>
    <row r="539" spans="16:18" ht="22.95" customHeight="1">
      <c r="P539">
        <f t="shared" si="16"/>
        <v>0</v>
      </c>
      <c r="Q539" t="str">
        <f>IF(AND(P539&gt;1,COUNTIF($E$6:E539,E539)=1),MAX($Q$5:Q538)+1,"")</f>
        <v/>
      </c>
      <c r="R539" t="str">
        <f t="shared" si="17"/>
        <v/>
      </c>
    </row>
    <row r="540" spans="16:18" ht="22.95" customHeight="1">
      <c r="P540">
        <f t="shared" si="16"/>
        <v>0</v>
      </c>
      <c r="Q540" t="str">
        <f>IF(AND(P540&gt;1,COUNTIF($E$6:E540,E540)=1),MAX($Q$5:Q539)+1,"")</f>
        <v/>
      </c>
      <c r="R540" t="str">
        <f t="shared" si="17"/>
        <v/>
      </c>
    </row>
    <row r="541" spans="16:18" ht="22.95" customHeight="1">
      <c r="P541">
        <f t="shared" si="16"/>
        <v>0</v>
      </c>
      <c r="Q541" t="str">
        <f>IF(AND(P541&gt;1,COUNTIF($E$6:E541,E541)=1),MAX($Q$5:Q540)+1,"")</f>
        <v/>
      </c>
      <c r="R541" t="str">
        <f t="shared" si="17"/>
        <v/>
      </c>
    </row>
    <row r="542" spans="16:18" ht="22.95" customHeight="1">
      <c r="P542">
        <f t="shared" si="16"/>
        <v>0</v>
      </c>
      <c r="Q542" t="str">
        <f>IF(AND(P542&gt;1,COUNTIF($E$6:E542,E542)=1),MAX($Q$5:Q541)+1,"")</f>
        <v/>
      </c>
      <c r="R542" t="str">
        <f t="shared" si="17"/>
        <v/>
      </c>
    </row>
    <row r="543" spans="16:18" ht="22.95" customHeight="1">
      <c r="P543">
        <f t="shared" si="16"/>
        <v>0</v>
      </c>
      <c r="Q543" t="str">
        <f>IF(AND(P543&gt;1,COUNTIF($E$6:E543,E543)=1),MAX($Q$5:Q542)+1,"")</f>
        <v/>
      </c>
      <c r="R543" t="str">
        <f t="shared" si="17"/>
        <v/>
      </c>
    </row>
    <row r="544" spans="16:18" ht="22.95" customHeight="1">
      <c r="P544">
        <f t="shared" si="16"/>
        <v>0</v>
      </c>
      <c r="Q544" t="str">
        <f>IF(AND(P544&gt;1,COUNTIF($E$6:E544,E544)=1),MAX($Q$5:Q543)+1,"")</f>
        <v/>
      </c>
      <c r="R544" t="str">
        <f t="shared" si="17"/>
        <v/>
      </c>
    </row>
    <row r="545" spans="16:18" ht="22.95" customHeight="1">
      <c r="P545">
        <f t="shared" si="16"/>
        <v>0</v>
      </c>
      <c r="Q545" t="str">
        <f>IF(AND(P545&gt;1,COUNTIF($E$6:E545,E545)=1),MAX($Q$5:Q544)+1,"")</f>
        <v/>
      </c>
      <c r="R545" t="str">
        <f t="shared" si="17"/>
        <v/>
      </c>
    </row>
    <row r="546" spans="16:18" ht="22.95" customHeight="1">
      <c r="P546">
        <f t="shared" si="16"/>
        <v>0</v>
      </c>
      <c r="Q546" t="str">
        <f>IF(AND(P546&gt;1,COUNTIF($E$6:E546,E546)=1),MAX($Q$5:Q545)+1,"")</f>
        <v/>
      </c>
      <c r="R546" t="str">
        <f t="shared" si="17"/>
        <v/>
      </c>
    </row>
    <row r="547" spans="16:18" ht="22.95" customHeight="1">
      <c r="P547">
        <f t="shared" si="16"/>
        <v>0</v>
      </c>
      <c r="Q547" t="str">
        <f>IF(AND(P547&gt;1,COUNTIF($E$6:E547,E547)=1),MAX($Q$5:Q546)+1,"")</f>
        <v/>
      </c>
      <c r="R547" t="str">
        <f t="shared" si="17"/>
        <v/>
      </c>
    </row>
    <row r="548" spans="16:18" ht="22.95" customHeight="1">
      <c r="P548">
        <f t="shared" si="16"/>
        <v>0</v>
      </c>
      <c r="Q548" t="str">
        <f>IF(AND(P548&gt;1,COUNTIF($E$6:E548,E548)=1),MAX($Q$5:Q547)+1,"")</f>
        <v/>
      </c>
      <c r="R548" t="str">
        <f t="shared" si="17"/>
        <v/>
      </c>
    </row>
    <row r="549" spans="16:18" ht="22.95" customHeight="1">
      <c r="P549">
        <f t="shared" si="16"/>
        <v>0</v>
      </c>
      <c r="Q549" t="str">
        <f>IF(AND(P549&gt;1,COUNTIF($E$6:E549,E549)=1),MAX($Q$5:Q548)+1,"")</f>
        <v/>
      </c>
      <c r="R549" t="str">
        <f t="shared" si="17"/>
        <v/>
      </c>
    </row>
    <row r="550" spans="16:18" ht="22.95" customHeight="1">
      <c r="P550">
        <f t="shared" si="16"/>
        <v>0</v>
      </c>
      <c r="Q550" t="str">
        <f>IF(AND(P550&gt;1,COUNTIF($E$6:E550,E550)=1),MAX($Q$5:Q549)+1,"")</f>
        <v/>
      </c>
      <c r="R550" t="str">
        <f t="shared" si="17"/>
        <v/>
      </c>
    </row>
    <row r="551" spans="16:18" ht="22.95" customHeight="1">
      <c r="P551">
        <f t="shared" si="16"/>
        <v>0</v>
      </c>
      <c r="Q551" t="str">
        <f>IF(AND(P551&gt;1,COUNTIF($E$6:E551,E551)=1),MAX($Q$5:Q550)+1,"")</f>
        <v/>
      </c>
      <c r="R551" t="str">
        <f t="shared" si="17"/>
        <v/>
      </c>
    </row>
    <row r="552" spans="16:18" ht="22.95" customHeight="1">
      <c r="P552">
        <f t="shared" si="16"/>
        <v>0</v>
      </c>
      <c r="Q552" t="str">
        <f>IF(AND(P552&gt;1,COUNTIF($E$6:E552,E552)=1),MAX($Q$5:Q551)+1,"")</f>
        <v/>
      </c>
      <c r="R552" t="str">
        <f t="shared" si="17"/>
        <v/>
      </c>
    </row>
    <row r="553" spans="16:18" ht="22.95" customHeight="1">
      <c r="P553">
        <f t="shared" si="16"/>
        <v>0</v>
      </c>
      <c r="Q553" t="str">
        <f>IF(AND(P553&gt;1,COUNTIF($E$6:E553,E553)=1),MAX($Q$5:Q552)+1,"")</f>
        <v/>
      </c>
      <c r="R553" t="str">
        <f t="shared" si="17"/>
        <v/>
      </c>
    </row>
    <row r="554" spans="16:18" ht="22.95" customHeight="1">
      <c r="P554">
        <f t="shared" si="16"/>
        <v>0</v>
      </c>
      <c r="Q554" t="str">
        <f>IF(AND(P554&gt;1,COUNTIF($E$6:E554,E554)=1),MAX($Q$5:Q553)+1,"")</f>
        <v/>
      </c>
      <c r="R554" t="str">
        <f t="shared" si="17"/>
        <v/>
      </c>
    </row>
    <row r="555" spans="16:18" ht="22.95" customHeight="1">
      <c r="P555">
        <f t="shared" si="16"/>
        <v>0</v>
      </c>
      <c r="Q555" t="str">
        <f>IF(AND(P555&gt;1,COUNTIF($E$6:E555,E555)=1),MAX($Q$5:Q554)+1,"")</f>
        <v/>
      </c>
      <c r="R555" t="str">
        <f t="shared" si="17"/>
        <v/>
      </c>
    </row>
    <row r="556" spans="16:18" ht="22.95" customHeight="1">
      <c r="P556">
        <f t="shared" si="16"/>
        <v>0</v>
      </c>
      <c r="Q556" t="str">
        <f>IF(AND(P556&gt;1,COUNTIF($E$6:E556,E556)=1),MAX($Q$5:Q555)+1,"")</f>
        <v/>
      </c>
      <c r="R556" t="str">
        <f t="shared" si="17"/>
        <v/>
      </c>
    </row>
    <row r="557" spans="16:18" ht="22.95" customHeight="1">
      <c r="P557">
        <f t="shared" si="16"/>
        <v>0</v>
      </c>
      <c r="Q557" t="str">
        <f>IF(AND(P557&gt;1,COUNTIF($E$6:E557,E557)=1),MAX($Q$5:Q556)+1,"")</f>
        <v/>
      </c>
      <c r="R557" t="str">
        <f t="shared" si="17"/>
        <v/>
      </c>
    </row>
    <row r="558" spans="16:18" ht="22.95" customHeight="1">
      <c r="P558">
        <f t="shared" si="16"/>
        <v>0</v>
      </c>
      <c r="Q558" t="str">
        <f>IF(AND(P558&gt;1,COUNTIF($E$6:E558,E558)=1),MAX($Q$5:Q557)+1,"")</f>
        <v/>
      </c>
      <c r="R558" t="str">
        <f t="shared" si="17"/>
        <v/>
      </c>
    </row>
    <row r="559" spans="16:18" ht="22.95" customHeight="1">
      <c r="P559">
        <f t="shared" si="16"/>
        <v>0</v>
      </c>
      <c r="Q559" t="str">
        <f>IF(AND(P559&gt;1,COUNTIF($E$6:E559,E559)=1),MAX($Q$5:Q558)+1,"")</f>
        <v/>
      </c>
      <c r="R559" t="str">
        <f t="shared" si="17"/>
        <v/>
      </c>
    </row>
    <row r="560" spans="16:18" ht="22.95" customHeight="1">
      <c r="P560">
        <f t="shared" si="16"/>
        <v>0</v>
      </c>
      <c r="Q560" t="str">
        <f>IF(AND(P560&gt;1,COUNTIF($E$6:E560,E560)=1),MAX($Q$5:Q559)+1,"")</f>
        <v/>
      </c>
      <c r="R560" t="str">
        <f t="shared" si="17"/>
        <v/>
      </c>
    </row>
    <row r="561" spans="16:18" ht="22.95" customHeight="1">
      <c r="P561">
        <f t="shared" si="16"/>
        <v>0</v>
      </c>
      <c r="Q561" t="str">
        <f>IF(AND(P561&gt;1,COUNTIF($E$6:E561,E561)=1),MAX($Q$5:Q560)+1,"")</f>
        <v/>
      </c>
      <c r="R561" t="str">
        <f t="shared" si="17"/>
        <v/>
      </c>
    </row>
    <row r="562" spans="16:18" ht="22.95" customHeight="1">
      <c r="P562">
        <f t="shared" si="16"/>
        <v>0</v>
      </c>
      <c r="Q562" t="str">
        <f>IF(AND(P562&gt;1,COUNTIF($E$6:E562,E562)=1),MAX($Q$5:Q561)+1,"")</f>
        <v/>
      </c>
      <c r="R562" t="str">
        <f t="shared" si="17"/>
        <v/>
      </c>
    </row>
    <row r="563" spans="16:18" ht="22.95" customHeight="1">
      <c r="P563">
        <f t="shared" si="16"/>
        <v>0</v>
      </c>
      <c r="Q563" t="str">
        <f>IF(AND(P563&gt;1,COUNTIF($E$6:E563,E563)=1),MAX($Q$5:Q562)+1,"")</f>
        <v/>
      </c>
      <c r="R563" t="str">
        <f t="shared" si="17"/>
        <v/>
      </c>
    </row>
    <row r="564" spans="16:18" ht="22.95" customHeight="1">
      <c r="P564">
        <f t="shared" si="16"/>
        <v>0</v>
      </c>
      <c r="Q564" t="str">
        <f>IF(AND(P564&gt;1,COUNTIF($E$6:E564,E564)=1),MAX($Q$5:Q563)+1,"")</f>
        <v/>
      </c>
      <c r="R564" t="str">
        <f t="shared" si="17"/>
        <v/>
      </c>
    </row>
    <row r="565" spans="16:18" ht="22.95" customHeight="1">
      <c r="P565">
        <f t="shared" si="16"/>
        <v>0</v>
      </c>
      <c r="Q565" t="str">
        <f>IF(AND(P565&gt;1,COUNTIF($E$6:E565,E565)=1),MAX($Q$5:Q564)+1,"")</f>
        <v/>
      </c>
      <c r="R565" t="str">
        <f t="shared" si="17"/>
        <v/>
      </c>
    </row>
    <row r="566" spans="16:18" ht="22.95" customHeight="1">
      <c r="P566">
        <f t="shared" si="16"/>
        <v>0</v>
      </c>
      <c r="Q566" t="str">
        <f>IF(AND(P566&gt;1,COUNTIF($E$6:E566,E566)=1),MAX($Q$5:Q565)+1,"")</f>
        <v/>
      </c>
      <c r="R566" t="str">
        <f t="shared" si="17"/>
        <v/>
      </c>
    </row>
    <row r="567" spans="16:18" ht="22.95" customHeight="1">
      <c r="P567">
        <f t="shared" si="16"/>
        <v>0</v>
      </c>
      <c r="Q567" t="str">
        <f>IF(AND(P567&gt;1,COUNTIF($E$6:E567,E567)=1),MAX($Q$5:Q566)+1,"")</f>
        <v/>
      </c>
      <c r="R567" t="str">
        <f t="shared" si="17"/>
        <v/>
      </c>
    </row>
    <row r="568" spans="16:18" ht="22.95" customHeight="1">
      <c r="P568">
        <f t="shared" si="16"/>
        <v>0</v>
      </c>
      <c r="Q568" t="str">
        <f>IF(AND(P568&gt;1,COUNTIF($E$6:E568,E568)=1),MAX($Q$5:Q567)+1,"")</f>
        <v/>
      </c>
      <c r="R568" t="str">
        <f t="shared" si="17"/>
        <v/>
      </c>
    </row>
    <row r="569" spans="16:18" ht="22.95" customHeight="1">
      <c r="P569">
        <f t="shared" si="16"/>
        <v>0</v>
      </c>
      <c r="Q569" t="str">
        <f>IF(AND(P569&gt;1,COUNTIF($E$6:E569,E569)=1),MAX($Q$5:Q568)+1,"")</f>
        <v/>
      </c>
      <c r="R569" t="str">
        <f t="shared" si="17"/>
        <v/>
      </c>
    </row>
    <row r="570" spans="16:18" ht="22.95" customHeight="1">
      <c r="P570">
        <f t="shared" si="16"/>
        <v>0</v>
      </c>
      <c r="Q570" t="str">
        <f>IF(AND(P570&gt;1,COUNTIF($E$6:E570,E570)=1),MAX($Q$5:Q569)+1,"")</f>
        <v/>
      </c>
      <c r="R570" t="str">
        <f t="shared" si="17"/>
        <v/>
      </c>
    </row>
    <row r="571" spans="16:18" ht="22.95" customHeight="1">
      <c r="P571">
        <f t="shared" si="16"/>
        <v>0</v>
      </c>
      <c r="Q571" t="str">
        <f>IF(AND(P571&gt;1,COUNTIF($E$6:E571,E571)=1),MAX($Q$5:Q570)+1,"")</f>
        <v/>
      </c>
      <c r="R571" t="str">
        <f t="shared" si="17"/>
        <v/>
      </c>
    </row>
    <row r="572" spans="16:18" ht="22.95" customHeight="1">
      <c r="P572">
        <f t="shared" si="16"/>
        <v>0</v>
      </c>
      <c r="Q572" t="str">
        <f>IF(AND(P572&gt;1,COUNTIF($E$6:E572,E572)=1),MAX($Q$5:Q571)+1,"")</f>
        <v/>
      </c>
      <c r="R572" t="str">
        <f t="shared" si="17"/>
        <v/>
      </c>
    </row>
    <row r="573" spans="16:18" ht="22.95" customHeight="1">
      <c r="P573">
        <f t="shared" si="16"/>
        <v>0</v>
      </c>
      <c r="Q573" t="str">
        <f>IF(AND(P573&gt;1,COUNTIF($E$6:E573,E573)=1),MAX($Q$5:Q572)+1,"")</f>
        <v/>
      </c>
      <c r="R573" t="str">
        <f t="shared" si="17"/>
        <v/>
      </c>
    </row>
    <row r="574" spans="16:18" ht="22.95" customHeight="1">
      <c r="P574">
        <f t="shared" si="16"/>
        <v>0</v>
      </c>
      <c r="Q574" t="str">
        <f>IF(AND(P574&gt;1,COUNTIF($E$6:E574,E574)=1),MAX($Q$5:Q573)+1,"")</f>
        <v/>
      </c>
      <c r="R574" t="str">
        <f t="shared" si="17"/>
        <v/>
      </c>
    </row>
    <row r="575" spans="16:18" ht="22.95" customHeight="1">
      <c r="P575">
        <f t="shared" si="16"/>
        <v>0</v>
      </c>
      <c r="Q575" t="str">
        <f>IF(AND(P575&gt;1,COUNTIF($E$6:E575,E575)=1),MAX($Q$5:Q574)+1,"")</f>
        <v/>
      </c>
      <c r="R575" t="str">
        <f t="shared" si="17"/>
        <v/>
      </c>
    </row>
    <row r="576" spans="16:18" ht="22.95" customHeight="1">
      <c r="P576">
        <f t="shared" si="16"/>
        <v>0</v>
      </c>
      <c r="Q576" t="str">
        <f>IF(AND(P576&gt;1,COUNTIF($E$6:E576,E576)=1),MAX($Q$5:Q575)+1,"")</f>
        <v/>
      </c>
      <c r="R576" t="str">
        <f t="shared" si="17"/>
        <v/>
      </c>
    </row>
    <row r="577" spans="16:18" ht="22.95" customHeight="1">
      <c r="P577">
        <f t="shared" si="16"/>
        <v>0</v>
      </c>
      <c r="Q577" t="str">
        <f>IF(AND(P577&gt;1,COUNTIF($E$6:E577,E577)=1),MAX($Q$5:Q576)+1,"")</f>
        <v/>
      </c>
      <c r="R577" t="str">
        <f t="shared" si="17"/>
        <v/>
      </c>
    </row>
    <row r="578" spans="16:18" ht="22.95" customHeight="1">
      <c r="P578">
        <f t="shared" si="16"/>
        <v>0</v>
      </c>
      <c r="Q578" t="str">
        <f>IF(AND(P578&gt;1,COUNTIF($E$6:E578,E578)=1),MAX($Q$5:Q577)+1,"")</f>
        <v/>
      </c>
      <c r="R578" t="str">
        <f t="shared" si="17"/>
        <v/>
      </c>
    </row>
    <row r="579" spans="16:18" ht="22.95" customHeight="1">
      <c r="P579">
        <f t="shared" si="16"/>
        <v>0</v>
      </c>
      <c r="Q579" t="str">
        <f>IF(AND(P579&gt;1,COUNTIF($E$6:E579,E579)=1),MAX($Q$5:Q578)+1,"")</f>
        <v/>
      </c>
      <c r="R579" t="str">
        <f t="shared" si="17"/>
        <v/>
      </c>
    </row>
    <row r="580" spans="16:18" ht="22.95" customHeight="1">
      <c r="P580">
        <f t="shared" si="16"/>
        <v>0</v>
      </c>
      <c r="Q580" t="str">
        <f>IF(AND(P580&gt;1,COUNTIF($E$6:E580,E580)=1),MAX($Q$5:Q579)+1,"")</f>
        <v/>
      </c>
      <c r="R580" t="str">
        <f t="shared" si="17"/>
        <v/>
      </c>
    </row>
    <row r="581" spans="16:18" ht="22.95" customHeight="1">
      <c r="P581">
        <f t="shared" si="16"/>
        <v>0</v>
      </c>
      <c r="Q581" t="str">
        <f>IF(AND(P581&gt;1,COUNTIF($E$6:E581,E581)=1),MAX($Q$5:Q580)+1,"")</f>
        <v/>
      </c>
      <c r="R581" t="str">
        <f t="shared" si="17"/>
        <v/>
      </c>
    </row>
    <row r="582" spans="16:18" ht="22.95" customHeight="1">
      <c r="P582">
        <f t="shared" ref="P582:P645" si="18">COUNTIF($E$6:$E$1740,E582)</f>
        <v>0</v>
      </c>
      <c r="Q582" t="str">
        <f>IF(AND(P582&gt;1,COUNTIF($E$6:E582,E582)=1),MAX($Q$5:Q581)+1,"")</f>
        <v/>
      </c>
      <c r="R582" t="str">
        <f t="shared" ref="R582:R645" si="19">IF(Q582="","",IF(COUNTIFS($E$6:$E$1740,E582,$A$6:$A$1740,A582,$C$6:$C$1740,C582)&lt;P582,"LÉGITIME",IF(COUNTIFS($E$6:$E$1740,E582,$A$6:$A$1740,A582,$C$6:$C$1740,C582,$M$6:$M$1740,M582)&lt;P582,"STATUT DIFFÉRENT","VRAI DOUBLON")))</f>
        <v/>
      </c>
    </row>
    <row r="583" spans="16:18" ht="22.95" customHeight="1">
      <c r="P583">
        <f t="shared" si="18"/>
        <v>0</v>
      </c>
      <c r="Q583" t="str">
        <f>IF(AND(P583&gt;1,COUNTIF($E$6:E583,E583)=1),MAX($Q$5:Q582)+1,"")</f>
        <v/>
      </c>
      <c r="R583" t="str">
        <f t="shared" si="19"/>
        <v/>
      </c>
    </row>
    <row r="584" spans="16:18" ht="22.95" customHeight="1">
      <c r="P584">
        <f t="shared" si="18"/>
        <v>0</v>
      </c>
      <c r="Q584" t="str">
        <f>IF(AND(P584&gt;1,COUNTIF($E$6:E584,E584)=1),MAX($Q$5:Q583)+1,"")</f>
        <v/>
      </c>
      <c r="R584" t="str">
        <f t="shared" si="19"/>
        <v/>
      </c>
    </row>
    <row r="585" spans="16:18" ht="22.95" customHeight="1">
      <c r="P585">
        <f t="shared" si="18"/>
        <v>0</v>
      </c>
      <c r="Q585" t="str">
        <f>IF(AND(P585&gt;1,COUNTIF($E$6:E585,E585)=1),MAX($Q$5:Q584)+1,"")</f>
        <v/>
      </c>
      <c r="R585" t="str">
        <f t="shared" si="19"/>
        <v/>
      </c>
    </row>
    <row r="586" spans="16:18" ht="22.95" customHeight="1">
      <c r="P586">
        <f t="shared" si="18"/>
        <v>0</v>
      </c>
      <c r="Q586" t="str">
        <f>IF(AND(P586&gt;1,COUNTIF($E$6:E586,E586)=1),MAX($Q$5:Q585)+1,"")</f>
        <v/>
      </c>
      <c r="R586" t="str">
        <f t="shared" si="19"/>
        <v/>
      </c>
    </row>
    <row r="587" spans="16:18" ht="22.95" customHeight="1">
      <c r="P587">
        <f t="shared" si="18"/>
        <v>0</v>
      </c>
      <c r="Q587" t="str">
        <f>IF(AND(P587&gt;1,COUNTIF($E$6:E587,E587)=1),MAX($Q$5:Q586)+1,"")</f>
        <v/>
      </c>
      <c r="R587" t="str">
        <f t="shared" si="19"/>
        <v/>
      </c>
    </row>
    <row r="588" spans="16:18" ht="22.95" customHeight="1">
      <c r="P588">
        <f t="shared" si="18"/>
        <v>0</v>
      </c>
      <c r="Q588" t="str">
        <f>IF(AND(P588&gt;1,COUNTIF($E$6:E588,E588)=1),MAX($Q$5:Q587)+1,"")</f>
        <v/>
      </c>
      <c r="R588" t="str">
        <f t="shared" si="19"/>
        <v/>
      </c>
    </row>
    <row r="589" spans="16:18" ht="22.95" customHeight="1">
      <c r="P589">
        <f t="shared" si="18"/>
        <v>0</v>
      </c>
      <c r="Q589" t="str">
        <f>IF(AND(P589&gt;1,COUNTIF($E$6:E589,E589)=1),MAX($Q$5:Q588)+1,"")</f>
        <v/>
      </c>
      <c r="R589" t="str">
        <f t="shared" si="19"/>
        <v/>
      </c>
    </row>
    <row r="590" spans="16:18" ht="22.95" customHeight="1">
      <c r="P590">
        <f t="shared" si="18"/>
        <v>0</v>
      </c>
      <c r="Q590" t="str">
        <f>IF(AND(P590&gt;1,COUNTIF($E$6:E590,E590)=1),MAX($Q$5:Q589)+1,"")</f>
        <v/>
      </c>
      <c r="R590" t="str">
        <f t="shared" si="19"/>
        <v/>
      </c>
    </row>
    <row r="591" spans="16:18" ht="22.95" customHeight="1">
      <c r="P591">
        <f t="shared" si="18"/>
        <v>0</v>
      </c>
      <c r="Q591" t="str">
        <f>IF(AND(P591&gt;1,COUNTIF($E$6:E591,E591)=1),MAX($Q$5:Q590)+1,"")</f>
        <v/>
      </c>
      <c r="R591" t="str">
        <f t="shared" si="19"/>
        <v/>
      </c>
    </row>
    <row r="592" spans="16:18" ht="22.95" customHeight="1">
      <c r="P592">
        <f t="shared" si="18"/>
        <v>0</v>
      </c>
      <c r="Q592" t="str">
        <f>IF(AND(P592&gt;1,COUNTIF($E$6:E592,E592)=1),MAX($Q$5:Q591)+1,"")</f>
        <v/>
      </c>
      <c r="R592" t="str">
        <f t="shared" si="19"/>
        <v/>
      </c>
    </row>
    <row r="593" spans="16:18" ht="22.95" customHeight="1">
      <c r="P593">
        <f t="shared" si="18"/>
        <v>0</v>
      </c>
      <c r="Q593" t="str">
        <f>IF(AND(P593&gt;1,COUNTIF($E$6:E593,E593)=1),MAX($Q$5:Q592)+1,"")</f>
        <v/>
      </c>
      <c r="R593" t="str">
        <f t="shared" si="19"/>
        <v/>
      </c>
    </row>
    <row r="594" spans="16:18" ht="22.95" customHeight="1">
      <c r="P594">
        <f t="shared" si="18"/>
        <v>0</v>
      </c>
      <c r="Q594" t="str">
        <f>IF(AND(P594&gt;1,COUNTIF($E$6:E594,E594)=1),MAX($Q$5:Q593)+1,"")</f>
        <v/>
      </c>
      <c r="R594" t="str">
        <f t="shared" si="19"/>
        <v/>
      </c>
    </row>
    <row r="595" spans="16:18" ht="22.95" customHeight="1">
      <c r="P595">
        <f t="shared" si="18"/>
        <v>0</v>
      </c>
      <c r="Q595" t="str">
        <f>IF(AND(P595&gt;1,COUNTIF($E$6:E595,E595)=1),MAX($Q$5:Q594)+1,"")</f>
        <v/>
      </c>
      <c r="R595" t="str">
        <f t="shared" si="19"/>
        <v/>
      </c>
    </row>
    <row r="596" spans="16:18" ht="22.95" customHeight="1">
      <c r="P596">
        <f t="shared" si="18"/>
        <v>0</v>
      </c>
      <c r="Q596" t="str">
        <f>IF(AND(P596&gt;1,COUNTIF($E$6:E596,E596)=1),MAX($Q$5:Q595)+1,"")</f>
        <v/>
      </c>
      <c r="R596" t="str">
        <f t="shared" si="19"/>
        <v/>
      </c>
    </row>
    <row r="597" spans="16:18" ht="22.95" customHeight="1">
      <c r="P597">
        <f t="shared" si="18"/>
        <v>0</v>
      </c>
      <c r="Q597" t="str">
        <f>IF(AND(P597&gt;1,COUNTIF($E$6:E597,E597)=1),MAX($Q$5:Q596)+1,"")</f>
        <v/>
      </c>
      <c r="R597" t="str">
        <f t="shared" si="19"/>
        <v/>
      </c>
    </row>
    <row r="598" spans="16:18" ht="22.95" customHeight="1">
      <c r="P598">
        <f t="shared" si="18"/>
        <v>0</v>
      </c>
      <c r="Q598" t="str">
        <f>IF(AND(P598&gt;1,COUNTIF($E$6:E598,E598)=1),MAX($Q$5:Q597)+1,"")</f>
        <v/>
      </c>
      <c r="R598" t="str">
        <f t="shared" si="19"/>
        <v/>
      </c>
    </row>
    <row r="599" spans="16:18" ht="22.95" customHeight="1">
      <c r="P599">
        <f t="shared" si="18"/>
        <v>0</v>
      </c>
      <c r="Q599" t="str">
        <f>IF(AND(P599&gt;1,COUNTIF($E$6:E599,E599)=1),MAX($Q$5:Q598)+1,"")</f>
        <v/>
      </c>
      <c r="R599" t="str">
        <f t="shared" si="19"/>
        <v/>
      </c>
    </row>
    <row r="600" spans="16:18" ht="22.95" customHeight="1">
      <c r="P600">
        <f t="shared" si="18"/>
        <v>0</v>
      </c>
      <c r="Q600" t="str">
        <f>IF(AND(P600&gt;1,COUNTIF($E$6:E600,E600)=1),MAX($Q$5:Q599)+1,"")</f>
        <v/>
      </c>
      <c r="R600" t="str">
        <f t="shared" si="19"/>
        <v/>
      </c>
    </row>
    <row r="601" spans="16:18" ht="22.95" customHeight="1">
      <c r="P601">
        <f t="shared" si="18"/>
        <v>0</v>
      </c>
      <c r="Q601" t="str">
        <f>IF(AND(P601&gt;1,COUNTIF($E$6:E601,E601)=1),MAX($Q$5:Q600)+1,"")</f>
        <v/>
      </c>
      <c r="R601" t="str">
        <f t="shared" si="19"/>
        <v/>
      </c>
    </row>
    <row r="602" spans="16:18" ht="22.95" customHeight="1">
      <c r="P602">
        <f t="shared" si="18"/>
        <v>0</v>
      </c>
      <c r="Q602" t="str">
        <f>IF(AND(P602&gt;1,COUNTIF($E$6:E602,E602)=1),MAX($Q$5:Q601)+1,"")</f>
        <v/>
      </c>
      <c r="R602" t="str">
        <f t="shared" si="19"/>
        <v/>
      </c>
    </row>
    <row r="603" spans="16:18" ht="22.95" customHeight="1">
      <c r="P603">
        <f t="shared" si="18"/>
        <v>0</v>
      </c>
      <c r="Q603" t="str">
        <f>IF(AND(P603&gt;1,COUNTIF($E$6:E603,E603)=1),MAX($Q$5:Q602)+1,"")</f>
        <v/>
      </c>
      <c r="R603" t="str">
        <f t="shared" si="19"/>
        <v/>
      </c>
    </row>
    <row r="604" spans="16:18" ht="22.95" customHeight="1">
      <c r="P604">
        <f t="shared" si="18"/>
        <v>0</v>
      </c>
      <c r="Q604" t="str">
        <f>IF(AND(P604&gt;1,COUNTIF($E$6:E604,E604)=1),MAX($Q$5:Q603)+1,"")</f>
        <v/>
      </c>
      <c r="R604" t="str">
        <f t="shared" si="19"/>
        <v/>
      </c>
    </row>
    <row r="605" spans="16:18" ht="22.95" customHeight="1">
      <c r="P605">
        <f t="shared" si="18"/>
        <v>0</v>
      </c>
      <c r="Q605" t="str">
        <f>IF(AND(P605&gt;1,COUNTIF($E$6:E605,E605)=1),MAX($Q$5:Q604)+1,"")</f>
        <v/>
      </c>
      <c r="R605" t="str">
        <f t="shared" si="19"/>
        <v/>
      </c>
    </row>
    <row r="606" spans="16:18" ht="22.95" customHeight="1">
      <c r="P606">
        <f t="shared" si="18"/>
        <v>0</v>
      </c>
      <c r="Q606" t="str">
        <f>IF(AND(P606&gt;1,COUNTIF($E$6:E606,E606)=1),MAX($Q$5:Q605)+1,"")</f>
        <v/>
      </c>
      <c r="R606" t="str">
        <f t="shared" si="19"/>
        <v/>
      </c>
    </row>
    <row r="607" spans="16:18" ht="22.95" customHeight="1">
      <c r="P607">
        <f t="shared" si="18"/>
        <v>0</v>
      </c>
      <c r="Q607" t="str">
        <f>IF(AND(P607&gt;1,COUNTIF($E$6:E607,E607)=1),MAX($Q$5:Q606)+1,"")</f>
        <v/>
      </c>
      <c r="R607" t="str">
        <f t="shared" si="19"/>
        <v/>
      </c>
    </row>
    <row r="608" spans="16:18" ht="22.95" customHeight="1">
      <c r="P608">
        <f t="shared" si="18"/>
        <v>0</v>
      </c>
      <c r="Q608" t="str">
        <f>IF(AND(P608&gt;1,COUNTIF($E$6:E608,E608)=1),MAX($Q$5:Q607)+1,"")</f>
        <v/>
      </c>
      <c r="R608" t="str">
        <f t="shared" si="19"/>
        <v/>
      </c>
    </row>
    <row r="609" spans="16:18" ht="22.95" customHeight="1">
      <c r="P609">
        <f t="shared" si="18"/>
        <v>0</v>
      </c>
      <c r="Q609" t="str">
        <f>IF(AND(P609&gt;1,COUNTIF($E$6:E609,E609)=1),MAX($Q$5:Q608)+1,"")</f>
        <v/>
      </c>
      <c r="R609" t="str">
        <f t="shared" si="19"/>
        <v/>
      </c>
    </row>
    <row r="610" spans="16:18" ht="22.95" customHeight="1">
      <c r="P610">
        <f t="shared" si="18"/>
        <v>0</v>
      </c>
      <c r="Q610" t="str">
        <f>IF(AND(P610&gt;1,COUNTIF($E$6:E610,E610)=1),MAX($Q$5:Q609)+1,"")</f>
        <v/>
      </c>
      <c r="R610" t="str">
        <f t="shared" si="19"/>
        <v/>
      </c>
    </row>
    <row r="611" spans="16:18" ht="22.95" customHeight="1">
      <c r="P611">
        <f t="shared" si="18"/>
        <v>0</v>
      </c>
      <c r="Q611" t="str">
        <f>IF(AND(P611&gt;1,COUNTIF($E$6:E611,E611)=1),MAX($Q$5:Q610)+1,"")</f>
        <v/>
      </c>
      <c r="R611" t="str">
        <f t="shared" si="19"/>
        <v/>
      </c>
    </row>
    <row r="612" spans="16:18" ht="22.95" customHeight="1">
      <c r="P612">
        <f t="shared" si="18"/>
        <v>0</v>
      </c>
      <c r="Q612" t="str">
        <f>IF(AND(P612&gt;1,COUNTIF($E$6:E612,E612)=1),MAX($Q$5:Q611)+1,"")</f>
        <v/>
      </c>
      <c r="R612" t="str">
        <f t="shared" si="19"/>
        <v/>
      </c>
    </row>
    <row r="613" spans="16:18" ht="22.95" customHeight="1">
      <c r="P613">
        <f t="shared" si="18"/>
        <v>0</v>
      </c>
      <c r="Q613" t="str">
        <f>IF(AND(P613&gt;1,COUNTIF($E$6:E613,E613)=1),MAX($Q$5:Q612)+1,"")</f>
        <v/>
      </c>
      <c r="R613" t="str">
        <f t="shared" si="19"/>
        <v/>
      </c>
    </row>
    <row r="614" spans="16:18" ht="22.95" customHeight="1">
      <c r="P614">
        <f t="shared" si="18"/>
        <v>0</v>
      </c>
      <c r="Q614" t="str">
        <f>IF(AND(P614&gt;1,COUNTIF($E$6:E614,E614)=1),MAX($Q$5:Q613)+1,"")</f>
        <v/>
      </c>
      <c r="R614" t="str">
        <f t="shared" si="19"/>
        <v/>
      </c>
    </row>
    <row r="615" spans="16:18" ht="22.95" customHeight="1">
      <c r="P615">
        <f t="shared" si="18"/>
        <v>0</v>
      </c>
      <c r="Q615" t="str">
        <f>IF(AND(P615&gt;1,COUNTIF($E$6:E615,E615)=1),MAX($Q$5:Q614)+1,"")</f>
        <v/>
      </c>
      <c r="R615" t="str">
        <f t="shared" si="19"/>
        <v/>
      </c>
    </row>
    <row r="616" spans="16:18" ht="22.95" customHeight="1">
      <c r="P616">
        <f t="shared" si="18"/>
        <v>0</v>
      </c>
      <c r="Q616" t="str">
        <f>IF(AND(P616&gt;1,COUNTIF($E$6:E616,E616)=1),MAX($Q$5:Q615)+1,"")</f>
        <v/>
      </c>
      <c r="R616" t="str">
        <f t="shared" si="19"/>
        <v/>
      </c>
    </row>
    <row r="617" spans="16:18" ht="22.95" customHeight="1">
      <c r="P617">
        <f t="shared" si="18"/>
        <v>0</v>
      </c>
      <c r="Q617" t="str">
        <f>IF(AND(P617&gt;1,COUNTIF($E$6:E617,E617)=1),MAX($Q$5:Q616)+1,"")</f>
        <v/>
      </c>
      <c r="R617" t="str">
        <f t="shared" si="19"/>
        <v/>
      </c>
    </row>
    <row r="618" spans="16:18" ht="22.95" customHeight="1">
      <c r="P618">
        <f t="shared" si="18"/>
        <v>0</v>
      </c>
      <c r="Q618" t="str">
        <f>IF(AND(P618&gt;1,COUNTIF($E$6:E618,E618)=1),MAX($Q$5:Q617)+1,"")</f>
        <v/>
      </c>
      <c r="R618" t="str">
        <f t="shared" si="19"/>
        <v/>
      </c>
    </row>
    <row r="619" spans="16:18" ht="22.95" customHeight="1">
      <c r="P619">
        <f t="shared" si="18"/>
        <v>0</v>
      </c>
      <c r="Q619" t="str">
        <f>IF(AND(P619&gt;1,COUNTIF($E$6:E619,E619)=1),MAX($Q$5:Q618)+1,"")</f>
        <v/>
      </c>
      <c r="R619" t="str">
        <f t="shared" si="19"/>
        <v/>
      </c>
    </row>
    <row r="620" spans="16:18" ht="22.95" customHeight="1">
      <c r="P620">
        <f t="shared" si="18"/>
        <v>0</v>
      </c>
      <c r="Q620" t="str">
        <f>IF(AND(P620&gt;1,COUNTIF($E$6:E620,E620)=1),MAX($Q$5:Q619)+1,"")</f>
        <v/>
      </c>
      <c r="R620" t="str">
        <f t="shared" si="19"/>
        <v/>
      </c>
    </row>
    <row r="621" spans="16:18" ht="22.95" customHeight="1">
      <c r="P621">
        <f t="shared" si="18"/>
        <v>0</v>
      </c>
      <c r="Q621" t="str">
        <f>IF(AND(P621&gt;1,COUNTIF($E$6:E621,E621)=1),MAX($Q$5:Q620)+1,"")</f>
        <v/>
      </c>
      <c r="R621" t="str">
        <f t="shared" si="19"/>
        <v/>
      </c>
    </row>
    <row r="622" spans="16:18" ht="22.95" customHeight="1">
      <c r="P622">
        <f t="shared" si="18"/>
        <v>0</v>
      </c>
      <c r="Q622" t="str">
        <f>IF(AND(P622&gt;1,COUNTIF($E$6:E622,E622)=1),MAX($Q$5:Q621)+1,"")</f>
        <v/>
      </c>
      <c r="R622" t="str">
        <f t="shared" si="19"/>
        <v/>
      </c>
    </row>
    <row r="623" spans="16:18" ht="22.95" customHeight="1">
      <c r="P623">
        <f t="shared" si="18"/>
        <v>0</v>
      </c>
      <c r="Q623" t="str">
        <f>IF(AND(P623&gt;1,COUNTIF($E$6:E623,E623)=1),MAX($Q$5:Q622)+1,"")</f>
        <v/>
      </c>
      <c r="R623" t="str">
        <f t="shared" si="19"/>
        <v/>
      </c>
    </row>
    <row r="624" spans="16:18" ht="22.95" customHeight="1">
      <c r="P624">
        <f t="shared" si="18"/>
        <v>0</v>
      </c>
      <c r="Q624" t="str">
        <f>IF(AND(P624&gt;1,COUNTIF($E$6:E624,E624)=1),MAX($Q$5:Q623)+1,"")</f>
        <v/>
      </c>
      <c r="R624" t="str">
        <f t="shared" si="19"/>
        <v/>
      </c>
    </row>
    <row r="625" spans="16:18" ht="22.95" customHeight="1">
      <c r="P625">
        <f t="shared" si="18"/>
        <v>0</v>
      </c>
      <c r="Q625" t="str">
        <f>IF(AND(P625&gt;1,COUNTIF($E$6:E625,E625)=1),MAX($Q$5:Q624)+1,"")</f>
        <v/>
      </c>
      <c r="R625" t="str">
        <f t="shared" si="19"/>
        <v/>
      </c>
    </row>
    <row r="626" spans="16:18" ht="22.95" customHeight="1">
      <c r="P626">
        <f t="shared" si="18"/>
        <v>0</v>
      </c>
      <c r="Q626" t="str">
        <f>IF(AND(P626&gt;1,COUNTIF($E$6:E626,E626)=1),MAX($Q$5:Q625)+1,"")</f>
        <v/>
      </c>
      <c r="R626" t="str">
        <f t="shared" si="19"/>
        <v/>
      </c>
    </row>
    <row r="627" spans="16:18" ht="22.95" customHeight="1">
      <c r="P627">
        <f t="shared" si="18"/>
        <v>0</v>
      </c>
      <c r="Q627" t="str">
        <f>IF(AND(P627&gt;1,COUNTIF($E$6:E627,E627)=1),MAX($Q$5:Q626)+1,"")</f>
        <v/>
      </c>
      <c r="R627" t="str">
        <f t="shared" si="19"/>
        <v/>
      </c>
    </row>
    <row r="628" spans="16:18" ht="22.95" customHeight="1">
      <c r="P628">
        <f t="shared" si="18"/>
        <v>0</v>
      </c>
      <c r="Q628" t="str">
        <f>IF(AND(P628&gt;1,COUNTIF($E$6:E628,E628)=1),MAX($Q$5:Q627)+1,"")</f>
        <v/>
      </c>
      <c r="R628" t="str">
        <f t="shared" si="19"/>
        <v/>
      </c>
    </row>
    <row r="629" spans="16:18" ht="22.95" customHeight="1">
      <c r="P629">
        <f t="shared" si="18"/>
        <v>0</v>
      </c>
      <c r="Q629" t="str">
        <f>IF(AND(P629&gt;1,COUNTIF($E$6:E629,E629)=1),MAX($Q$5:Q628)+1,"")</f>
        <v/>
      </c>
      <c r="R629" t="str">
        <f t="shared" si="19"/>
        <v/>
      </c>
    </row>
    <row r="630" spans="16:18" ht="22.95" customHeight="1">
      <c r="P630">
        <f t="shared" si="18"/>
        <v>0</v>
      </c>
      <c r="Q630" t="str">
        <f>IF(AND(P630&gt;1,COUNTIF($E$6:E630,E630)=1),MAX($Q$5:Q629)+1,"")</f>
        <v/>
      </c>
      <c r="R630" t="str">
        <f t="shared" si="19"/>
        <v/>
      </c>
    </row>
    <row r="631" spans="16:18" ht="22.95" customHeight="1">
      <c r="P631">
        <f t="shared" si="18"/>
        <v>0</v>
      </c>
      <c r="Q631" t="str">
        <f>IF(AND(P631&gt;1,COUNTIF($E$6:E631,E631)=1),MAX($Q$5:Q630)+1,"")</f>
        <v/>
      </c>
      <c r="R631" t="str">
        <f t="shared" si="19"/>
        <v/>
      </c>
    </row>
    <row r="632" spans="16:18" ht="22.95" customHeight="1">
      <c r="P632">
        <f t="shared" si="18"/>
        <v>0</v>
      </c>
      <c r="Q632" t="str">
        <f>IF(AND(P632&gt;1,COUNTIF($E$6:E632,E632)=1),MAX($Q$5:Q631)+1,"")</f>
        <v/>
      </c>
      <c r="R632" t="str">
        <f t="shared" si="19"/>
        <v/>
      </c>
    </row>
    <row r="633" spans="16:18" ht="22.95" customHeight="1">
      <c r="P633">
        <f t="shared" si="18"/>
        <v>0</v>
      </c>
      <c r="Q633" t="str">
        <f>IF(AND(P633&gt;1,COUNTIF($E$6:E633,E633)=1),MAX($Q$5:Q632)+1,"")</f>
        <v/>
      </c>
      <c r="R633" t="str">
        <f t="shared" si="19"/>
        <v/>
      </c>
    </row>
    <row r="634" spans="16:18" ht="22.95" customHeight="1">
      <c r="P634">
        <f t="shared" si="18"/>
        <v>0</v>
      </c>
      <c r="Q634" t="str">
        <f>IF(AND(P634&gt;1,COUNTIF($E$6:E634,E634)=1),MAX($Q$5:Q633)+1,"")</f>
        <v/>
      </c>
      <c r="R634" t="str">
        <f t="shared" si="19"/>
        <v/>
      </c>
    </row>
    <row r="635" spans="16:18" ht="22.95" customHeight="1">
      <c r="P635">
        <f t="shared" si="18"/>
        <v>0</v>
      </c>
      <c r="Q635" t="str">
        <f>IF(AND(P635&gt;1,COUNTIF($E$6:E635,E635)=1),MAX($Q$5:Q634)+1,"")</f>
        <v/>
      </c>
      <c r="R635" t="str">
        <f t="shared" si="19"/>
        <v/>
      </c>
    </row>
    <row r="636" spans="16:18" ht="22.95" customHeight="1">
      <c r="P636">
        <f t="shared" si="18"/>
        <v>0</v>
      </c>
      <c r="Q636" t="str">
        <f>IF(AND(P636&gt;1,COUNTIF($E$6:E636,E636)=1),MAX($Q$5:Q635)+1,"")</f>
        <v/>
      </c>
      <c r="R636" t="str">
        <f t="shared" si="19"/>
        <v/>
      </c>
    </row>
    <row r="637" spans="16:18" ht="22.95" customHeight="1">
      <c r="P637">
        <f t="shared" si="18"/>
        <v>0</v>
      </c>
      <c r="Q637" t="str">
        <f>IF(AND(P637&gt;1,COUNTIF($E$6:E637,E637)=1),MAX($Q$5:Q636)+1,"")</f>
        <v/>
      </c>
      <c r="R637" t="str">
        <f t="shared" si="19"/>
        <v/>
      </c>
    </row>
    <row r="638" spans="16:18" ht="22.95" customHeight="1">
      <c r="P638">
        <f t="shared" si="18"/>
        <v>0</v>
      </c>
      <c r="Q638" t="str">
        <f>IF(AND(P638&gt;1,COUNTIF($E$6:E638,E638)=1),MAX($Q$5:Q637)+1,"")</f>
        <v/>
      </c>
      <c r="R638" t="str">
        <f t="shared" si="19"/>
        <v/>
      </c>
    </row>
    <row r="639" spans="16:18" ht="22.95" customHeight="1">
      <c r="P639">
        <f t="shared" si="18"/>
        <v>0</v>
      </c>
      <c r="Q639" t="str">
        <f>IF(AND(P639&gt;1,COUNTIF($E$6:E639,E639)=1),MAX($Q$5:Q638)+1,"")</f>
        <v/>
      </c>
      <c r="R639" t="str">
        <f t="shared" si="19"/>
        <v/>
      </c>
    </row>
    <row r="640" spans="16:18" ht="22.95" customHeight="1">
      <c r="P640">
        <f t="shared" si="18"/>
        <v>0</v>
      </c>
      <c r="Q640" t="str">
        <f>IF(AND(P640&gt;1,COUNTIF($E$6:E640,E640)=1),MAX($Q$5:Q639)+1,"")</f>
        <v/>
      </c>
      <c r="R640" t="str">
        <f t="shared" si="19"/>
        <v/>
      </c>
    </row>
    <row r="641" spans="16:18" ht="22.95" customHeight="1">
      <c r="P641">
        <f t="shared" si="18"/>
        <v>0</v>
      </c>
      <c r="Q641" t="str">
        <f>IF(AND(P641&gt;1,COUNTIF($E$6:E641,E641)=1),MAX($Q$5:Q640)+1,"")</f>
        <v/>
      </c>
      <c r="R641" t="str">
        <f t="shared" si="19"/>
        <v/>
      </c>
    </row>
    <row r="642" spans="16:18" ht="22.95" customHeight="1">
      <c r="P642">
        <f t="shared" si="18"/>
        <v>0</v>
      </c>
      <c r="Q642" t="str">
        <f>IF(AND(P642&gt;1,COUNTIF($E$6:E642,E642)=1),MAX($Q$5:Q641)+1,"")</f>
        <v/>
      </c>
      <c r="R642" t="str">
        <f t="shared" si="19"/>
        <v/>
      </c>
    </row>
    <row r="643" spans="16:18" ht="22.95" customHeight="1">
      <c r="P643">
        <f t="shared" si="18"/>
        <v>0</v>
      </c>
      <c r="Q643" t="str">
        <f>IF(AND(P643&gt;1,COUNTIF($E$6:E643,E643)=1),MAX($Q$5:Q642)+1,"")</f>
        <v/>
      </c>
      <c r="R643" t="str">
        <f t="shared" si="19"/>
        <v/>
      </c>
    </row>
    <row r="644" spans="16:18" ht="22.95" customHeight="1">
      <c r="P644">
        <f t="shared" si="18"/>
        <v>0</v>
      </c>
      <c r="Q644" t="str">
        <f>IF(AND(P644&gt;1,COUNTIF($E$6:E644,E644)=1),MAX($Q$5:Q643)+1,"")</f>
        <v/>
      </c>
      <c r="R644" t="str">
        <f t="shared" si="19"/>
        <v/>
      </c>
    </row>
    <row r="645" spans="16:18" ht="22.95" customHeight="1">
      <c r="P645">
        <f t="shared" si="18"/>
        <v>0</v>
      </c>
      <c r="Q645" t="str">
        <f>IF(AND(P645&gt;1,COUNTIF($E$6:E645,E645)=1),MAX($Q$5:Q644)+1,"")</f>
        <v/>
      </c>
      <c r="R645" t="str">
        <f t="shared" si="19"/>
        <v/>
      </c>
    </row>
    <row r="646" spans="16:18" ht="22.95" customHeight="1">
      <c r="P646">
        <f t="shared" ref="P646:P709" si="20">COUNTIF($E$6:$E$1740,E646)</f>
        <v>0</v>
      </c>
      <c r="Q646" t="str">
        <f>IF(AND(P646&gt;1,COUNTIF($E$6:E646,E646)=1),MAX($Q$5:Q645)+1,"")</f>
        <v/>
      </c>
      <c r="R646" t="str">
        <f t="shared" ref="R646:R709" si="21">IF(Q646="","",IF(COUNTIFS($E$6:$E$1740,E646,$A$6:$A$1740,A646,$C$6:$C$1740,C646)&lt;P646,"LÉGITIME",IF(COUNTIFS($E$6:$E$1740,E646,$A$6:$A$1740,A646,$C$6:$C$1740,C646,$M$6:$M$1740,M646)&lt;P646,"STATUT DIFFÉRENT","VRAI DOUBLON")))</f>
        <v/>
      </c>
    </row>
    <row r="647" spans="16:18" ht="22.95" customHeight="1">
      <c r="P647">
        <f t="shared" si="20"/>
        <v>0</v>
      </c>
      <c r="Q647" t="str">
        <f>IF(AND(P647&gt;1,COUNTIF($E$6:E647,E647)=1),MAX($Q$5:Q646)+1,"")</f>
        <v/>
      </c>
      <c r="R647" t="str">
        <f t="shared" si="21"/>
        <v/>
      </c>
    </row>
    <row r="648" spans="16:18" ht="22.95" customHeight="1">
      <c r="P648">
        <f t="shared" si="20"/>
        <v>0</v>
      </c>
      <c r="Q648" t="str">
        <f>IF(AND(P648&gt;1,COUNTIF($E$6:E648,E648)=1),MAX($Q$5:Q647)+1,"")</f>
        <v/>
      </c>
      <c r="R648" t="str">
        <f t="shared" si="21"/>
        <v/>
      </c>
    </row>
    <row r="649" spans="16:18" ht="22.95" customHeight="1">
      <c r="P649">
        <f t="shared" si="20"/>
        <v>0</v>
      </c>
      <c r="Q649" t="str">
        <f>IF(AND(P649&gt;1,COUNTIF($E$6:E649,E649)=1),MAX($Q$5:Q648)+1,"")</f>
        <v/>
      </c>
      <c r="R649" t="str">
        <f t="shared" si="21"/>
        <v/>
      </c>
    </row>
    <row r="650" spans="16:18" ht="22.95" customHeight="1">
      <c r="P650">
        <f t="shared" si="20"/>
        <v>0</v>
      </c>
      <c r="Q650" t="str">
        <f>IF(AND(P650&gt;1,COUNTIF($E$6:E650,E650)=1),MAX($Q$5:Q649)+1,"")</f>
        <v/>
      </c>
      <c r="R650" t="str">
        <f t="shared" si="21"/>
        <v/>
      </c>
    </row>
    <row r="651" spans="16:18" ht="22.95" customHeight="1">
      <c r="P651">
        <f t="shared" si="20"/>
        <v>0</v>
      </c>
      <c r="Q651" t="str">
        <f>IF(AND(P651&gt;1,COUNTIF($E$6:E651,E651)=1),MAX($Q$5:Q650)+1,"")</f>
        <v/>
      </c>
      <c r="R651" t="str">
        <f t="shared" si="21"/>
        <v/>
      </c>
    </row>
    <row r="652" spans="16:18" ht="22.95" customHeight="1">
      <c r="P652">
        <f t="shared" si="20"/>
        <v>0</v>
      </c>
      <c r="Q652" t="str">
        <f>IF(AND(P652&gt;1,COUNTIF($E$6:E652,E652)=1),MAX($Q$5:Q651)+1,"")</f>
        <v/>
      </c>
      <c r="R652" t="str">
        <f t="shared" si="21"/>
        <v/>
      </c>
    </row>
    <row r="653" spans="16:18" ht="22.95" customHeight="1">
      <c r="P653">
        <f t="shared" si="20"/>
        <v>0</v>
      </c>
      <c r="Q653" t="str">
        <f>IF(AND(P653&gt;1,COUNTIF($E$6:E653,E653)=1),MAX($Q$5:Q652)+1,"")</f>
        <v/>
      </c>
      <c r="R653" t="str">
        <f t="shared" si="21"/>
        <v/>
      </c>
    </row>
    <row r="654" spans="16:18" ht="22.95" customHeight="1">
      <c r="P654">
        <f t="shared" si="20"/>
        <v>0</v>
      </c>
      <c r="Q654" t="str">
        <f>IF(AND(P654&gt;1,COUNTIF($E$6:E654,E654)=1),MAX($Q$5:Q653)+1,"")</f>
        <v/>
      </c>
      <c r="R654" t="str">
        <f t="shared" si="21"/>
        <v/>
      </c>
    </row>
    <row r="655" spans="16:18" ht="22.95" customHeight="1">
      <c r="P655">
        <f t="shared" si="20"/>
        <v>0</v>
      </c>
      <c r="Q655" t="str">
        <f>IF(AND(P655&gt;1,COUNTIF($E$6:E655,E655)=1),MAX($Q$5:Q654)+1,"")</f>
        <v/>
      </c>
      <c r="R655" t="str">
        <f t="shared" si="21"/>
        <v/>
      </c>
    </row>
    <row r="656" spans="16:18" ht="22.95" customHeight="1">
      <c r="P656">
        <f t="shared" si="20"/>
        <v>0</v>
      </c>
      <c r="Q656" t="str">
        <f>IF(AND(P656&gt;1,COUNTIF($E$6:E656,E656)=1),MAX($Q$5:Q655)+1,"")</f>
        <v/>
      </c>
      <c r="R656" t="str">
        <f t="shared" si="21"/>
        <v/>
      </c>
    </row>
    <row r="657" spans="16:18" ht="22.95" customHeight="1">
      <c r="P657">
        <f t="shared" si="20"/>
        <v>0</v>
      </c>
      <c r="Q657" t="str">
        <f>IF(AND(P657&gt;1,COUNTIF($E$6:E657,E657)=1),MAX($Q$5:Q656)+1,"")</f>
        <v/>
      </c>
      <c r="R657" t="str">
        <f t="shared" si="21"/>
        <v/>
      </c>
    </row>
    <row r="658" spans="16:18" ht="22.95" customHeight="1">
      <c r="P658">
        <f t="shared" si="20"/>
        <v>0</v>
      </c>
      <c r="Q658" t="str">
        <f>IF(AND(P658&gt;1,COUNTIF($E$6:E658,E658)=1),MAX($Q$5:Q657)+1,"")</f>
        <v/>
      </c>
      <c r="R658" t="str">
        <f t="shared" si="21"/>
        <v/>
      </c>
    </row>
    <row r="659" spans="16:18" ht="22.95" customHeight="1">
      <c r="P659">
        <f t="shared" si="20"/>
        <v>0</v>
      </c>
      <c r="Q659" t="str">
        <f>IF(AND(P659&gt;1,COUNTIF($E$6:E659,E659)=1),MAX($Q$5:Q658)+1,"")</f>
        <v/>
      </c>
      <c r="R659" t="str">
        <f t="shared" si="21"/>
        <v/>
      </c>
    </row>
    <row r="660" spans="16:18" ht="22.95" customHeight="1">
      <c r="P660">
        <f t="shared" si="20"/>
        <v>0</v>
      </c>
      <c r="Q660" t="str">
        <f>IF(AND(P660&gt;1,COUNTIF($E$6:E660,E660)=1),MAX($Q$5:Q659)+1,"")</f>
        <v/>
      </c>
      <c r="R660" t="str">
        <f t="shared" si="21"/>
        <v/>
      </c>
    </row>
    <row r="661" spans="16:18" ht="22.95" customHeight="1">
      <c r="P661">
        <f t="shared" si="20"/>
        <v>0</v>
      </c>
      <c r="Q661" t="str">
        <f>IF(AND(P661&gt;1,COUNTIF($E$6:E661,E661)=1),MAX($Q$5:Q660)+1,"")</f>
        <v/>
      </c>
      <c r="R661" t="str">
        <f t="shared" si="21"/>
        <v/>
      </c>
    </row>
    <row r="662" spans="16:18" ht="22.95" customHeight="1">
      <c r="P662">
        <f t="shared" si="20"/>
        <v>0</v>
      </c>
      <c r="Q662" t="str">
        <f>IF(AND(P662&gt;1,COUNTIF($E$6:E662,E662)=1),MAX($Q$5:Q661)+1,"")</f>
        <v/>
      </c>
      <c r="R662" t="str">
        <f t="shared" si="21"/>
        <v/>
      </c>
    </row>
    <row r="663" spans="16:18" ht="22.95" customHeight="1">
      <c r="P663">
        <f t="shared" si="20"/>
        <v>0</v>
      </c>
      <c r="Q663" t="str">
        <f>IF(AND(P663&gt;1,COUNTIF($E$6:E663,E663)=1),MAX($Q$5:Q662)+1,"")</f>
        <v/>
      </c>
      <c r="R663" t="str">
        <f t="shared" si="21"/>
        <v/>
      </c>
    </row>
    <row r="664" spans="16:18" ht="22.95" customHeight="1">
      <c r="P664">
        <f t="shared" si="20"/>
        <v>0</v>
      </c>
      <c r="Q664" t="str">
        <f>IF(AND(P664&gt;1,COUNTIF($E$6:E664,E664)=1),MAX($Q$5:Q663)+1,"")</f>
        <v/>
      </c>
      <c r="R664" t="str">
        <f t="shared" si="21"/>
        <v/>
      </c>
    </row>
    <row r="665" spans="16:18" ht="22.95" customHeight="1">
      <c r="P665">
        <f t="shared" si="20"/>
        <v>0</v>
      </c>
      <c r="Q665" t="str">
        <f>IF(AND(P665&gt;1,COUNTIF($E$6:E665,E665)=1),MAX($Q$5:Q664)+1,"")</f>
        <v/>
      </c>
      <c r="R665" t="str">
        <f t="shared" si="21"/>
        <v/>
      </c>
    </row>
    <row r="666" spans="16:18" ht="22.95" customHeight="1">
      <c r="P666">
        <f t="shared" si="20"/>
        <v>0</v>
      </c>
      <c r="Q666" t="str">
        <f>IF(AND(P666&gt;1,COUNTIF($E$6:E666,E666)=1),MAX($Q$5:Q665)+1,"")</f>
        <v/>
      </c>
      <c r="R666" t="str">
        <f t="shared" si="21"/>
        <v/>
      </c>
    </row>
    <row r="667" spans="16:18" ht="22.95" customHeight="1">
      <c r="P667">
        <f t="shared" si="20"/>
        <v>0</v>
      </c>
      <c r="Q667" t="str">
        <f>IF(AND(P667&gt;1,COUNTIF($E$6:E667,E667)=1),MAX($Q$5:Q666)+1,"")</f>
        <v/>
      </c>
      <c r="R667" t="str">
        <f t="shared" si="21"/>
        <v/>
      </c>
    </row>
    <row r="668" spans="16:18" ht="22.95" customHeight="1">
      <c r="P668">
        <f t="shared" si="20"/>
        <v>0</v>
      </c>
      <c r="Q668" t="str">
        <f>IF(AND(P668&gt;1,COUNTIF($E$6:E668,E668)=1),MAX($Q$5:Q667)+1,"")</f>
        <v/>
      </c>
      <c r="R668" t="str">
        <f t="shared" si="21"/>
        <v/>
      </c>
    </row>
    <row r="669" spans="16:18" ht="22.95" customHeight="1">
      <c r="P669">
        <f t="shared" si="20"/>
        <v>0</v>
      </c>
      <c r="Q669" t="str">
        <f>IF(AND(P669&gt;1,COUNTIF($E$6:E669,E669)=1),MAX($Q$5:Q668)+1,"")</f>
        <v/>
      </c>
      <c r="R669" t="str">
        <f t="shared" si="21"/>
        <v/>
      </c>
    </row>
    <row r="670" spans="16:18" ht="22.95" customHeight="1">
      <c r="P670">
        <f t="shared" si="20"/>
        <v>0</v>
      </c>
      <c r="Q670" t="str">
        <f>IF(AND(P670&gt;1,COUNTIF($E$6:E670,E670)=1),MAX($Q$5:Q669)+1,"")</f>
        <v/>
      </c>
      <c r="R670" t="str">
        <f t="shared" si="21"/>
        <v/>
      </c>
    </row>
    <row r="671" spans="16:18" ht="22.95" customHeight="1">
      <c r="P671">
        <f t="shared" si="20"/>
        <v>0</v>
      </c>
      <c r="Q671" t="str">
        <f>IF(AND(P671&gt;1,COUNTIF($E$6:E671,E671)=1),MAX($Q$5:Q670)+1,"")</f>
        <v/>
      </c>
      <c r="R671" t="str">
        <f t="shared" si="21"/>
        <v/>
      </c>
    </row>
    <row r="672" spans="16:18" ht="22.95" customHeight="1">
      <c r="P672">
        <f t="shared" si="20"/>
        <v>0</v>
      </c>
      <c r="Q672" t="str">
        <f>IF(AND(P672&gt;1,COUNTIF($E$6:E672,E672)=1),MAX($Q$5:Q671)+1,"")</f>
        <v/>
      </c>
      <c r="R672" t="str">
        <f t="shared" si="21"/>
        <v/>
      </c>
    </row>
    <row r="673" spans="16:18" ht="22.95" customHeight="1">
      <c r="P673">
        <f t="shared" si="20"/>
        <v>0</v>
      </c>
      <c r="Q673" t="str">
        <f>IF(AND(P673&gt;1,COUNTIF($E$6:E673,E673)=1),MAX($Q$5:Q672)+1,"")</f>
        <v/>
      </c>
      <c r="R673" t="str">
        <f t="shared" si="21"/>
        <v/>
      </c>
    </row>
    <row r="674" spans="16:18" ht="22.95" customHeight="1">
      <c r="P674">
        <f t="shared" si="20"/>
        <v>0</v>
      </c>
      <c r="Q674" t="str">
        <f>IF(AND(P674&gt;1,COUNTIF($E$6:E674,E674)=1),MAX($Q$5:Q673)+1,"")</f>
        <v/>
      </c>
      <c r="R674" t="str">
        <f t="shared" si="21"/>
        <v/>
      </c>
    </row>
    <row r="675" spans="16:18" ht="22.95" customHeight="1">
      <c r="P675">
        <f t="shared" si="20"/>
        <v>0</v>
      </c>
      <c r="Q675" t="str">
        <f>IF(AND(P675&gt;1,COUNTIF($E$6:E675,E675)=1),MAX($Q$5:Q674)+1,"")</f>
        <v/>
      </c>
      <c r="R675" t="str">
        <f t="shared" si="21"/>
        <v/>
      </c>
    </row>
    <row r="676" spans="16:18" ht="22.95" customHeight="1">
      <c r="P676">
        <f t="shared" si="20"/>
        <v>0</v>
      </c>
      <c r="Q676" t="str">
        <f>IF(AND(P676&gt;1,COUNTIF($E$6:E676,E676)=1),MAX($Q$5:Q675)+1,"")</f>
        <v/>
      </c>
      <c r="R676" t="str">
        <f t="shared" si="21"/>
        <v/>
      </c>
    </row>
    <row r="677" spans="16:18" ht="22.95" customHeight="1">
      <c r="P677">
        <f t="shared" si="20"/>
        <v>0</v>
      </c>
      <c r="Q677" t="str">
        <f>IF(AND(P677&gt;1,COUNTIF($E$6:E677,E677)=1),MAX($Q$5:Q676)+1,"")</f>
        <v/>
      </c>
      <c r="R677" t="str">
        <f t="shared" si="21"/>
        <v/>
      </c>
    </row>
    <row r="678" spans="16:18" ht="22.95" customHeight="1">
      <c r="P678">
        <f t="shared" si="20"/>
        <v>0</v>
      </c>
      <c r="Q678" t="str">
        <f>IF(AND(P678&gt;1,COUNTIF($E$6:E678,E678)=1),MAX($Q$5:Q677)+1,"")</f>
        <v/>
      </c>
      <c r="R678" t="str">
        <f t="shared" si="21"/>
        <v/>
      </c>
    </row>
    <row r="679" spans="16:18" ht="22.95" customHeight="1">
      <c r="P679">
        <f t="shared" si="20"/>
        <v>0</v>
      </c>
      <c r="Q679" t="str">
        <f>IF(AND(P679&gt;1,COUNTIF($E$6:E679,E679)=1),MAX($Q$5:Q678)+1,"")</f>
        <v/>
      </c>
      <c r="R679" t="str">
        <f t="shared" si="21"/>
        <v/>
      </c>
    </row>
    <row r="680" spans="16:18" ht="22.95" customHeight="1">
      <c r="P680">
        <f t="shared" si="20"/>
        <v>0</v>
      </c>
      <c r="Q680" t="str">
        <f>IF(AND(P680&gt;1,COUNTIF($E$6:E680,E680)=1),MAX($Q$5:Q679)+1,"")</f>
        <v/>
      </c>
      <c r="R680" t="str">
        <f t="shared" si="21"/>
        <v/>
      </c>
    </row>
    <row r="681" spans="16:18" ht="22.95" customHeight="1">
      <c r="P681">
        <f t="shared" si="20"/>
        <v>0</v>
      </c>
      <c r="Q681" t="str">
        <f>IF(AND(P681&gt;1,COUNTIF($E$6:E681,E681)=1),MAX($Q$5:Q680)+1,"")</f>
        <v/>
      </c>
      <c r="R681" t="str">
        <f t="shared" si="21"/>
        <v/>
      </c>
    </row>
    <row r="682" spans="16:18" ht="22.95" customHeight="1">
      <c r="P682">
        <f t="shared" si="20"/>
        <v>0</v>
      </c>
      <c r="Q682" t="str">
        <f>IF(AND(P682&gt;1,COUNTIF($E$6:E682,E682)=1),MAX($Q$5:Q681)+1,"")</f>
        <v/>
      </c>
      <c r="R682" t="str">
        <f t="shared" si="21"/>
        <v/>
      </c>
    </row>
    <row r="683" spans="16:18" ht="22.95" customHeight="1">
      <c r="P683">
        <f t="shared" si="20"/>
        <v>0</v>
      </c>
      <c r="Q683" t="str">
        <f>IF(AND(P683&gt;1,COUNTIF($E$6:E683,E683)=1),MAX($Q$5:Q682)+1,"")</f>
        <v/>
      </c>
      <c r="R683" t="str">
        <f t="shared" si="21"/>
        <v/>
      </c>
    </row>
    <row r="684" spans="16:18" ht="22.95" customHeight="1">
      <c r="P684">
        <f t="shared" si="20"/>
        <v>0</v>
      </c>
      <c r="Q684" t="str">
        <f>IF(AND(P684&gt;1,COUNTIF($E$6:E684,E684)=1),MAX($Q$5:Q683)+1,"")</f>
        <v/>
      </c>
      <c r="R684" t="str">
        <f t="shared" si="21"/>
        <v/>
      </c>
    </row>
    <row r="685" spans="16:18" ht="22.95" customHeight="1">
      <c r="P685">
        <f t="shared" si="20"/>
        <v>0</v>
      </c>
      <c r="Q685" t="str">
        <f>IF(AND(P685&gt;1,COUNTIF($E$6:E685,E685)=1),MAX($Q$5:Q684)+1,"")</f>
        <v/>
      </c>
      <c r="R685" t="str">
        <f t="shared" si="21"/>
        <v/>
      </c>
    </row>
    <row r="686" spans="16:18" ht="22.95" customHeight="1">
      <c r="P686">
        <f t="shared" si="20"/>
        <v>0</v>
      </c>
      <c r="Q686" t="str">
        <f>IF(AND(P686&gt;1,COUNTIF($E$6:E686,E686)=1),MAX($Q$5:Q685)+1,"")</f>
        <v/>
      </c>
      <c r="R686" t="str">
        <f t="shared" si="21"/>
        <v/>
      </c>
    </row>
    <row r="687" spans="16:18" ht="22.95" customHeight="1">
      <c r="P687">
        <f t="shared" si="20"/>
        <v>0</v>
      </c>
      <c r="Q687" t="str">
        <f>IF(AND(P687&gt;1,COUNTIF($E$6:E687,E687)=1),MAX($Q$5:Q686)+1,"")</f>
        <v/>
      </c>
      <c r="R687" t="str">
        <f t="shared" si="21"/>
        <v/>
      </c>
    </row>
    <row r="688" spans="16:18" ht="22.95" customHeight="1">
      <c r="P688">
        <f t="shared" si="20"/>
        <v>0</v>
      </c>
      <c r="Q688" t="str">
        <f>IF(AND(P688&gt;1,COUNTIF($E$6:E688,E688)=1),MAX($Q$5:Q687)+1,"")</f>
        <v/>
      </c>
      <c r="R688" t="str">
        <f t="shared" si="21"/>
        <v/>
      </c>
    </row>
    <row r="689" spans="16:18" ht="22.95" customHeight="1">
      <c r="P689">
        <f t="shared" si="20"/>
        <v>0</v>
      </c>
      <c r="Q689" t="str">
        <f>IF(AND(P689&gt;1,COUNTIF($E$6:E689,E689)=1),MAX($Q$5:Q688)+1,"")</f>
        <v/>
      </c>
      <c r="R689" t="str">
        <f t="shared" si="21"/>
        <v/>
      </c>
    </row>
    <row r="690" spans="16:18" ht="22.95" customHeight="1">
      <c r="P690">
        <f t="shared" si="20"/>
        <v>0</v>
      </c>
      <c r="Q690" t="str">
        <f>IF(AND(P690&gt;1,COUNTIF($E$6:E690,E690)=1),MAX($Q$5:Q689)+1,"")</f>
        <v/>
      </c>
      <c r="R690" t="str">
        <f t="shared" si="21"/>
        <v/>
      </c>
    </row>
    <row r="691" spans="16:18" ht="22.95" customHeight="1">
      <c r="P691">
        <f t="shared" si="20"/>
        <v>0</v>
      </c>
      <c r="Q691" t="str">
        <f>IF(AND(P691&gt;1,COUNTIF($E$6:E691,E691)=1),MAX($Q$5:Q690)+1,"")</f>
        <v/>
      </c>
      <c r="R691" t="str">
        <f t="shared" si="21"/>
        <v/>
      </c>
    </row>
    <row r="692" spans="16:18" ht="22.95" customHeight="1">
      <c r="P692">
        <f t="shared" si="20"/>
        <v>0</v>
      </c>
      <c r="Q692" t="str">
        <f>IF(AND(P692&gt;1,COUNTIF($E$6:E692,E692)=1),MAX($Q$5:Q691)+1,"")</f>
        <v/>
      </c>
      <c r="R692" t="str">
        <f t="shared" si="21"/>
        <v/>
      </c>
    </row>
    <row r="693" spans="16:18" ht="22.95" customHeight="1">
      <c r="P693">
        <f t="shared" si="20"/>
        <v>0</v>
      </c>
      <c r="Q693" t="str">
        <f>IF(AND(P693&gt;1,COUNTIF($E$6:E693,E693)=1),MAX($Q$5:Q692)+1,"")</f>
        <v/>
      </c>
      <c r="R693" t="str">
        <f t="shared" si="21"/>
        <v/>
      </c>
    </row>
    <row r="694" spans="16:18" ht="22.95" customHeight="1">
      <c r="P694">
        <f t="shared" si="20"/>
        <v>0</v>
      </c>
      <c r="Q694" t="str">
        <f>IF(AND(P694&gt;1,COUNTIF($E$6:E694,E694)=1),MAX($Q$5:Q693)+1,"")</f>
        <v/>
      </c>
      <c r="R694" t="str">
        <f t="shared" si="21"/>
        <v/>
      </c>
    </row>
    <row r="695" spans="16:18" ht="22.95" customHeight="1">
      <c r="P695">
        <f t="shared" si="20"/>
        <v>0</v>
      </c>
      <c r="Q695" t="str">
        <f>IF(AND(P695&gt;1,COUNTIF($E$6:E695,E695)=1),MAX($Q$5:Q694)+1,"")</f>
        <v/>
      </c>
      <c r="R695" t="str">
        <f t="shared" si="21"/>
        <v/>
      </c>
    </row>
    <row r="696" spans="16:18" ht="22.95" customHeight="1">
      <c r="P696">
        <f t="shared" si="20"/>
        <v>0</v>
      </c>
      <c r="Q696" t="str">
        <f>IF(AND(P696&gt;1,COUNTIF($E$6:E696,E696)=1),MAX($Q$5:Q695)+1,"")</f>
        <v/>
      </c>
      <c r="R696" t="str">
        <f t="shared" si="21"/>
        <v/>
      </c>
    </row>
    <row r="697" spans="16:18" ht="22.95" customHeight="1">
      <c r="P697">
        <f t="shared" si="20"/>
        <v>0</v>
      </c>
      <c r="Q697" t="str">
        <f>IF(AND(P697&gt;1,COUNTIF($E$6:E697,E697)=1),MAX($Q$5:Q696)+1,"")</f>
        <v/>
      </c>
      <c r="R697" t="str">
        <f t="shared" si="21"/>
        <v/>
      </c>
    </row>
    <row r="698" spans="16:18" ht="22.95" customHeight="1">
      <c r="P698">
        <f t="shared" si="20"/>
        <v>0</v>
      </c>
      <c r="Q698" t="str">
        <f>IF(AND(P698&gt;1,COUNTIF($E$6:E698,E698)=1),MAX($Q$5:Q697)+1,"")</f>
        <v/>
      </c>
      <c r="R698" t="str">
        <f t="shared" si="21"/>
        <v/>
      </c>
    </row>
    <row r="699" spans="16:18" ht="22.95" customHeight="1">
      <c r="P699">
        <f t="shared" si="20"/>
        <v>0</v>
      </c>
      <c r="Q699" t="str">
        <f>IF(AND(P699&gt;1,COUNTIF($E$6:E699,E699)=1),MAX($Q$5:Q698)+1,"")</f>
        <v/>
      </c>
      <c r="R699" t="str">
        <f t="shared" si="21"/>
        <v/>
      </c>
    </row>
    <row r="700" spans="16:18" ht="22.95" customHeight="1">
      <c r="P700">
        <f t="shared" si="20"/>
        <v>0</v>
      </c>
      <c r="Q700" t="str">
        <f>IF(AND(P700&gt;1,COUNTIF($E$6:E700,E700)=1),MAX($Q$5:Q699)+1,"")</f>
        <v/>
      </c>
      <c r="R700" t="str">
        <f t="shared" si="21"/>
        <v/>
      </c>
    </row>
    <row r="701" spans="16:18" ht="22.95" customHeight="1">
      <c r="P701">
        <f t="shared" si="20"/>
        <v>0</v>
      </c>
      <c r="Q701" t="str">
        <f>IF(AND(P701&gt;1,COUNTIF($E$6:E701,E701)=1),MAX($Q$5:Q700)+1,"")</f>
        <v/>
      </c>
      <c r="R701" t="str">
        <f t="shared" si="21"/>
        <v/>
      </c>
    </row>
    <row r="702" spans="16:18" ht="22.95" customHeight="1">
      <c r="P702">
        <f t="shared" si="20"/>
        <v>0</v>
      </c>
      <c r="Q702" t="str">
        <f>IF(AND(P702&gt;1,COUNTIF($E$6:E702,E702)=1),MAX($Q$5:Q701)+1,"")</f>
        <v/>
      </c>
      <c r="R702" t="str">
        <f t="shared" si="21"/>
        <v/>
      </c>
    </row>
    <row r="703" spans="16:18" ht="22.95" customHeight="1">
      <c r="P703">
        <f t="shared" si="20"/>
        <v>0</v>
      </c>
      <c r="Q703" t="str">
        <f>IF(AND(P703&gt;1,COUNTIF($E$6:E703,E703)=1),MAX($Q$5:Q702)+1,"")</f>
        <v/>
      </c>
      <c r="R703" t="str">
        <f t="shared" si="21"/>
        <v/>
      </c>
    </row>
    <row r="704" spans="16:18" ht="22.95" customHeight="1">
      <c r="P704">
        <f t="shared" si="20"/>
        <v>0</v>
      </c>
      <c r="Q704" t="str">
        <f>IF(AND(P704&gt;1,COUNTIF($E$6:E704,E704)=1),MAX($Q$5:Q703)+1,"")</f>
        <v/>
      </c>
      <c r="R704" t="str">
        <f t="shared" si="21"/>
        <v/>
      </c>
    </row>
    <row r="705" spans="16:18" ht="22.95" customHeight="1">
      <c r="P705">
        <f t="shared" si="20"/>
        <v>0</v>
      </c>
      <c r="Q705" t="str">
        <f>IF(AND(P705&gt;1,COUNTIF($E$6:E705,E705)=1),MAX($Q$5:Q704)+1,"")</f>
        <v/>
      </c>
      <c r="R705" t="str">
        <f t="shared" si="21"/>
        <v/>
      </c>
    </row>
    <row r="706" spans="16:18" ht="22.95" customHeight="1">
      <c r="P706">
        <f t="shared" si="20"/>
        <v>0</v>
      </c>
      <c r="Q706" t="str">
        <f>IF(AND(P706&gt;1,COUNTIF($E$6:E706,E706)=1),MAX($Q$5:Q705)+1,"")</f>
        <v/>
      </c>
      <c r="R706" t="str">
        <f t="shared" si="21"/>
        <v/>
      </c>
    </row>
    <row r="707" spans="16:18" ht="22.95" customHeight="1">
      <c r="P707">
        <f t="shared" si="20"/>
        <v>0</v>
      </c>
      <c r="Q707" t="str">
        <f>IF(AND(P707&gt;1,COUNTIF($E$6:E707,E707)=1),MAX($Q$5:Q706)+1,"")</f>
        <v/>
      </c>
      <c r="R707" t="str">
        <f t="shared" si="21"/>
        <v/>
      </c>
    </row>
    <row r="708" spans="16:18" ht="22.95" customHeight="1">
      <c r="P708">
        <f t="shared" si="20"/>
        <v>0</v>
      </c>
      <c r="Q708" t="str">
        <f>IF(AND(P708&gt;1,COUNTIF($E$6:E708,E708)=1),MAX($Q$5:Q707)+1,"")</f>
        <v/>
      </c>
      <c r="R708" t="str">
        <f t="shared" si="21"/>
        <v/>
      </c>
    </row>
    <row r="709" spans="16:18" ht="22.95" customHeight="1">
      <c r="P709">
        <f t="shared" si="20"/>
        <v>0</v>
      </c>
      <c r="Q709" t="str">
        <f>IF(AND(P709&gt;1,COUNTIF($E$6:E709,E709)=1),MAX($Q$5:Q708)+1,"")</f>
        <v/>
      </c>
      <c r="R709" t="str">
        <f t="shared" si="21"/>
        <v/>
      </c>
    </row>
    <row r="710" spans="16:18" ht="22.95" customHeight="1">
      <c r="P710">
        <f t="shared" ref="P710:P773" si="22">COUNTIF($E$6:$E$1740,E710)</f>
        <v>0</v>
      </c>
      <c r="Q710" t="str">
        <f>IF(AND(P710&gt;1,COUNTIF($E$6:E710,E710)=1),MAX($Q$5:Q709)+1,"")</f>
        <v/>
      </c>
      <c r="R710" t="str">
        <f t="shared" ref="R710:R773" si="23">IF(Q710="","",IF(COUNTIFS($E$6:$E$1740,E710,$A$6:$A$1740,A710,$C$6:$C$1740,C710)&lt;P710,"LÉGITIME",IF(COUNTIFS($E$6:$E$1740,E710,$A$6:$A$1740,A710,$C$6:$C$1740,C710,$M$6:$M$1740,M710)&lt;P710,"STATUT DIFFÉRENT","VRAI DOUBLON")))</f>
        <v/>
      </c>
    </row>
    <row r="711" spans="16:18" ht="22.95" customHeight="1">
      <c r="P711">
        <f t="shared" si="22"/>
        <v>0</v>
      </c>
      <c r="Q711" t="str">
        <f>IF(AND(P711&gt;1,COUNTIF($E$6:E711,E711)=1),MAX($Q$5:Q710)+1,"")</f>
        <v/>
      </c>
      <c r="R711" t="str">
        <f t="shared" si="23"/>
        <v/>
      </c>
    </row>
    <row r="712" spans="16:18" ht="22.95" customHeight="1">
      <c r="P712">
        <f t="shared" si="22"/>
        <v>0</v>
      </c>
      <c r="Q712" t="str">
        <f>IF(AND(P712&gt;1,COUNTIF($E$6:E712,E712)=1),MAX($Q$5:Q711)+1,"")</f>
        <v/>
      </c>
      <c r="R712" t="str">
        <f t="shared" si="23"/>
        <v/>
      </c>
    </row>
    <row r="713" spans="16:18" ht="22.95" customHeight="1">
      <c r="P713">
        <f t="shared" si="22"/>
        <v>0</v>
      </c>
      <c r="Q713" t="str">
        <f>IF(AND(P713&gt;1,COUNTIF($E$6:E713,E713)=1),MAX($Q$5:Q712)+1,"")</f>
        <v/>
      </c>
      <c r="R713" t="str">
        <f t="shared" si="23"/>
        <v/>
      </c>
    </row>
    <row r="714" spans="16:18" ht="22.95" customHeight="1">
      <c r="P714">
        <f t="shared" si="22"/>
        <v>0</v>
      </c>
      <c r="Q714" t="str">
        <f>IF(AND(P714&gt;1,COUNTIF($E$6:E714,E714)=1),MAX($Q$5:Q713)+1,"")</f>
        <v/>
      </c>
      <c r="R714" t="str">
        <f t="shared" si="23"/>
        <v/>
      </c>
    </row>
    <row r="715" spans="16:18" ht="22.95" customHeight="1">
      <c r="P715">
        <f t="shared" si="22"/>
        <v>0</v>
      </c>
      <c r="Q715" t="str">
        <f>IF(AND(P715&gt;1,COUNTIF($E$6:E715,E715)=1),MAX($Q$5:Q714)+1,"")</f>
        <v/>
      </c>
      <c r="R715" t="str">
        <f t="shared" si="23"/>
        <v/>
      </c>
    </row>
    <row r="716" spans="16:18" ht="22.95" customHeight="1">
      <c r="P716">
        <f t="shared" si="22"/>
        <v>0</v>
      </c>
      <c r="Q716" t="str">
        <f>IF(AND(P716&gt;1,COUNTIF($E$6:E716,E716)=1),MAX($Q$5:Q715)+1,"")</f>
        <v/>
      </c>
      <c r="R716" t="str">
        <f t="shared" si="23"/>
        <v/>
      </c>
    </row>
    <row r="717" spans="16:18" ht="22.95" customHeight="1">
      <c r="P717">
        <f t="shared" si="22"/>
        <v>0</v>
      </c>
      <c r="Q717" t="str">
        <f>IF(AND(P717&gt;1,COUNTIF($E$6:E717,E717)=1),MAX($Q$5:Q716)+1,"")</f>
        <v/>
      </c>
      <c r="R717" t="str">
        <f t="shared" si="23"/>
        <v/>
      </c>
    </row>
    <row r="718" spans="16:18" ht="22.95" customHeight="1">
      <c r="P718">
        <f t="shared" si="22"/>
        <v>0</v>
      </c>
      <c r="Q718" t="str">
        <f>IF(AND(P718&gt;1,COUNTIF($E$6:E718,E718)=1),MAX($Q$5:Q717)+1,"")</f>
        <v/>
      </c>
      <c r="R718" t="str">
        <f t="shared" si="23"/>
        <v/>
      </c>
    </row>
    <row r="719" spans="16:18" ht="22.95" customHeight="1">
      <c r="P719">
        <f t="shared" si="22"/>
        <v>0</v>
      </c>
      <c r="Q719" t="str">
        <f>IF(AND(P719&gt;1,COUNTIF($E$6:E719,E719)=1),MAX($Q$5:Q718)+1,"")</f>
        <v/>
      </c>
      <c r="R719" t="str">
        <f t="shared" si="23"/>
        <v/>
      </c>
    </row>
    <row r="720" spans="16:18" ht="22.95" customHeight="1">
      <c r="P720">
        <f t="shared" si="22"/>
        <v>0</v>
      </c>
      <c r="Q720" t="str">
        <f>IF(AND(P720&gt;1,COUNTIF($E$6:E720,E720)=1),MAX($Q$5:Q719)+1,"")</f>
        <v/>
      </c>
      <c r="R720" t="str">
        <f t="shared" si="23"/>
        <v/>
      </c>
    </row>
    <row r="721" spans="16:18" ht="22.95" customHeight="1">
      <c r="P721">
        <f t="shared" si="22"/>
        <v>0</v>
      </c>
      <c r="Q721" t="str">
        <f>IF(AND(P721&gt;1,COUNTIF($E$6:E721,E721)=1),MAX($Q$5:Q720)+1,"")</f>
        <v/>
      </c>
      <c r="R721" t="str">
        <f t="shared" si="23"/>
        <v/>
      </c>
    </row>
    <row r="722" spans="16:18" ht="22.95" customHeight="1">
      <c r="P722">
        <f t="shared" si="22"/>
        <v>0</v>
      </c>
      <c r="Q722" t="str">
        <f>IF(AND(P722&gt;1,COUNTIF($E$6:E722,E722)=1),MAX($Q$5:Q721)+1,"")</f>
        <v/>
      </c>
      <c r="R722" t="str">
        <f t="shared" si="23"/>
        <v/>
      </c>
    </row>
    <row r="723" spans="16:18" ht="22.95" customHeight="1">
      <c r="P723">
        <f t="shared" si="22"/>
        <v>0</v>
      </c>
      <c r="Q723" t="str">
        <f>IF(AND(P723&gt;1,COUNTIF($E$6:E723,E723)=1),MAX($Q$5:Q722)+1,"")</f>
        <v/>
      </c>
      <c r="R723" t="str">
        <f t="shared" si="23"/>
        <v/>
      </c>
    </row>
    <row r="724" spans="16:18" ht="22.95" customHeight="1">
      <c r="P724">
        <f t="shared" si="22"/>
        <v>0</v>
      </c>
      <c r="Q724" t="str">
        <f>IF(AND(P724&gt;1,COUNTIF($E$6:E724,E724)=1),MAX($Q$5:Q723)+1,"")</f>
        <v/>
      </c>
      <c r="R724" t="str">
        <f t="shared" si="23"/>
        <v/>
      </c>
    </row>
    <row r="725" spans="16:18" ht="22.95" customHeight="1">
      <c r="P725">
        <f t="shared" si="22"/>
        <v>0</v>
      </c>
      <c r="Q725" t="str">
        <f>IF(AND(P725&gt;1,COUNTIF($E$6:E725,E725)=1),MAX($Q$5:Q724)+1,"")</f>
        <v/>
      </c>
      <c r="R725" t="str">
        <f t="shared" si="23"/>
        <v/>
      </c>
    </row>
    <row r="726" spans="16:18" ht="22.95" customHeight="1">
      <c r="P726">
        <f t="shared" si="22"/>
        <v>0</v>
      </c>
      <c r="Q726" t="str">
        <f>IF(AND(P726&gt;1,COUNTIF($E$6:E726,E726)=1),MAX($Q$5:Q725)+1,"")</f>
        <v/>
      </c>
      <c r="R726" t="str">
        <f t="shared" si="23"/>
        <v/>
      </c>
    </row>
    <row r="727" spans="16:18" ht="22.95" customHeight="1">
      <c r="P727">
        <f t="shared" si="22"/>
        <v>0</v>
      </c>
      <c r="Q727" t="str">
        <f>IF(AND(P727&gt;1,COUNTIF($E$6:E727,E727)=1),MAX($Q$5:Q726)+1,"")</f>
        <v/>
      </c>
      <c r="R727" t="str">
        <f t="shared" si="23"/>
        <v/>
      </c>
    </row>
    <row r="728" spans="16:18" ht="22.95" customHeight="1">
      <c r="P728">
        <f t="shared" si="22"/>
        <v>0</v>
      </c>
      <c r="Q728" t="str">
        <f>IF(AND(P728&gt;1,COUNTIF($E$6:E728,E728)=1),MAX($Q$5:Q727)+1,"")</f>
        <v/>
      </c>
      <c r="R728" t="str">
        <f t="shared" si="23"/>
        <v/>
      </c>
    </row>
    <row r="729" spans="16:18" ht="22.95" customHeight="1">
      <c r="P729">
        <f t="shared" si="22"/>
        <v>0</v>
      </c>
      <c r="Q729" t="str">
        <f>IF(AND(P729&gt;1,COUNTIF($E$6:E729,E729)=1),MAX($Q$5:Q728)+1,"")</f>
        <v/>
      </c>
      <c r="R729" t="str">
        <f t="shared" si="23"/>
        <v/>
      </c>
    </row>
    <row r="730" spans="16:18" ht="22.95" customHeight="1">
      <c r="P730">
        <f t="shared" si="22"/>
        <v>0</v>
      </c>
      <c r="Q730" t="str">
        <f>IF(AND(P730&gt;1,COUNTIF($E$6:E730,E730)=1),MAX($Q$5:Q729)+1,"")</f>
        <v/>
      </c>
      <c r="R730" t="str">
        <f t="shared" si="23"/>
        <v/>
      </c>
    </row>
    <row r="731" spans="16:18" ht="22.95" customHeight="1">
      <c r="P731">
        <f t="shared" si="22"/>
        <v>0</v>
      </c>
      <c r="Q731" t="str">
        <f>IF(AND(P731&gt;1,COUNTIF($E$6:E731,E731)=1),MAX($Q$5:Q730)+1,"")</f>
        <v/>
      </c>
      <c r="R731" t="str">
        <f t="shared" si="23"/>
        <v/>
      </c>
    </row>
    <row r="732" spans="16:18" ht="22.95" customHeight="1">
      <c r="P732">
        <f t="shared" si="22"/>
        <v>0</v>
      </c>
      <c r="Q732" t="str">
        <f>IF(AND(P732&gt;1,COUNTIF($E$6:E732,E732)=1),MAX($Q$5:Q731)+1,"")</f>
        <v/>
      </c>
      <c r="R732" t="str">
        <f t="shared" si="23"/>
        <v/>
      </c>
    </row>
    <row r="733" spans="16:18" ht="22.95" customHeight="1">
      <c r="P733">
        <f t="shared" si="22"/>
        <v>0</v>
      </c>
      <c r="Q733" t="str">
        <f>IF(AND(P733&gt;1,COUNTIF($E$6:E733,E733)=1),MAX($Q$5:Q732)+1,"")</f>
        <v/>
      </c>
      <c r="R733" t="str">
        <f t="shared" si="23"/>
        <v/>
      </c>
    </row>
    <row r="734" spans="16:18" ht="22.95" customHeight="1">
      <c r="P734">
        <f t="shared" si="22"/>
        <v>0</v>
      </c>
      <c r="Q734" t="str">
        <f>IF(AND(P734&gt;1,COUNTIF($E$6:E734,E734)=1),MAX($Q$5:Q733)+1,"")</f>
        <v/>
      </c>
      <c r="R734" t="str">
        <f t="shared" si="23"/>
        <v/>
      </c>
    </row>
    <row r="735" spans="16:18" ht="22.95" customHeight="1">
      <c r="P735">
        <f t="shared" si="22"/>
        <v>0</v>
      </c>
      <c r="Q735" t="str">
        <f>IF(AND(P735&gt;1,COUNTIF($E$6:E735,E735)=1),MAX($Q$5:Q734)+1,"")</f>
        <v/>
      </c>
      <c r="R735" t="str">
        <f t="shared" si="23"/>
        <v/>
      </c>
    </row>
    <row r="736" spans="16:18" ht="22.95" customHeight="1">
      <c r="P736">
        <f t="shared" si="22"/>
        <v>0</v>
      </c>
      <c r="Q736" t="str">
        <f>IF(AND(P736&gt;1,COUNTIF($E$6:E736,E736)=1),MAX($Q$5:Q735)+1,"")</f>
        <v/>
      </c>
      <c r="R736" t="str">
        <f t="shared" si="23"/>
        <v/>
      </c>
    </row>
    <row r="737" spans="16:18" ht="22.95" customHeight="1">
      <c r="P737">
        <f t="shared" si="22"/>
        <v>0</v>
      </c>
      <c r="Q737" t="str">
        <f>IF(AND(P737&gt;1,COUNTIF($E$6:E737,E737)=1),MAX($Q$5:Q736)+1,"")</f>
        <v/>
      </c>
      <c r="R737" t="str">
        <f t="shared" si="23"/>
        <v/>
      </c>
    </row>
    <row r="738" spans="16:18" ht="22.95" customHeight="1">
      <c r="P738">
        <f t="shared" si="22"/>
        <v>0</v>
      </c>
      <c r="Q738" t="str">
        <f>IF(AND(P738&gt;1,COUNTIF($E$6:E738,E738)=1),MAX($Q$5:Q737)+1,"")</f>
        <v/>
      </c>
      <c r="R738" t="str">
        <f t="shared" si="23"/>
        <v/>
      </c>
    </row>
    <row r="739" spans="16:18" ht="22.95" customHeight="1">
      <c r="P739">
        <f t="shared" si="22"/>
        <v>0</v>
      </c>
      <c r="Q739" t="str">
        <f>IF(AND(P739&gt;1,COUNTIF($E$6:E739,E739)=1),MAX($Q$5:Q738)+1,"")</f>
        <v/>
      </c>
      <c r="R739" t="str">
        <f t="shared" si="23"/>
        <v/>
      </c>
    </row>
    <row r="740" spans="16:18" ht="22.95" customHeight="1">
      <c r="P740">
        <f t="shared" si="22"/>
        <v>0</v>
      </c>
      <c r="Q740" t="str">
        <f>IF(AND(P740&gt;1,COUNTIF($E$6:E740,E740)=1),MAX($Q$5:Q739)+1,"")</f>
        <v/>
      </c>
      <c r="R740" t="str">
        <f t="shared" si="23"/>
        <v/>
      </c>
    </row>
    <row r="741" spans="16:18" ht="22.95" customHeight="1">
      <c r="P741">
        <f t="shared" si="22"/>
        <v>0</v>
      </c>
      <c r="Q741" t="str">
        <f>IF(AND(P741&gt;1,COUNTIF($E$6:E741,E741)=1),MAX($Q$5:Q740)+1,"")</f>
        <v/>
      </c>
      <c r="R741" t="str">
        <f t="shared" si="23"/>
        <v/>
      </c>
    </row>
    <row r="742" spans="16:18" ht="22.95" customHeight="1">
      <c r="P742">
        <f t="shared" si="22"/>
        <v>0</v>
      </c>
      <c r="Q742" t="str">
        <f>IF(AND(P742&gt;1,COUNTIF($E$6:E742,E742)=1),MAX($Q$5:Q741)+1,"")</f>
        <v/>
      </c>
      <c r="R742" t="str">
        <f t="shared" si="23"/>
        <v/>
      </c>
    </row>
    <row r="743" spans="16:18" ht="22.95" customHeight="1">
      <c r="P743">
        <f t="shared" si="22"/>
        <v>0</v>
      </c>
      <c r="Q743" t="str">
        <f>IF(AND(P743&gt;1,COUNTIF($E$6:E743,E743)=1),MAX($Q$5:Q742)+1,"")</f>
        <v/>
      </c>
      <c r="R743" t="str">
        <f t="shared" si="23"/>
        <v/>
      </c>
    </row>
    <row r="744" spans="16:18" ht="22.95" customHeight="1">
      <c r="P744">
        <f t="shared" si="22"/>
        <v>0</v>
      </c>
      <c r="Q744" t="str">
        <f>IF(AND(P744&gt;1,COUNTIF($E$6:E744,E744)=1),MAX($Q$5:Q743)+1,"")</f>
        <v/>
      </c>
      <c r="R744" t="str">
        <f t="shared" si="23"/>
        <v/>
      </c>
    </row>
    <row r="745" spans="16:18" ht="22.95" customHeight="1">
      <c r="P745">
        <f t="shared" si="22"/>
        <v>0</v>
      </c>
      <c r="Q745" t="str">
        <f>IF(AND(P745&gt;1,COUNTIF($E$6:E745,E745)=1),MAX($Q$5:Q744)+1,"")</f>
        <v/>
      </c>
      <c r="R745" t="str">
        <f t="shared" si="23"/>
        <v/>
      </c>
    </row>
    <row r="746" spans="16:18" ht="22.95" customHeight="1">
      <c r="P746">
        <f t="shared" si="22"/>
        <v>0</v>
      </c>
      <c r="Q746" t="str">
        <f>IF(AND(P746&gt;1,COUNTIF($E$6:E746,E746)=1),MAX($Q$5:Q745)+1,"")</f>
        <v/>
      </c>
      <c r="R746" t="str">
        <f t="shared" si="23"/>
        <v/>
      </c>
    </row>
    <row r="747" spans="16:18" ht="22.95" customHeight="1">
      <c r="P747">
        <f t="shared" si="22"/>
        <v>0</v>
      </c>
      <c r="Q747" t="str">
        <f>IF(AND(P747&gt;1,COUNTIF($E$6:E747,E747)=1),MAX($Q$5:Q746)+1,"")</f>
        <v/>
      </c>
      <c r="R747" t="str">
        <f t="shared" si="23"/>
        <v/>
      </c>
    </row>
    <row r="748" spans="16:18" ht="22.95" customHeight="1">
      <c r="P748">
        <f t="shared" si="22"/>
        <v>0</v>
      </c>
      <c r="Q748" t="str">
        <f>IF(AND(P748&gt;1,COUNTIF($E$6:E748,E748)=1),MAX($Q$5:Q747)+1,"")</f>
        <v/>
      </c>
      <c r="R748" t="str">
        <f t="shared" si="23"/>
        <v/>
      </c>
    </row>
    <row r="749" spans="16:18" ht="22.95" customHeight="1">
      <c r="P749">
        <f t="shared" si="22"/>
        <v>0</v>
      </c>
      <c r="Q749" t="str">
        <f>IF(AND(P749&gt;1,COUNTIF($E$6:E749,E749)=1),MAX($Q$5:Q748)+1,"")</f>
        <v/>
      </c>
      <c r="R749" t="str">
        <f t="shared" si="23"/>
        <v/>
      </c>
    </row>
    <row r="750" spans="16:18" ht="22.95" customHeight="1">
      <c r="P750">
        <f t="shared" si="22"/>
        <v>0</v>
      </c>
      <c r="Q750" t="str">
        <f>IF(AND(P750&gt;1,COUNTIF($E$6:E750,E750)=1),MAX($Q$5:Q749)+1,"")</f>
        <v/>
      </c>
      <c r="R750" t="str">
        <f t="shared" si="23"/>
        <v/>
      </c>
    </row>
    <row r="751" spans="16:18" ht="22.95" customHeight="1">
      <c r="P751">
        <f t="shared" si="22"/>
        <v>0</v>
      </c>
      <c r="Q751" t="str">
        <f>IF(AND(P751&gt;1,COUNTIF($E$6:E751,E751)=1),MAX($Q$5:Q750)+1,"")</f>
        <v/>
      </c>
      <c r="R751" t="str">
        <f t="shared" si="23"/>
        <v/>
      </c>
    </row>
    <row r="752" spans="16:18" ht="22.95" customHeight="1">
      <c r="P752">
        <f t="shared" si="22"/>
        <v>0</v>
      </c>
      <c r="Q752" t="str">
        <f>IF(AND(P752&gt;1,COUNTIF($E$6:E752,E752)=1),MAX($Q$5:Q751)+1,"")</f>
        <v/>
      </c>
      <c r="R752" t="str">
        <f t="shared" si="23"/>
        <v/>
      </c>
    </row>
    <row r="753" spans="16:18" ht="22.95" customHeight="1">
      <c r="P753">
        <f t="shared" si="22"/>
        <v>0</v>
      </c>
      <c r="Q753" t="str">
        <f>IF(AND(P753&gt;1,COUNTIF($E$6:E753,E753)=1),MAX($Q$5:Q752)+1,"")</f>
        <v/>
      </c>
      <c r="R753" t="str">
        <f t="shared" si="23"/>
        <v/>
      </c>
    </row>
    <row r="754" spans="16:18" ht="22.95" customHeight="1">
      <c r="P754">
        <f t="shared" si="22"/>
        <v>0</v>
      </c>
      <c r="Q754" t="str">
        <f>IF(AND(P754&gt;1,COUNTIF($E$6:E754,E754)=1),MAX($Q$5:Q753)+1,"")</f>
        <v/>
      </c>
      <c r="R754" t="str">
        <f t="shared" si="23"/>
        <v/>
      </c>
    </row>
    <row r="755" spans="16:18" ht="22.95" customHeight="1">
      <c r="P755">
        <f t="shared" si="22"/>
        <v>0</v>
      </c>
      <c r="Q755" t="str">
        <f>IF(AND(P755&gt;1,COUNTIF($E$6:E755,E755)=1),MAX($Q$5:Q754)+1,"")</f>
        <v/>
      </c>
      <c r="R755" t="str">
        <f t="shared" si="23"/>
        <v/>
      </c>
    </row>
    <row r="756" spans="16:18" ht="22.95" customHeight="1">
      <c r="P756">
        <f t="shared" si="22"/>
        <v>0</v>
      </c>
      <c r="Q756" t="str">
        <f>IF(AND(P756&gt;1,COUNTIF($E$6:E756,E756)=1),MAX($Q$5:Q755)+1,"")</f>
        <v/>
      </c>
      <c r="R756" t="str">
        <f t="shared" si="23"/>
        <v/>
      </c>
    </row>
    <row r="757" spans="16:18" ht="22.95" customHeight="1">
      <c r="P757">
        <f t="shared" si="22"/>
        <v>0</v>
      </c>
      <c r="Q757" t="str">
        <f>IF(AND(P757&gt;1,COUNTIF($E$6:E757,E757)=1),MAX($Q$5:Q756)+1,"")</f>
        <v/>
      </c>
      <c r="R757" t="str">
        <f t="shared" si="23"/>
        <v/>
      </c>
    </row>
    <row r="758" spans="16:18" ht="22.95" customHeight="1">
      <c r="P758">
        <f t="shared" si="22"/>
        <v>0</v>
      </c>
      <c r="Q758" t="str">
        <f>IF(AND(P758&gt;1,COUNTIF($E$6:E758,E758)=1),MAX($Q$5:Q757)+1,"")</f>
        <v/>
      </c>
      <c r="R758" t="str">
        <f t="shared" si="23"/>
        <v/>
      </c>
    </row>
    <row r="759" spans="16:18" ht="22.95" customHeight="1">
      <c r="P759">
        <f t="shared" si="22"/>
        <v>0</v>
      </c>
      <c r="Q759" t="str">
        <f>IF(AND(P759&gt;1,COUNTIF($E$6:E759,E759)=1),MAX($Q$5:Q758)+1,"")</f>
        <v/>
      </c>
      <c r="R759" t="str">
        <f t="shared" si="23"/>
        <v/>
      </c>
    </row>
    <row r="760" spans="16:18" ht="22.95" customHeight="1">
      <c r="P760">
        <f t="shared" si="22"/>
        <v>0</v>
      </c>
      <c r="Q760" t="str">
        <f>IF(AND(P760&gt;1,COUNTIF($E$6:E760,E760)=1),MAX($Q$5:Q759)+1,"")</f>
        <v/>
      </c>
      <c r="R760" t="str">
        <f t="shared" si="23"/>
        <v/>
      </c>
    </row>
    <row r="761" spans="16:18" ht="22.95" customHeight="1">
      <c r="P761">
        <f t="shared" si="22"/>
        <v>0</v>
      </c>
      <c r="Q761" t="str">
        <f>IF(AND(P761&gt;1,COUNTIF($E$6:E761,E761)=1),MAX($Q$5:Q760)+1,"")</f>
        <v/>
      </c>
      <c r="R761" t="str">
        <f t="shared" si="23"/>
        <v/>
      </c>
    </row>
    <row r="762" spans="16:18" ht="22.95" customHeight="1">
      <c r="P762">
        <f t="shared" si="22"/>
        <v>0</v>
      </c>
      <c r="Q762" t="str">
        <f>IF(AND(P762&gt;1,COUNTIF($E$6:E762,E762)=1),MAX($Q$5:Q761)+1,"")</f>
        <v/>
      </c>
      <c r="R762" t="str">
        <f t="shared" si="23"/>
        <v/>
      </c>
    </row>
    <row r="763" spans="16:18" ht="22.95" customHeight="1">
      <c r="P763">
        <f t="shared" si="22"/>
        <v>0</v>
      </c>
      <c r="Q763" t="str">
        <f>IF(AND(P763&gt;1,COUNTIF($E$6:E763,E763)=1),MAX($Q$5:Q762)+1,"")</f>
        <v/>
      </c>
      <c r="R763" t="str">
        <f t="shared" si="23"/>
        <v/>
      </c>
    </row>
    <row r="764" spans="16:18" ht="22.95" customHeight="1">
      <c r="P764">
        <f t="shared" si="22"/>
        <v>0</v>
      </c>
      <c r="Q764" t="str">
        <f>IF(AND(P764&gt;1,COUNTIF($E$6:E764,E764)=1),MAX($Q$5:Q763)+1,"")</f>
        <v/>
      </c>
      <c r="R764" t="str">
        <f t="shared" si="23"/>
        <v/>
      </c>
    </row>
    <row r="765" spans="16:18" ht="22.95" customHeight="1">
      <c r="P765">
        <f t="shared" si="22"/>
        <v>0</v>
      </c>
      <c r="Q765" t="str">
        <f>IF(AND(P765&gt;1,COUNTIF($E$6:E765,E765)=1),MAX($Q$5:Q764)+1,"")</f>
        <v/>
      </c>
      <c r="R765" t="str">
        <f t="shared" si="23"/>
        <v/>
      </c>
    </row>
    <row r="766" spans="16:18" ht="22.95" customHeight="1">
      <c r="P766">
        <f t="shared" si="22"/>
        <v>0</v>
      </c>
      <c r="Q766" t="str">
        <f>IF(AND(P766&gt;1,COUNTIF($E$6:E766,E766)=1),MAX($Q$5:Q765)+1,"")</f>
        <v/>
      </c>
      <c r="R766" t="str">
        <f t="shared" si="23"/>
        <v/>
      </c>
    </row>
    <row r="767" spans="16:18" ht="22.95" customHeight="1">
      <c r="P767">
        <f t="shared" si="22"/>
        <v>0</v>
      </c>
      <c r="Q767" t="str">
        <f>IF(AND(P767&gt;1,COUNTIF($E$6:E767,E767)=1),MAX($Q$5:Q766)+1,"")</f>
        <v/>
      </c>
      <c r="R767" t="str">
        <f t="shared" si="23"/>
        <v/>
      </c>
    </row>
    <row r="768" spans="16:18" ht="22.95" customHeight="1">
      <c r="P768">
        <f t="shared" si="22"/>
        <v>0</v>
      </c>
      <c r="Q768" t="str">
        <f>IF(AND(P768&gt;1,COUNTIF($E$6:E768,E768)=1),MAX($Q$5:Q767)+1,"")</f>
        <v/>
      </c>
      <c r="R768" t="str">
        <f t="shared" si="23"/>
        <v/>
      </c>
    </row>
    <row r="769" spans="16:18" ht="22.95" customHeight="1">
      <c r="P769">
        <f t="shared" si="22"/>
        <v>0</v>
      </c>
      <c r="Q769" t="str">
        <f>IF(AND(P769&gt;1,COUNTIF($E$6:E769,E769)=1),MAX($Q$5:Q768)+1,"")</f>
        <v/>
      </c>
      <c r="R769" t="str">
        <f t="shared" si="23"/>
        <v/>
      </c>
    </row>
    <row r="770" spans="16:18" ht="22.95" customHeight="1">
      <c r="P770">
        <f t="shared" si="22"/>
        <v>0</v>
      </c>
      <c r="Q770" t="str">
        <f>IF(AND(P770&gt;1,COUNTIF($E$6:E770,E770)=1),MAX($Q$5:Q769)+1,"")</f>
        <v/>
      </c>
      <c r="R770" t="str">
        <f t="shared" si="23"/>
        <v/>
      </c>
    </row>
    <row r="771" spans="16:18" ht="22.95" customHeight="1">
      <c r="P771">
        <f t="shared" si="22"/>
        <v>0</v>
      </c>
      <c r="Q771" t="str">
        <f>IF(AND(P771&gt;1,COUNTIF($E$6:E771,E771)=1),MAX($Q$5:Q770)+1,"")</f>
        <v/>
      </c>
      <c r="R771" t="str">
        <f t="shared" si="23"/>
        <v/>
      </c>
    </row>
    <row r="772" spans="16:18" ht="22.95" customHeight="1">
      <c r="P772">
        <f t="shared" si="22"/>
        <v>0</v>
      </c>
      <c r="Q772" t="str">
        <f>IF(AND(P772&gt;1,COUNTIF($E$6:E772,E772)=1),MAX($Q$5:Q771)+1,"")</f>
        <v/>
      </c>
      <c r="R772" t="str">
        <f t="shared" si="23"/>
        <v/>
      </c>
    </row>
    <row r="773" spans="16:18" ht="22.95" customHeight="1">
      <c r="P773">
        <f t="shared" si="22"/>
        <v>0</v>
      </c>
      <c r="Q773" t="str">
        <f>IF(AND(P773&gt;1,COUNTIF($E$6:E773,E773)=1),MAX($Q$5:Q772)+1,"")</f>
        <v/>
      </c>
      <c r="R773" t="str">
        <f t="shared" si="23"/>
        <v/>
      </c>
    </row>
    <row r="774" spans="16:18" ht="22.95" customHeight="1">
      <c r="P774">
        <f t="shared" ref="P774:P837" si="24">COUNTIF($E$6:$E$1740,E774)</f>
        <v>0</v>
      </c>
      <c r="Q774" t="str">
        <f>IF(AND(P774&gt;1,COUNTIF($E$6:E774,E774)=1),MAX($Q$5:Q773)+1,"")</f>
        <v/>
      </c>
      <c r="R774" t="str">
        <f t="shared" ref="R774:R837" si="25">IF(Q774="","",IF(COUNTIFS($E$6:$E$1740,E774,$A$6:$A$1740,A774,$C$6:$C$1740,C774)&lt;P774,"LÉGITIME",IF(COUNTIFS($E$6:$E$1740,E774,$A$6:$A$1740,A774,$C$6:$C$1740,C774,$M$6:$M$1740,M774)&lt;P774,"STATUT DIFFÉRENT","VRAI DOUBLON")))</f>
        <v/>
      </c>
    </row>
    <row r="775" spans="16:18" ht="22.95" customHeight="1">
      <c r="P775">
        <f t="shared" si="24"/>
        <v>0</v>
      </c>
      <c r="Q775" t="str">
        <f>IF(AND(P775&gt;1,COUNTIF($E$6:E775,E775)=1),MAX($Q$5:Q774)+1,"")</f>
        <v/>
      </c>
      <c r="R775" t="str">
        <f t="shared" si="25"/>
        <v/>
      </c>
    </row>
    <row r="776" spans="16:18" ht="22.95" customHeight="1">
      <c r="P776">
        <f t="shared" si="24"/>
        <v>0</v>
      </c>
      <c r="Q776" t="str">
        <f>IF(AND(P776&gt;1,COUNTIF($E$6:E776,E776)=1),MAX($Q$5:Q775)+1,"")</f>
        <v/>
      </c>
      <c r="R776" t="str">
        <f t="shared" si="25"/>
        <v/>
      </c>
    </row>
    <row r="777" spans="16:18" ht="22.95" customHeight="1">
      <c r="P777">
        <f t="shared" si="24"/>
        <v>0</v>
      </c>
      <c r="Q777" t="str">
        <f>IF(AND(P777&gt;1,COUNTIF($E$6:E777,E777)=1),MAX($Q$5:Q776)+1,"")</f>
        <v/>
      </c>
      <c r="R777" t="str">
        <f t="shared" si="25"/>
        <v/>
      </c>
    </row>
    <row r="778" spans="16:18" ht="22.95" customHeight="1">
      <c r="P778">
        <f t="shared" si="24"/>
        <v>0</v>
      </c>
      <c r="Q778" t="str">
        <f>IF(AND(P778&gt;1,COUNTIF($E$6:E778,E778)=1),MAX($Q$5:Q777)+1,"")</f>
        <v/>
      </c>
      <c r="R778" t="str">
        <f t="shared" si="25"/>
        <v/>
      </c>
    </row>
    <row r="779" spans="16:18" ht="22.95" customHeight="1">
      <c r="P779">
        <f t="shared" si="24"/>
        <v>0</v>
      </c>
      <c r="Q779" t="str">
        <f>IF(AND(P779&gt;1,COUNTIF($E$6:E779,E779)=1),MAX($Q$5:Q778)+1,"")</f>
        <v/>
      </c>
      <c r="R779" t="str">
        <f t="shared" si="25"/>
        <v/>
      </c>
    </row>
    <row r="780" spans="16:18" ht="22.95" customHeight="1">
      <c r="P780">
        <f t="shared" si="24"/>
        <v>0</v>
      </c>
      <c r="Q780" t="str">
        <f>IF(AND(P780&gt;1,COUNTIF($E$6:E780,E780)=1),MAX($Q$5:Q779)+1,"")</f>
        <v/>
      </c>
      <c r="R780" t="str">
        <f t="shared" si="25"/>
        <v/>
      </c>
    </row>
    <row r="781" spans="16:18" ht="22.95" customHeight="1">
      <c r="P781">
        <f t="shared" si="24"/>
        <v>0</v>
      </c>
      <c r="Q781" t="str">
        <f>IF(AND(P781&gt;1,COUNTIF($E$6:E781,E781)=1),MAX($Q$5:Q780)+1,"")</f>
        <v/>
      </c>
      <c r="R781" t="str">
        <f t="shared" si="25"/>
        <v/>
      </c>
    </row>
    <row r="782" spans="16:18" ht="22.95" customHeight="1">
      <c r="P782">
        <f t="shared" si="24"/>
        <v>0</v>
      </c>
      <c r="Q782" t="str">
        <f>IF(AND(P782&gt;1,COUNTIF($E$6:E782,E782)=1),MAX($Q$5:Q781)+1,"")</f>
        <v/>
      </c>
      <c r="R782" t="str">
        <f t="shared" si="25"/>
        <v/>
      </c>
    </row>
    <row r="783" spans="16:18" ht="22.95" customHeight="1">
      <c r="P783">
        <f t="shared" si="24"/>
        <v>0</v>
      </c>
      <c r="Q783" t="str">
        <f>IF(AND(P783&gt;1,COUNTIF($E$6:E783,E783)=1),MAX($Q$5:Q782)+1,"")</f>
        <v/>
      </c>
      <c r="R783" t="str">
        <f t="shared" si="25"/>
        <v/>
      </c>
    </row>
    <row r="784" spans="16:18" ht="22.95" customHeight="1">
      <c r="P784">
        <f t="shared" si="24"/>
        <v>0</v>
      </c>
      <c r="Q784" t="str">
        <f>IF(AND(P784&gt;1,COUNTIF($E$6:E784,E784)=1),MAX($Q$5:Q783)+1,"")</f>
        <v/>
      </c>
      <c r="R784" t="str">
        <f t="shared" si="25"/>
        <v/>
      </c>
    </row>
    <row r="785" spans="16:18" ht="22.95" customHeight="1">
      <c r="P785">
        <f t="shared" si="24"/>
        <v>0</v>
      </c>
      <c r="Q785" t="str">
        <f>IF(AND(P785&gt;1,COUNTIF($E$6:E785,E785)=1),MAX($Q$5:Q784)+1,"")</f>
        <v/>
      </c>
      <c r="R785" t="str">
        <f t="shared" si="25"/>
        <v/>
      </c>
    </row>
    <row r="786" spans="16:18" ht="22.95" customHeight="1">
      <c r="P786">
        <f t="shared" si="24"/>
        <v>0</v>
      </c>
      <c r="Q786" t="str">
        <f>IF(AND(P786&gt;1,COUNTIF($E$6:E786,E786)=1),MAX($Q$5:Q785)+1,"")</f>
        <v/>
      </c>
      <c r="R786" t="str">
        <f t="shared" si="25"/>
        <v/>
      </c>
    </row>
    <row r="787" spans="16:18" ht="22.95" customHeight="1">
      <c r="P787">
        <f t="shared" si="24"/>
        <v>0</v>
      </c>
      <c r="Q787" t="str">
        <f>IF(AND(P787&gt;1,COUNTIF($E$6:E787,E787)=1),MAX($Q$5:Q786)+1,"")</f>
        <v/>
      </c>
      <c r="R787" t="str">
        <f t="shared" si="25"/>
        <v/>
      </c>
    </row>
    <row r="788" spans="16:18" ht="22.95" customHeight="1">
      <c r="P788">
        <f t="shared" si="24"/>
        <v>0</v>
      </c>
      <c r="Q788" t="str">
        <f>IF(AND(P788&gt;1,COUNTIF($E$6:E788,E788)=1),MAX($Q$5:Q787)+1,"")</f>
        <v/>
      </c>
      <c r="R788" t="str">
        <f t="shared" si="25"/>
        <v/>
      </c>
    </row>
    <row r="789" spans="16:18" ht="22.95" customHeight="1">
      <c r="P789">
        <f t="shared" si="24"/>
        <v>0</v>
      </c>
      <c r="Q789" t="str">
        <f>IF(AND(P789&gt;1,COUNTIF($E$6:E789,E789)=1),MAX($Q$5:Q788)+1,"")</f>
        <v/>
      </c>
      <c r="R789" t="str">
        <f t="shared" si="25"/>
        <v/>
      </c>
    </row>
    <row r="790" spans="16:18" ht="22.95" customHeight="1">
      <c r="P790">
        <f t="shared" si="24"/>
        <v>0</v>
      </c>
      <c r="Q790" t="str">
        <f>IF(AND(P790&gt;1,COUNTIF($E$6:E790,E790)=1),MAX($Q$5:Q789)+1,"")</f>
        <v/>
      </c>
      <c r="R790" t="str">
        <f t="shared" si="25"/>
        <v/>
      </c>
    </row>
    <row r="791" spans="16:18" ht="22.95" customHeight="1">
      <c r="P791">
        <f t="shared" si="24"/>
        <v>0</v>
      </c>
      <c r="Q791" t="str">
        <f>IF(AND(P791&gt;1,COUNTIF($E$6:E791,E791)=1),MAX($Q$5:Q790)+1,"")</f>
        <v/>
      </c>
      <c r="R791" t="str">
        <f t="shared" si="25"/>
        <v/>
      </c>
    </row>
    <row r="792" spans="16:18" ht="22.95" customHeight="1">
      <c r="P792">
        <f t="shared" si="24"/>
        <v>0</v>
      </c>
      <c r="Q792" t="str">
        <f>IF(AND(P792&gt;1,COUNTIF($E$6:E792,E792)=1),MAX($Q$5:Q791)+1,"")</f>
        <v/>
      </c>
      <c r="R792" t="str">
        <f t="shared" si="25"/>
        <v/>
      </c>
    </row>
    <row r="793" spans="16:18" ht="22.95" customHeight="1">
      <c r="P793">
        <f t="shared" si="24"/>
        <v>0</v>
      </c>
      <c r="Q793" t="str">
        <f>IF(AND(P793&gt;1,COUNTIF($E$6:E793,E793)=1),MAX($Q$5:Q792)+1,"")</f>
        <v/>
      </c>
      <c r="R793" t="str">
        <f t="shared" si="25"/>
        <v/>
      </c>
    </row>
    <row r="794" spans="16:18" ht="22.95" customHeight="1">
      <c r="P794">
        <f t="shared" si="24"/>
        <v>0</v>
      </c>
      <c r="Q794" t="str">
        <f>IF(AND(P794&gt;1,COUNTIF($E$6:E794,E794)=1),MAX($Q$5:Q793)+1,"")</f>
        <v/>
      </c>
      <c r="R794" t="str">
        <f t="shared" si="25"/>
        <v/>
      </c>
    </row>
    <row r="795" spans="16:18" ht="22.95" customHeight="1">
      <c r="P795">
        <f t="shared" si="24"/>
        <v>0</v>
      </c>
      <c r="Q795" t="str">
        <f>IF(AND(P795&gt;1,COUNTIF($E$6:E795,E795)=1),MAX($Q$5:Q794)+1,"")</f>
        <v/>
      </c>
      <c r="R795" t="str">
        <f t="shared" si="25"/>
        <v/>
      </c>
    </row>
    <row r="796" spans="16:18" ht="22.95" customHeight="1">
      <c r="P796">
        <f t="shared" si="24"/>
        <v>0</v>
      </c>
      <c r="Q796" t="str">
        <f>IF(AND(P796&gt;1,COUNTIF($E$6:E796,E796)=1),MAX($Q$5:Q795)+1,"")</f>
        <v/>
      </c>
      <c r="R796" t="str">
        <f t="shared" si="25"/>
        <v/>
      </c>
    </row>
    <row r="797" spans="16:18" ht="22.95" customHeight="1">
      <c r="P797">
        <f t="shared" si="24"/>
        <v>0</v>
      </c>
      <c r="Q797" t="str">
        <f>IF(AND(P797&gt;1,COUNTIF($E$6:E797,E797)=1),MAX($Q$5:Q796)+1,"")</f>
        <v/>
      </c>
      <c r="R797" t="str">
        <f t="shared" si="25"/>
        <v/>
      </c>
    </row>
    <row r="798" spans="16:18" ht="22.95" customHeight="1">
      <c r="P798">
        <f t="shared" si="24"/>
        <v>0</v>
      </c>
      <c r="Q798" t="str">
        <f>IF(AND(P798&gt;1,COUNTIF($E$6:E798,E798)=1),MAX($Q$5:Q797)+1,"")</f>
        <v/>
      </c>
      <c r="R798" t="str">
        <f t="shared" si="25"/>
        <v/>
      </c>
    </row>
    <row r="799" spans="16:18" ht="22.95" customHeight="1">
      <c r="P799">
        <f t="shared" si="24"/>
        <v>0</v>
      </c>
      <c r="Q799" t="str">
        <f>IF(AND(P799&gt;1,COUNTIF($E$6:E799,E799)=1),MAX($Q$5:Q798)+1,"")</f>
        <v/>
      </c>
      <c r="R799" t="str">
        <f t="shared" si="25"/>
        <v/>
      </c>
    </row>
    <row r="800" spans="16:18" ht="22.95" customHeight="1">
      <c r="P800">
        <f t="shared" si="24"/>
        <v>0</v>
      </c>
      <c r="Q800" t="str">
        <f>IF(AND(P800&gt;1,COUNTIF($E$6:E800,E800)=1),MAX($Q$5:Q799)+1,"")</f>
        <v/>
      </c>
      <c r="R800" t="str">
        <f t="shared" si="25"/>
        <v/>
      </c>
    </row>
    <row r="801" spans="16:18" ht="22.95" customHeight="1">
      <c r="P801">
        <f t="shared" si="24"/>
        <v>0</v>
      </c>
      <c r="Q801" t="str">
        <f>IF(AND(P801&gt;1,COUNTIF($E$6:E801,E801)=1),MAX($Q$5:Q800)+1,"")</f>
        <v/>
      </c>
      <c r="R801" t="str">
        <f t="shared" si="25"/>
        <v/>
      </c>
    </row>
    <row r="802" spans="16:18" ht="22.95" customHeight="1">
      <c r="P802">
        <f t="shared" si="24"/>
        <v>0</v>
      </c>
      <c r="Q802" t="str">
        <f>IF(AND(P802&gt;1,COUNTIF($E$6:E802,E802)=1),MAX($Q$5:Q801)+1,"")</f>
        <v/>
      </c>
      <c r="R802" t="str">
        <f t="shared" si="25"/>
        <v/>
      </c>
    </row>
    <row r="803" spans="16:18" ht="22.95" customHeight="1">
      <c r="P803">
        <f t="shared" si="24"/>
        <v>0</v>
      </c>
      <c r="Q803" t="str">
        <f>IF(AND(P803&gt;1,COUNTIF($E$6:E803,E803)=1),MAX($Q$5:Q802)+1,"")</f>
        <v/>
      </c>
      <c r="R803" t="str">
        <f t="shared" si="25"/>
        <v/>
      </c>
    </row>
    <row r="804" spans="16:18" ht="22.95" customHeight="1">
      <c r="P804">
        <f t="shared" si="24"/>
        <v>0</v>
      </c>
      <c r="Q804" t="str">
        <f>IF(AND(P804&gt;1,COUNTIF($E$6:E804,E804)=1),MAX($Q$5:Q803)+1,"")</f>
        <v/>
      </c>
      <c r="R804" t="str">
        <f t="shared" si="25"/>
        <v/>
      </c>
    </row>
    <row r="805" spans="16:18" ht="22.95" customHeight="1">
      <c r="P805">
        <f t="shared" si="24"/>
        <v>0</v>
      </c>
      <c r="Q805" t="str">
        <f>IF(AND(P805&gt;1,COUNTIF($E$6:E805,E805)=1),MAX($Q$5:Q804)+1,"")</f>
        <v/>
      </c>
      <c r="R805" t="str">
        <f t="shared" si="25"/>
        <v/>
      </c>
    </row>
    <row r="806" spans="16:18" ht="22.95" customHeight="1">
      <c r="P806">
        <f t="shared" si="24"/>
        <v>0</v>
      </c>
      <c r="Q806" t="str">
        <f>IF(AND(P806&gt;1,COUNTIF($E$6:E806,E806)=1),MAX($Q$5:Q805)+1,"")</f>
        <v/>
      </c>
      <c r="R806" t="str">
        <f t="shared" si="25"/>
        <v/>
      </c>
    </row>
    <row r="807" spans="16:18" ht="22.95" customHeight="1">
      <c r="P807">
        <f t="shared" si="24"/>
        <v>0</v>
      </c>
      <c r="Q807" t="str">
        <f>IF(AND(P807&gt;1,COUNTIF($E$6:E807,E807)=1),MAX($Q$5:Q806)+1,"")</f>
        <v/>
      </c>
      <c r="R807" t="str">
        <f t="shared" si="25"/>
        <v/>
      </c>
    </row>
    <row r="808" spans="16:18" ht="22.95" customHeight="1">
      <c r="P808">
        <f t="shared" si="24"/>
        <v>0</v>
      </c>
      <c r="Q808" t="str">
        <f>IF(AND(P808&gt;1,COUNTIF($E$6:E808,E808)=1),MAX($Q$5:Q807)+1,"")</f>
        <v/>
      </c>
      <c r="R808" t="str">
        <f t="shared" si="25"/>
        <v/>
      </c>
    </row>
    <row r="809" spans="16:18" ht="22.95" customHeight="1">
      <c r="P809">
        <f t="shared" si="24"/>
        <v>0</v>
      </c>
      <c r="Q809" t="str">
        <f>IF(AND(P809&gt;1,COUNTIF($E$6:E809,E809)=1),MAX($Q$5:Q808)+1,"")</f>
        <v/>
      </c>
      <c r="R809" t="str">
        <f t="shared" si="25"/>
        <v/>
      </c>
    </row>
    <row r="810" spans="16:18" ht="22.95" customHeight="1">
      <c r="P810">
        <f t="shared" si="24"/>
        <v>0</v>
      </c>
      <c r="Q810" t="str">
        <f>IF(AND(P810&gt;1,COUNTIF($E$6:E810,E810)=1),MAX($Q$5:Q809)+1,"")</f>
        <v/>
      </c>
      <c r="R810" t="str">
        <f t="shared" si="25"/>
        <v/>
      </c>
    </row>
    <row r="811" spans="16:18" ht="22.95" customHeight="1">
      <c r="P811">
        <f t="shared" si="24"/>
        <v>0</v>
      </c>
      <c r="Q811" t="str">
        <f>IF(AND(P811&gt;1,COUNTIF($E$6:E811,E811)=1),MAX($Q$5:Q810)+1,"")</f>
        <v/>
      </c>
      <c r="R811" t="str">
        <f t="shared" si="25"/>
        <v/>
      </c>
    </row>
    <row r="812" spans="16:18" ht="22.95" customHeight="1">
      <c r="P812">
        <f t="shared" si="24"/>
        <v>0</v>
      </c>
      <c r="Q812" t="str">
        <f>IF(AND(P812&gt;1,COUNTIF($E$6:E812,E812)=1),MAX($Q$5:Q811)+1,"")</f>
        <v/>
      </c>
      <c r="R812" t="str">
        <f t="shared" si="25"/>
        <v/>
      </c>
    </row>
    <row r="813" spans="16:18" ht="22.95" customHeight="1">
      <c r="P813">
        <f t="shared" si="24"/>
        <v>0</v>
      </c>
      <c r="Q813" t="str">
        <f>IF(AND(P813&gt;1,COUNTIF($E$6:E813,E813)=1),MAX($Q$5:Q812)+1,"")</f>
        <v/>
      </c>
      <c r="R813" t="str">
        <f t="shared" si="25"/>
        <v/>
      </c>
    </row>
    <row r="814" spans="16:18" ht="22.95" customHeight="1">
      <c r="P814">
        <f t="shared" si="24"/>
        <v>0</v>
      </c>
      <c r="Q814" t="str">
        <f>IF(AND(P814&gt;1,COUNTIF($E$6:E814,E814)=1),MAX($Q$5:Q813)+1,"")</f>
        <v/>
      </c>
      <c r="R814" t="str">
        <f t="shared" si="25"/>
        <v/>
      </c>
    </row>
    <row r="815" spans="16:18" ht="22.95" customHeight="1">
      <c r="P815">
        <f t="shared" si="24"/>
        <v>0</v>
      </c>
      <c r="Q815" t="str">
        <f>IF(AND(P815&gt;1,COUNTIF($E$6:E815,E815)=1),MAX($Q$5:Q814)+1,"")</f>
        <v/>
      </c>
      <c r="R815" t="str">
        <f t="shared" si="25"/>
        <v/>
      </c>
    </row>
    <row r="816" spans="16:18" ht="22.95" customHeight="1">
      <c r="P816">
        <f t="shared" si="24"/>
        <v>0</v>
      </c>
      <c r="Q816" t="str">
        <f>IF(AND(P816&gt;1,COUNTIF($E$6:E816,E816)=1),MAX($Q$5:Q815)+1,"")</f>
        <v/>
      </c>
      <c r="R816" t="str">
        <f t="shared" si="25"/>
        <v/>
      </c>
    </row>
    <row r="817" spans="16:18" ht="22.95" customHeight="1">
      <c r="P817">
        <f t="shared" si="24"/>
        <v>0</v>
      </c>
      <c r="Q817" t="str">
        <f>IF(AND(P817&gt;1,COUNTIF($E$6:E817,E817)=1),MAX($Q$5:Q816)+1,"")</f>
        <v/>
      </c>
      <c r="R817" t="str">
        <f t="shared" si="25"/>
        <v/>
      </c>
    </row>
    <row r="818" spans="16:18" ht="22.95" customHeight="1">
      <c r="P818">
        <f t="shared" si="24"/>
        <v>0</v>
      </c>
      <c r="Q818" t="str">
        <f>IF(AND(P818&gt;1,COUNTIF($E$6:E818,E818)=1),MAX($Q$5:Q817)+1,"")</f>
        <v/>
      </c>
      <c r="R818" t="str">
        <f t="shared" si="25"/>
        <v/>
      </c>
    </row>
    <row r="819" spans="16:18" ht="22.95" customHeight="1">
      <c r="P819">
        <f t="shared" si="24"/>
        <v>0</v>
      </c>
      <c r="Q819" t="str">
        <f>IF(AND(P819&gt;1,COUNTIF($E$6:E819,E819)=1),MAX($Q$5:Q818)+1,"")</f>
        <v/>
      </c>
      <c r="R819" t="str">
        <f t="shared" si="25"/>
        <v/>
      </c>
    </row>
    <row r="820" spans="16:18" ht="22.95" customHeight="1">
      <c r="P820">
        <f t="shared" si="24"/>
        <v>0</v>
      </c>
      <c r="Q820" t="str">
        <f>IF(AND(P820&gt;1,COUNTIF($E$6:E820,E820)=1),MAX($Q$5:Q819)+1,"")</f>
        <v/>
      </c>
      <c r="R820" t="str">
        <f t="shared" si="25"/>
        <v/>
      </c>
    </row>
    <row r="821" spans="16:18" ht="22.95" customHeight="1">
      <c r="P821">
        <f t="shared" si="24"/>
        <v>0</v>
      </c>
      <c r="Q821" t="str">
        <f>IF(AND(P821&gt;1,COUNTIF($E$6:E821,E821)=1),MAX($Q$5:Q820)+1,"")</f>
        <v/>
      </c>
      <c r="R821" t="str">
        <f t="shared" si="25"/>
        <v/>
      </c>
    </row>
    <row r="822" spans="16:18" ht="22.95" customHeight="1">
      <c r="P822">
        <f t="shared" si="24"/>
        <v>0</v>
      </c>
      <c r="Q822" t="str">
        <f>IF(AND(P822&gt;1,COUNTIF($E$6:E822,E822)=1),MAX($Q$5:Q821)+1,"")</f>
        <v/>
      </c>
      <c r="R822" t="str">
        <f t="shared" si="25"/>
        <v/>
      </c>
    </row>
    <row r="823" spans="16:18" ht="22.95" customHeight="1">
      <c r="P823">
        <f t="shared" si="24"/>
        <v>0</v>
      </c>
      <c r="Q823" t="str">
        <f>IF(AND(P823&gt;1,COUNTIF($E$6:E823,E823)=1),MAX($Q$5:Q822)+1,"")</f>
        <v/>
      </c>
      <c r="R823" t="str">
        <f t="shared" si="25"/>
        <v/>
      </c>
    </row>
    <row r="824" spans="16:18" ht="22.95" customHeight="1">
      <c r="P824">
        <f t="shared" si="24"/>
        <v>0</v>
      </c>
      <c r="Q824" t="str">
        <f>IF(AND(P824&gt;1,COUNTIF($E$6:E824,E824)=1),MAX($Q$5:Q823)+1,"")</f>
        <v/>
      </c>
      <c r="R824" t="str">
        <f t="shared" si="25"/>
        <v/>
      </c>
    </row>
    <row r="825" spans="16:18" ht="22.95" customHeight="1">
      <c r="P825">
        <f t="shared" si="24"/>
        <v>0</v>
      </c>
      <c r="Q825" t="str">
        <f>IF(AND(P825&gt;1,COUNTIF($E$6:E825,E825)=1),MAX($Q$5:Q824)+1,"")</f>
        <v/>
      </c>
      <c r="R825" t="str">
        <f t="shared" si="25"/>
        <v/>
      </c>
    </row>
    <row r="826" spans="16:18" ht="22.95" customHeight="1">
      <c r="P826">
        <f t="shared" si="24"/>
        <v>0</v>
      </c>
      <c r="Q826" t="str">
        <f>IF(AND(P826&gt;1,COUNTIF($E$6:E826,E826)=1),MAX($Q$5:Q825)+1,"")</f>
        <v/>
      </c>
      <c r="R826" t="str">
        <f t="shared" si="25"/>
        <v/>
      </c>
    </row>
    <row r="827" spans="16:18" ht="22.95" customHeight="1">
      <c r="P827">
        <f t="shared" si="24"/>
        <v>0</v>
      </c>
      <c r="Q827" t="str">
        <f>IF(AND(P827&gt;1,COUNTIF($E$6:E827,E827)=1),MAX($Q$5:Q826)+1,"")</f>
        <v/>
      </c>
      <c r="R827" t="str">
        <f t="shared" si="25"/>
        <v/>
      </c>
    </row>
    <row r="828" spans="16:18" ht="22.95" customHeight="1">
      <c r="P828">
        <f t="shared" si="24"/>
        <v>0</v>
      </c>
      <c r="Q828" t="str">
        <f>IF(AND(P828&gt;1,COUNTIF($E$6:E828,E828)=1),MAX($Q$5:Q827)+1,"")</f>
        <v/>
      </c>
      <c r="R828" t="str">
        <f t="shared" si="25"/>
        <v/>
      </c>
    </row>
    <row r="829" spans="16:18" ht="22.95" customHeight="1">
      <c r="P829">
        <f t="shared" si="24"/>
        <v>0</v>
      </c>
      <c r="Q829" t="str">
        <f>IF(AND(P829&gt;1,COUNTIF($E$6:E829,E829)=1),MAX($Q$5:Q828)+1,"")</f>
        <v/>
      </c>
      <c r="R829" t="str">
        <f t="shared" si="25"/>
        <v/>
      </c>
    </row>
    <row r="830" spans="16:18" ht="22.95" customHeight="1">
      <c r="P830">
        <f t="shared" si="24"/>
        <v>0</v>
      </c>
      <c r="Q830" t="str">
        <f>IF(AND(P830&gt;1,COUNTIF($E$6:E830,E830)=1),MAX($Q$5:Q829)+1,"")</f>
        <v/>
      </c>
      <c r="R830" t="str">
        <f t="shared" si="25"/>
        <v/>
      </c>
    </row>
    <row r="831" spans="16:18" ht="22.95" customHeight="1">
      <c r="P831">
        <f t="shared" si="24"/>
        <v>0</v>
      </c>
      <c r="Q831" t="str">
        <f>IF(AND(P831&gt;1,COUNTIF($E$6:E831,E831)=1),MAX($Q$5:Q830)+1,"")</f>
        <v/>
      </c>
      <c r="R831" t="str">
        <f t="shared" si="25"/>
        <v/>
      </c>
    </row>
    <row r="832" spans="16:18" ht="22.95" customHeight="1">
      <c r="P832">
        <f t="shared" si="24"/>
        <v>0</v>
      </c>
      <c r="Q832" t="str">
        <f>IF(AND(P832&gt;1,COUNTIF($E$6:E832,E832)=1),MAX($Q$5:Q831)+1,"")</f>
        <v/>
      </c>
      <c r="R832" t="str">
        <f t="shared" si="25"/>
        <v/>
      </c>
    </row>
    <row r="833" spans="16:18" ht="22.95" customHeight="1">
      <c r="P833">
        <f t="shared" si="24"/>
        <v>0</v>
      </c>
      <c r="Q833" t="str">
        <f>IF(AND(P833&gt;1,COUNTIF($E$6:E833,E833)=1),MAX($Q$5:Q832)+1,"")</f>
        <v/>
      </c>
      <c r="R833" t="str">
        <f t="shared" si="25"/>
        <v/>
      </c>
    </row>
    <row r="834" spans="16:18" ht="22.95" customHeight="1">
      <c r="P834">
        <f t="shared" si="24"/>
        <v>0</v>
      </c>
      <c r="Q834" t="str">
        <f>IF(AND(P834&gt;1,COUNTIF($E$6:E834,E834)=1),MAX($Q$5:Q833)+1,"")</f>
        <v/>
      </c>
      <c r="R834" t="str">
        <f t="shared" si="25"/>
        <v/>
      </c>
    </row>
    <row r="835" spans="16:18" ht="22.95" customHeight="1">
      <c r="P835">
        <f t="shared" si="24"/>
        <v>0</v>
      </c>
      <c r="Q835" t="str">
        <f>IF(AND(P835&gt;1,COUNTIF($E$6:E835,E835)=1),MAX($Q$5:Q834)+1,"")</f>
        <v/>
      </c>
      <c r="R835" t="str">
        <f t="shared" si="25"/>
        <v/>
      </c>
    </row>
    <row r="836" spans="16:18" ht="22.95" customHeight="1">
      <c r="P836">
        <f t="shared" si="24"/>
        <v>0</v>
      </c>
      <c r="Q836" t="str">
        <f>IF(AND(P836&gt;1,COUNTIF($E$6:E836,E836)=1),MAX($Q$5:Q835)+1,"")</f>
        <v/>
      </c>
      <c r="R836" t="str">
        <f t="shared" si="25"/>
        <v/>
      </c>
    </row>
    <row r="837" spans="16:18" ht="22.95" customHeight="1">
      <c r="P837">
        <f t="shared" si="24"/>
        <v>0</v>
      </c>
      <c r="Q837" t="str">
        <f>IF(AND(P837&gt;1,COUNTIF($E$6:E837,E837)=1),MAX($Q$5:Q836)+1,"")</f>
        <v/>
      </c>
      <c r="R837" t="str">
        <f t="shared" si="25"/>
        <v/>
      </c>
    </row>
    <row r="838" spans="16:18" ht="22.95" customHeight="1">
      <c r="P838">
        <f t="shared" ref="P838:P901" si="26">COUNTIF($E$6:$E$1740,E838)</f>
        <v>0</v>
      </c>
      <c r="Q838" t="str">
        <f>IF(AND(P838&gt;1,COUNTIF($E$6:E838,E838)=1),MAX($Q$5:Q837)+1,"")</f>
        <v/>
      </c>
      <c r="R838" t="str">
        <f t="shared" ref="R838:R901" si="27">IF(Q838="","",IF(COUNTIFS($E$6:$E$1740,E838,$A$6:$A$1740,A838,$C$6:$C$1740,C838)&lt;P838,"LÉGITIME",IF(COUNTIFS($E$6:$E$1740,E838,$A$6:$A$1740,A838,$C$6:$C$1740,C838,$M$6:$M$1740,M838)&lt;P838,"STATUT DIFFÉRENT","VRAI DOUBLON")))</f>
        <v/>
      </c>
    </row>
    <row r="839" spans="16:18" ht="22.95" customHeight="1">
      <c r="P839">
        <f t="shared" si="26"/>
        <v>0</v>
      </c>
      <c r="Q839" t="str">
        <f>IF(AND(P839&gt;1,COUNTIF($E$6:E839,E839)=1),MAX($Q$5:Q838)+1,"")</f>
        <v/>
      </c>
      <c r="R839" t="str">
        <f t="shared" si="27"/>
        <v/>
      </c>
    </row>
    <row r="840" spans="16:18" ht="22.95" customHeight="1">
      <c r="P840">
        <f t="shared" si="26"/>
        <v>0</v>
      </c>
      <c r="Q840" t="str">
        <f>IF(AND(P840&gt;1,COUNTIF($E$6:E840,E840)=1),MAX($Q$5:Q839)+1,"")</f>
        <v/>
      </c>
      <c r="R840" t="str">
        <f t="shared" si="27"/>
        <v/>
      </c>
    </row>
    <row r="841" spans="16:18" ht="22.95" customHeight="1">
      <c r="P841">
        <f t="shared" si="26"/>
        <v>0</v>
      </c>
      <c r="Q841" t="str">
        <f>IF(AND(P841&gt;1,COUNTIF($E$6:E841,E841)=1),MAX($Q$5:Q840)+1,"")</f>
        <v/>
      </c>
      <c r="R841" t="str">
        <f t="shared" si="27"/>
        <v/>
      </c>
    </row>
    <row r="842" spans="16:18" ht="22.95" customHeight="1">
      <c r="P842">
        <f t="shared" si="26"/>
        <v>0</v>
      </c>
      <c r="Q842" t="str">
        <f>IF(AND(P842&gt;1,COUNTIF($E$6:E842,E842)=1),MAX($Q$5:Q841)+1,"")</f>
        <v/>
      </c>
      <c r="R842" t="str">
        <f t="shared" si="27"/>
        <v/>
      </c>
    </row>
    <row r="843" spans="16:18" ht="22.95" customHeight="1">
      <c r="P843">
        <f t="shared" si="26"/>
        <v>0</v>
      </c>
      <c r="Q843" t="str">
        <f>IF(AND(P843&gt;1,COUNTIF($E$6:E843,E843)=1),MAX($Q$5:Q842)+1,"")</f>
        <v/>
      </c>
      <c r="R843" t="str">
        <f t="shared" si="27"/>
        <v/>
      </c>
    </row>
    <row r="844" spans="16:18" ht="22.95" customHeight="1">
      <c r="P844">
        <f t="shared" si="26"/>
        <v>0</v>
      </c>
      <c r="Q844" t="str">
        <f>IF(AND(P844&gt;1,COUNTIF($E$6:E844,E844)=1),MAX($Q$5:Q843)+1,"")</f>
        <v/>
      </c>
      <c r="R844" t="str">
        <f t="shared" si="27"/>
        <v/>
      </c>
    </row>
    <row r="845" spans="16:18" ht="22.95" customHeight="1">
      <c r="P845">
        <f t="shared" si="26"/>
        <v>0</v>
      </c>
      <c r="Q845" t="str">
        <f>IF(AND(P845&gt;1,COUNTIF($E$6:E845,E845)=1),MAX($Q$5:Q844)+1,"")</f>
        <v/>
      </c>
      <c r="R845" t="str">
        <f t="shared" si="27"/>
        <v/>
      </c>
    </row>
    <row r="846" spans="16:18" ht="22.95" customHeight="1">
      <c r="P846">
        <f t="shared" si="26"/>
        <v>0</v>
      </c>
      <c r="Q846" t="str">
        <f>IF(AND(P846&gt;1,COUNTIF($E$6:E846,E846)=1),MAX($Q$5:Q845)+1,"")</f>
        <v/>
      </c>
      <c r="R846" t="str">
        <f t="shared" si="27"/>
        <v/>
      </c>
    </row>
    <row r="847" spans="16:18" ht="22.95" customHeight="1">
      <c r="P847">
        <f t="shared" si="26"/>
        <v>0</v>
      </c>
      <c r="Q847" t="str">
        <f>IF(AND(P847&gt;1,COUNTIF($E$6:E847,E847)=1),MAX($Q$5:Q846)+1,"")</f>
        <v/>
      </c>
      <c r="R847" t="str">
        <f t="shared" si="27"/>
        <v/>
      </c>
    </row>
    <row r="848" spans="16:18" ht="22.95" customHeight="1">
      <c r="P848">
        <f t="shared" si="26"/>
        <v>0</v>
      </c>
      <c r="Q848" t="str">
        <f>IF(AND(P848&gt;1,COUNTIF($E$6:E848,E848)=1),MAX($Q$5:Q847)+1,"")</f>
        <v/>
      </c>
      <c r="R848" t="str">
        <f t="shared" si="27"/>
        <v/>
      </c>
    </row>
    <row r="849" spans="16:18" ht="22.95" customHeight="1">
      <c r="P849">
        <f t="shared" si="26"/>
        <v>0</v>
      </c>
      <c r="Q849" t="str">
        <f>IF(AND(P849&gt;1,COUNTIF($E$6:E849,E849)=1),MAX($Q$5:Q848)+1,"")</f>
        <v/>
      </c>
      <c r="R849" t="str">
        <f t="shared" si="27"/>
        <v/>
      </c>
    </row>
    <row r="850" spans="16:18" ht="22.95" customHeight="1">
      <c r="P850">
        <f t="shared" si="26"/>
        <v>0</v>
      </c>
      <c r="Q850" t="str">
        <f>IF(AND(P850&gt;1,COUNTIF($E$6:E850,E850)=1),MAX($Q$5:Q849)+1,"")</f>
        <v/>
      </c>
      <c r="R850" t="str">
        <f t="shared" si="27"/>
        <v/>
      </c>
    </row>
    <row r="851" spans="16:18" ht="22.95" customHeight="1">
      <c r="P851">
        <f t="shared" si="26"/>
        <v>0</v>
      </c>
      <c r="Q851" t="str">
        <f>IF(AND(P851&gt;1,COUNTIF($E$6:E851,E851)=1),MAX($Q$5:Q850)+1,"")</f>
        <v/>
      </c>
      <c r="R851" t="str">
        <f t="shared" si="27"/>
        <v/>
      </c>
    </row>
    <row r="852" spans="16:18" ht="22.95" customHeight="1">
      <c r="P852">
        <f t="shared" si="26"/>
        <v>0</v>
      </c>
      <c r="Q852" t="str">
        <f>IF(AND(P852&gt;1,COUNTIF($E$6:E852,E852)=1),MAX($Q$5:Q851)+1,"")</f>
        <v/>
      </c>
      <c r="R852" t="str">
        <f t="shared" si="27"/>
        <v/>
      </c>
    </row>
    <row r="853" spans="16:18" ht="22.95" customHeight="1">
      <c r="P853">
        <f t="shared" si="26"/>
        <v>0</v>
      </c>
      <c r="Q853" t="str">
        <f>IF(AND(P853&gt;1,COUNTIF($E$6:E853,E853)=1),MAX($Q$5:Q852)+1,"")</f>
        <v/>
      </c>
      <c r="R853" t="str">
        <f t="shared" si="27"/>
        <v/>
      </c>
    </row>
    <row r="854" spans="16:18" ht="22.95" customHeight="1">
      <c r="P854">
        <f t="shared" si="26"/>
        <v>0</v>
      </c>
      <c r="Q854" t="str">
        <f>IF(AND(P854&gt;1,COUNTIF($E$6:E854,E854)=1),MAX($Q$5:Q853)+1,"")</f>
        <v/>
      </c>
      <c r="R854" t="str">
        <f t="shared" si="27"/>
        <v/>
      </c>
    </row>
    <row r="855" spans="16:18" ht="22.95" customHeight="1">
      <c r="P855">
        <f t="shared" si="26"/>
        <v>0</v>
      </c>
      <c r="Q855" t="str">
        <f>IF(AND(P855&gt;1,COUNTIF($E$6:E855,E855)=1),MAX($Q$5:Q854)+1,"")</f>
        <v/>
      </c>
      <c r="R855" t="str">
        <f t="shared" si="27"/>
        <v/>
      </c>
    </row>
    <row r="856" spans="16:18" ht="22.95" customHeight="1">
      <c r="P856">
        <f t="shared" si="26"/>
        <v>0</v>
      </c>
      <c r="Q856" t="str">
        <f>IF(AND(P856&gt;1,COUNTIF($E$6:E856,E856)=1),MAX($Q$5:Q855)+1,"")</f>
        <v/>
      </c>
      <c r="R856" t="str">
        <f t="shared" si="27"/>
        <v/>
      </c>
    </row>
    <row r="857" spans="16:18" ht="22.95" customHeight="1">
      <c r="P857">
        <f t="shared" si="26"/>
        <v>0</v>
      </c>
      <c r="Q857" t="str">
        <f>IF(AND(P857&gt;1,COUNTIF($E$6:E857,E857)=1),MAX($Q$5:Q856)+1,"")</f>
        <v/>
      </c>
      <c r="R857" t="str">
        <f t="shared" si="27"/>
        <v/>
      </c>
    </row>
    <row r="858" spans="16:18" ht="22.95" customHeight="1">
      <c r="P858">
        <f t="shared" si="26"/>
        <v>0</v>
      </c>
      <c r="Q858" t="str">
        <f>IF(AND(P858&gt;1,COUNTIF($E$6:E858,E858)=1),MAX($Q$5:Q857)+1,"")</f>
        <v/>
      </c>
      <c r="R858" t="str">
        <f t="shared" si="27"/>
        <v/>
      </c>
    </row>
    <row r="859" spans="16:18" ht="22.95" customHeight="1">
      <c r="P859">
        <f t="shared" si="26"/>
        <v>0</v>
      </c>
      <c r="Q859" t="str">
        <f>IF(AND(P859&gt;1,COUNTIF($E$6:E859,E859)=1),MAX($Q$5:Q858)+1,"")</f>
        <v/>
      </c>
      <c r="R859" t="str">
        <f t="shared" si="27"/>
        <v/>
      </c>
    </row>
    <row r="860" spans="16:18" ht="22.95" customHeight="1">
      <c r="P860">
        <f t="shared" si="26"/>
        <v>0</v>
      </c>
      <c r="Q860" t="str">
        <f>IF(AND(P860&gt;1,COUNTIF($E$6:E860,E860)=1),MAX($Q$5:Q859)+1,"")</f>
        <v/>
      </c>
      <c r="R860" t="str">
        <f t="shared" si="27"/>
        <v/>
      </c>
    </row>
    <row r="861" spans="16:18" ht="22.95" customHeight="1">
      <c r="P861">
        <f t="shared" si="26"/>
        <v>0</v>
      </c>
      <c r="Q861" t="str">
        <f>IF(AND(P861&gt;1,COUNTIF($E$6:E861,E861)=1),MAX($Q$5:Q860)+1,"")</f>
        <v/>
      </c>
      <c r="R861" t="str">
        <f t="shared" si="27"/>
        <v/>
      </c>
    </row>
    <row r="862" spans="16:18" ht="22.95" customHeight="1">
      <c r="P862">
        <f t="shared" si="26"/>
        <v>0</v>
      </c>
      <c r="Q862" t="str">
        <f>IF(AND(P862&gt;1,COUNTIF($E$6:E862,E862)=1),MAX($Q$5:Q861)+1,"")</f>
        <v/>
      </c>
      <c r="R862" t="str">
        <f t="shared" si="27"/>
        <v/>
      </c>
    </row>
    <row r="863" spans="16:18" ht="22.95" customHeight="1">
      <c r="P863">
        <f t="shared" si="26"/>
        <v>0</v>
      </c>
      <c r="Q863" t="str">
        <f>IF(AND(P863&gt;1,COUNTIF($E$6:E863,E863)=1),MAX($Q$5:Q862)+1,"")</f>
        <v/>
      </c>
      <c r="R863" t="str">
        <f t="shared" si="27"/>
        <v/>
      </c>
    </row>
    <row r="864" spans="16:18" ht="22.95" customHeight="1">
      <c r="P864">
        <f t="shared" si="26"/>
        <v>0</v>
      </c>
      <c r="Q864" t="str">
        <f>IF(AND(P864&gt;1,COUNTIF($E$6:E864,E864)=1),MAX($Q$5:Q863)+1,"")</f>
        <v/>
      </c>
      <c r="R864" t="str">
        <f t="shared" si="27"/>
        <v/>
      </c>
    </row>
    <row r="865" spans="16:18" ht="22.95" customHeight="1">
      <c r="P865">
        <f t="shared" si="26"/>
        <v>0</v>
      </c>
      <c r="Q865" t="str">
        <f>IF(AND(P865&gt;1,COUNTIF($E$6:E865,E865)=1),MAX($Q$5:Q864)+1,"")</f>
        <v/>
      </c>
      <c r="R865" t="str">
        <f t="shared" si="27"/>
        <v/>
      </c>
    </row>
    <row r="866" spans="16:18" ht="22.95" customHeight="1">
      <c r="P866">
        <f t="shared" si="26"/>
        <v>0</v>
      </c>
      <c r="Q866" t="str">
        <f>IF(AND(P866&gt;1,COUNTIF($E$6:E866,E866)=1),MAX($Q$5:Q865)+1,"")</f>
        <v/>
      </c>
      <c r="R866" t="str">
        <f t="shared" si="27"/>
        <v/>
      </c>
    </row>
    <row r="867" spans="16:18" ht="22.95" customHeight="1">
      <c r="P867">
        <f t="shared" si="26"/>
        <v>0</v>
      </c>
      <c r="Q867" t="str">
        <f>IF(AND(P867&gt;1,COUNTIF($E$6:E867,E867)=1),MAX($Q$5:Q866)+1,"")</f>
        <v/>
      </c>
      <c r="R867" t="str">
        <f t="shared" si="27"/>
        <v/>
      </c>
    </row>
    <row r="868" spans="16:18" ht="22.95" customHeight="1">
      <c r="P868">
        <f t="shared" si="26"/>
        <v>0</v>
      </c>
      <c r="Q868" t="str">
        <f>IF(AND(P868&gt;1,COUNTIF($E$6:E868,E868)=1),MAX($Q$5:Q867)+1,"")</f>
        <v/>
      </c>
      <c r="R868" t="str">
        <f t="shared" si="27"/>
        <v/>
      </c>
    </row>
    <row r="869" spans="16:18" ht="22.95" customHeight="1">
      <c r="P869">
        <f t="shared" si="26"/>
        <v>0</v>
      </c>
      <c r="Q869" t="str">
        <f>IF(AND(P869&gt;1,COUNTIF($E$6:E869,E869)=1),MAX($Q$5:Q868)+1,"")</f>
        <v/>
      </c>
      <c r="R869" t="str">
        <f t="shared" si="27"/>
        <v/>
      </c>
    </row>
    <row r="870" spans="16:18" ht="22.95" customHeight="1">
      <c r="P870">
        <f t="shared" si="26"/>
        <v>0</v>
      </c>
      <c r="Q870" t="str">
        <f>IF(AND(P870&gt;1,COUNTIF($E$6:E870,E870)=1),MAX($Q$5:Q869)+1,"")</f>
        <v/>
      </c>
      <c r="R870" t="str">
        <f t="shared" si="27"/>
        <v/>
      </c>
    </row>
    <row r="871" spans="16:18" ht="22.95" customHeight="1">
      <c r="P871">
        <f t="shared" si="26"/>
        <v>0</v>
      </c>
      <c r="Q871" t="str">
        <f>IF(AND(P871&gt;1,COUNTIF($E$6:E871,E871)=1),MAX($Q$5:Q870)+1,"")</f>
        <v/>
      </c>
      <c r="R871" t="str">
        <f t="shared" si="27"/>
        <v/>
      </c>
    </row>
    <row r="872" spans="16:18" ht="22.95" customHeight="1">
      <c r="P872">
        <f t="shared" si="26"/>
        <v>0</v>
      </c>
      <c r="Q872" t="str">
        <f>IF(AND(P872&gt;1,COUNTIF($E$6:E872,E872)=1),MAX($Q$5:Q871)+1,"")</f>
        <v/>
      </c>
      <c r="R872" t="str">
        <f t="shared" si="27"/>
        <v/>
      </c>
    </row>
    <row r="873" spans="16:18" ht="22.95" customHeight="1">
      <c r="P873">
        <f t="shared" si="26"/>
        <v>0</v>
      </c>
      <c r="Q873" t="str">
        <f>IF(AND(P873&gt;1,COUNTIF($E$6:E873,E873)=1),MAX($Q$5:Q872)+1,"")</f>
        <v/>
      </c>
      <c r="R873" t="str">
        <f t="shared" si="27"/>
        <v/>
      </c>
    </row>
    <row r="874" spans="16:18" ht="22.95" customHeight="1">
      <c r="P874">
        <f t="shared" si="26"/>
        <v>0</v>
      </c>
      <c r="Q874" t="str">
        <f>IF(AND(P874&gt;1,COUNTIF($E$6:E874,E874)=1),MAX($Q$5:Q873)+1,"")</f>
        <v/>
      </c>
      <c r="R874" t="str">
        <f t="shared" si="27"/>
        <v/>
      </c>
    </row>
    <row r="875" spans="16:18" ht="22.95" customHeight="1">
      <c r="P875">
        <f t="shared" si="26"/>
        <v>0</v>
      </c>
      <c r="Q875" t="str">
        <f>IF(AND(P875&gt;1,COUNTIF($E$6:E875,E875)=1),MAX($Q$5:Q874)+1,"")</f>
        <v/>
      </c>
      <c r="R875" t="str">
        <f t="shared" si="27"/>
        <v/>
      </c>
    </row>
    <row r="876" spans="16:18" ht="22.95" customHeight="1">
      <c r="P876">
        <f t="shared" si="26"/>
        <v>0</v>
      </c>
      <c r="Q876" t="str">
        <f>IF(AND(P876&gt;1,COUNTIF($E$6:E876,E876)=1),MAX($Q$5:Q875)+1,"")</f>
        <v/>
      </c>
      <c r="R876" t="str">
        <f t="shared" si="27"/>
        <v/>
      </c>
    </row>
    <row r="877" spans="16:18" ht="22.95" customHeight="1">
      <c r="P877">
        <f t="shared" si="26"/>
        <v>0</v>
      </c>
      <c r="Q877" t="str">
        <f>IF(AND(P877&gt;1,COUNTIF($E$6:E877,E877)=1),MAX($Q$5:Q876)+1,"")</f>
        <v/>
      </c>
      <c r="R877" t="str">
        <f t="shared" si="27"/>
        <v/>
      </c>
    </row>
    <row r="878" spans="16:18" ht="22.95" customHeight="1">
      <c r="P878">
        <f t="shared" si="26"/>
        <v>0</v>
      </c>
      <c r="Q878" t="str">
        <f>IF(AND(P878&gt;1,COUNTIF($E$6:E878,E878)=1),MAX($Q$5:Q877)+1,"")</f>
        <v/>
      </c>
      <c r="R878" t="str">
        <f t="shared" si="27"/>
        <v/>
      </c>
    </row>
    <row r="879" spans="16:18" ht="22.95" customHeight="1">
      <c r="P879">
        <f t="shared" si="26"/>
        <v>0</v>
      </c>
      <c r="Q879" t="str">
        <f>IF(AND(P879&gt;1,COUNTIF($E$6:E879,E879)=1),MAX($Q$5:Q878)+1,"")</f>
        <v/>
      </c>
      <c r="R879" t="str">
        <f t="shared" si="27"/>
        <v/>
      </c>
    </row>
    <row r="880" spans="16:18" ht="22.95" customHeight="1">
      <c r="P880">
        <f t="shared" si="26"/>
        <v>0</v>
      </c>
      <c r="Q880" t="str">
        <f>IF(AND(P880&gt;1,COUNTIF($E$6:E880,E880)=1),MAX($Q$5:Q879)+1,"")</f>
        <v/>
      </c>
      <c r="R880" t="str">
        <f t="shared" si="27"/>
        <v/>
      </c>
    </row>
    <row r="881" spans="16:18" ht="22.95" customHeight="1">
      <c r="P881">
        <f t="shared" si="26"/>
        <v>0</v>
      </c>
      <c r="Q881" t="str">
        <f>IF(AND(P881&gt;1,COUNTIF($E$6:E881,E881)=1),MAX($Q$5:Q880)+1,"")</f>
        <v/>
      </c>
      <c r="R881" t="str">
        <f t="shared" si="27"/>
        <v/>
      </c>
    </row>
    <row r="882" spans="16:18" ht="22.95" customHeight="1">
      <c r="P882">
        <f t="shared" si="26"/>
        <v>0</v>
      </c>
      <c r="Q882" t="str">
        <f>IF(AND(P882&gt;1,COUNTIF($E$6:E882,E882)=1),MAX($Q$5:Q881)+1,"")</f>
        <v/>
      </c>
      <c r="R882" t="str">
        <f t="shared" si="27"/>
        <v/>
      </c>
    </row>
    <row r="883" spans="16:18" ht="22.95" customHeight="1">
      <c r="P883">
        <f t="shared" si="26"/>
        <v>0</v>
      </c>
      <c r="Q883" t="str">
        <f>IF(AND(P883&gt;1,COUNTIF($E$6:E883,E883)=1),MAX($Q$5:Q882)+1,"")</f>
        <v/>
      </c>
      <c r="R883" t="str">
        <f t="shared" si="27"/>
        <v/>
      </c>
    </row>
    <row r="884" spans="16:18" ht="22.95" customHeight="1">
      <c r="P884">
        <f t="shared" si="26"/>
        <v>0</v>
      </c>
      <c r="Q884" t="str">
        <f>IF(AND(P884&gt;1,COUNTIF($E$6:E884,E884)=1),MAX($Q$5:Q883)+1,"")</f>
        <v/>
      </c>
      <c r="R884" t="str">
        <f t="shared" si="27"/>
        <v/>
      </c>
    </row>
    <row r="885" spans="16:18" ht="22.95" customHeight="1">
      <c r="P885">
        <f t="shared" si="26"/>
        <v>0</v>
      </c>
      <c r="Q885" t="str">
        <f>IF(AND(P885&gt;1,COUNTIF($E$6:E885,E885)=1),MAX($Q$5:Q884)+1,"")</f>
        <v/>
      </c>
      <c r="R885" t="str">
        <f t="shared" si="27"/>
        <v/>
      </c>
    </row>
    <row r="886" spans="16:18" ht="22.95" customHeight="1">
      <c r="P886">
        <f t="shared" si="26"/>
        <v>0</v>
      </c>
      <c r="Q886" t="str">
        <f>IF(AND(P886&gt;1,COUNTIF($E$6:E886,E886)=1),MAX($Q$5:Q885)+1,"")</f>
        <v/>
      </c>
      <c r="R886" t="str">
        <f t="shared" si="27"/>
        <v/>
      </c>
    </row>
    <row r="887" spans="16:18" ht="22.95" customHeight="1">
      <c r="P887">
        <f t="shared" si="26"/>
        <v>0</v>
      </c>
      <c r="Q887" t="str">
        <f>IF(AND(P887&gt;1,COUNTIF($E$6:E887,E887)=1),MAX($Q$5:Q886)+1,"")</f>
        <v/>
      </c>
      <c r="R887" t="str">
        <f t="shared" si="27"/>
        <v/>
      </c>
    </row>
    <row r="888" spans="16:18" ht="22.95" customHeight="1">
      <c r="P888">
        <f t="shared" si="26"/>
        <v>0</v>
      </c>
      <c r="Q888" t="str">
        <f>IF(AND(P888&gt;1,COUNTIF($E$6:E888,E888)=1),MAX($Q$5:Q887)+1,"")</f>
        <v/>
      </c>
      <c r="R888" t="str">
        <f t="shared" si="27"/>
        <v/>
      </c>
    </row>
    <row r="889" spans="16:18" ht="22.95" customHeight="1">
      <c r="P889">
        <f t="shared" si="26"/>
        <v>0</v>
      </c>
      <c r="Q889" t="str">
        <f>IF(AND(P889&gt;1,COUNTIF($E$6:E889,E889)=1),MAX($Q$5:Q888)+1,"")</f>
        <v/>
      </c>
      <c r="R889" t="str">
        <f t="shared" si="27"/>
        <v/>
      </c>
    </row>
    <row r="890" spans="16:18" ht="22.95" customHeight="1">
      <c r="P890">
        <f t="shared" si="26"/>
        <v>0</v>
      </c>
      <c r="Q890" t="str">
        <f>IF(AND(P890&gt;1,COUNTIF($E$6:E890,E890)=1),MAX($Q$5:Q889)+1,"")</f>
        <v/>
      </c>
      <c r="R890" t="str">
        <f t="shared" si="27"/>
        <v/>
      </c>
    </row>
    <row r="891" spans="16:18" ht="22.95" customHeight="1">
      <c r="P891">
        <f t="shared" si="26"/>
        <v>0</v>
      </c>
      <c r="Q891" t="str">
        <f>IF(AND(P891&gt;1,COUNTIF($E$6:E891,E891)=1),MAX($Q$5:Q890)+1,"")</f>
        <v/>
      </c>
      <c r="R891" t="str">
        <f t="shared" si="27"/>
        <v/>
      </c>
    </row>
    <row r="892" spans="16:18" ht="22.95" customHeight="1">
      <c r="P892">
        <f t="shared" si="26"/>
        <v>0</v>
      </c>
      <c r="Q892" t="str">
        <f>IF(AND(P892&gt;1,COUNTIF($E$6:E892,E892)=1),MAX($Q$5:Q891)+1,"")</f>
        <v/>
      </c>
      <c r="R892" t="str">
        <f t="shared" si="27"/>
        <v/>
      </c>
    </row>
    <row r="893" spans="16:18" ht="22.95" customHeight="1">
      <c r="P893">
        <f t="shared" si="26"/>
        <v>0</v>
      </c>
      <c r="Q893" t="str">
        <f>IF(AND(P893&gt;1,COUNTIF($E$6:E893,E893)=1),MAX($Q$5:Q892)+1,"")</f>
        <v/>
      </c>
      <c r="R893" t="str">
        <f t="shared" si="27"/>
        <v/>
      </c>
    </row>
    <row r="894" spans="16:18" ht="22.95" customHeight="1">
      <c r="P894">
        <f t="shared" si="26"/>
        <v>0</v>
      </c>
      <c r="Q894" t="str">
        <f>IF(AND(P894&gt;1,COUNTIF($E$6:E894,E894)=1),MAX($Q$5:Q893)+1,"")</f>
        <v/>
      </c>
      <c r="R894" t="str">
        <f t="shared" si="27"/>
        <v/>
      </c>
    </row>
    <row r="895" spans="16:18" ht="22.95" customHeight="1">
      <c r="P895">
        <f t="shared" si="26"/>
        <v>0</v>
      </c>
      <c r="Q895" t="str">
        <f>IF(AND(P895&gt;1,COUNTIF($E$6:E895,E895)=1),MAX($Q$5:Q894)+1,"")</f>
        <v/>
      </c>
      <c r="R895" t="str">
        <f t="shared" si="27"/>
        <v/>
      </c>
    </row>
    <row r="896" spans="16:18" ht="22.95" customHeight="1">
      <c r="P896">
        <f t="shared" si="26"/>
        <v>0</v>
      </c>
      <c r="Q896" t="str">
        <f>IF(AND(P896&gt;1,COUNTIF($E$6:E896,E896)=1),MAX($Q$5:Q895)+1,"")</f>
        <v/>
      </c>
      <c r="R896" t="str">
        <f t="shared" si="27"/>
        <v/>
      </c>
    </row>
    <row r="897" spans="16:18" ht="22.95" customHeight="1">
      <c r="P897">
        <f t="shared" si="26"/>
        <v>0</v>
      </c>
      <c r="Q897" t="str">
        <f>IF(AND(P897&gt;1,COUNTIF($E$6:E897,E897)=1),MAX($Q$5:Q896)+1,"")</f>
        <v/>
      </c>
      <c r="R897" t="str">
        <f t="shared" si="27"/>
        <v/>
      </c>
    </row>
    <row r="898" spans="16:18" ht="22.95" customHeight="1">
      <c r="P898">
        <f t="shared" si="26"/>
        <v>0</v>
      </c>
      <c r="Q898" t="str">
        <f>IF(AND(P898&gt;1,COUNTIF($E$6:E898,E898)=1),MAX($Q$5:Q897)+1,"")</f>
        <v/>
      </c>
      <c r="R898" t="str">
        <f t="shared" si="27"/>
        <v/>
      </c>
    </row>
    <row r="899" spans="16:18" ht="22.95" customHeight="1">
      <c r="P899">
        <f t="shared" si="26"/>
        <v>0</v>
      </c>
      <c r="Q899" t="str">
        <f>IF(AND(P899&gt;1,COUNTIF($E$6:E899,E899)=1),MAX($Q$5:Q898)+1,"")</f>
        <v/>
      </c>
      <c r="R899" t="str">
        <f t="shared" si="27"/>
        <v/>
      </c>
    </row>
    <row r="900" spans="16:18" ht="22.95" customHeight="1">
      <c r="P900">
        <f t="shared" si="26"/>
        <v>0</v>
      </c>
      <c r="Q900" t="str">
        <f>IF(AND(P900&gt;1,COUNTIF($E$6:E900,E900)=1),MAX($Q$5:Q899)+1,"")</f>
        <v/>
      </c>
      <c r="R900" t="str">
        <f t="shared" si="27"/>
        <v/>
      </c>
    </row>
    <row r="901" spans="16:18" ht="22.95" customHeight="1">
      <c r="P901">
        <f t="shared" si="26"/>
        <v>0</v>
      </c>
      <c r="Q901" t="str">
        <f>IF(AND(P901&gt;1,COUNTIF($E$6:E901,E901)=1),MAX($Q$5:Q900)+1,"")</f>
        <v/>
      </c>
      <c r="R901" t="str">
        <f t="shared" si="27"/>
        <v/>
      </c>
    </row>
    <row r="902" spans="16:18" ht="22.95" customHeight="1">
      <c r="P902">
        <f t="shared" ref="P902:P965" si="28">COUNTIF($E$6:$E$1740,E902)</f>
        <v>0</v>
      </c>
      <c r="Q902" t="str">
        <f>IF(AND(P902&gt;1,COUNTIF($E$6:E902,E902)=1),MAX($Q$5:Q901)+1,"")</f>
        <v/>
      </c>
      <c r="R902" t="str">
        <f t="shared" ref="R902:R965" si="29">IF(Q902="","",IF(COUNTIFS($E$6:$E$1740,E902,$A$6:$A$1740,A902,$C$6:$C$1740,C902)&lt;P902,"LÉGITIME",IF(COUNTIFS($E$6:$E$1740,E902,$A$6:$A$1740,A902,$C$6:$C$1740,C902,$M$6:$M$1740,M902)&lt;P902,"STATUT DIFFÉRENT","VRAI DOUBLON")))</f>
        <v/>
      </c>
    </row>
    <row r="903" spans="16:18" ht="22.95" customHeight="1">
      <c r="P903">
        <f t="shared" si="28"/>
        <v>0</v>
      </c>
      <c r="Q903" t="str">
        <f>IF(AND(P903&gt;1,COUNTIF($E$6:E903,E903)=1),MAX($Q$5:Q902)+1,"")</f>
        <v/>
      </c>
      <c r="R903" t="str">
        <f t="shared" si="29"/>
        <v/>
      </c>
    </row>
    <row r="904" spans="16:18" ht="22.95" customHeight="1">
      <c r="P904">
        <f t="shared" si="28"/>
        <v>0</v>
      </c>
      <c r="Q904" t="str">
        <f>IF(AND(P904&gt;1,COUNTIF($E$6:E904,E904)=1),MAX($Q$5:Q903)+1,"")</f>
        <v/>
      </c>
      <c r="R904" t="str">
        <f t="shared" si="29"/>
        <v/>
      </c>
    </row>
    <row r="905" spans="16:18" ht="22.95" customHeight="1">
      <c r="P905">
        <f t="shared" si="28"/>
        <v>0</v>
      </c>
      <c r="Q905" t="str">
        <f>IF(AND(P905&gt;1,COUNTIF($E$6:E905,E905)=1),MAX($Q$5:Q904)+1,"")</f>
        <v/>
      </c>
      <c r="R905" t="str">
        <f t="shared" si="29"/>
        <v/>
      </c>
    </row>
    <row r="906" spans="16:18" ht="22.95" customHeight="1">
      <c r="P906">
        <f t="shared" si="28"/>
        <v>0</v>
      </c>
      <c r="Q906" t="str">
        <f>IF(AND(P906&gt;1,COUNTIF($E$6:E906,E906)=1),MAX($Q$5:Q905)+1,"")</f>
        <v/>
      </c>
      <c r="R906" t="str">
        <f t="shared" si="29"/>
        <v/>
      </c>
    </row>
    <row r="907" spans="16:18" ht="22.95" customHeight="1">
      <c r="P907">
        <f t="shared" si="28"/>
        <v>0</v>
      </c>
      <c r="Q907" t="str">
        <f>IF(AND(P907&gt;1,COUNTIF($E$6:E907,E907)=1),MAX($Q$5:Q906)+1,"")</f>
        <v/>
      </c>
      <c r="R907" t="str">
        <f t="shared" si="29"/>
        <v/>
      </c>
    </row>
    <row r="908" spans="16:18" ht="22.95" customHeight="1">
      <c r="P908">
        <f t="shared" si="28"/>
        <v>0</v>
      </c>
      <c r="Q908" t="str">
        <f>IF(AND(P908&gt;1,COUNTIF($E$6:E908,E908)=1),MAX($Q$5:Q907)+1,"")</f>
        <v/>
      </c>
      <c r="R908" t="str">
        <f t="shared" si="29"/>
        <v/>
      </c>
    </row>
    <row r="909" spans="16:18" ht="22.95" customHeight="1">
      <c r="P909">
        <f t="shared" si="28"/>
        <v>0</v>
      </c>
      <c r="Q909" t="str">
        <f>IF(AND(P909&gt;1,COUNTIF($E$6:E909,E909)=1),MAX($Q$5:Q908)+1,"")</f>
        <v/>
      </c>
      <c r="R909" t="str">
        <f t="shared" si="29"/>
        <v/>
      </c>
    </row>
    <row r="910" spans="16:18" ht="22.95" customHeight="1">
      <c r="P910">
        <f t="shared" si="28"/>
        <v>0</v>
      </c>
      <c r="Q910" t="str">
        <f>IF(AND(P910&gt;1,COUNTIF($E$6:E910,E910)=1),MAX($Q$5:Q909)+1,"")</f>
        <v/>
      </c>
      <c r="R910" t="str">
        <f t="shared" si="29"/>
        <v/>
      </c>
    </row>
    <row r="911" spans="16:18" ht="22.95" customHeight="1">
      <c r="P911">
        <f t="shared" si="28"/>
        <v>0</v>
      </c>
      <c r="Q911" t="str">
        <f>IF(AND(P911&gt;1,COUNTIF($E$6:E911,E911)=1),MAX($Q$5:Q910)+1,"")</f>
        <v/>
      </c>
      <c r="R911" t="str">
        <f t="shared" si="29"/>
        <v/>
      </c>
    </row>
    <row r="912" spans="16:18" ht="22.95" customHeight="1">
      <c r="P912">
        <f t="shared" si="28"/>
        <v>0</v>
      </c>
      <c r="Q912" t="str">
        <f>IF(AND(P912&gt;1,COUNTIF($E$6:E912,E912)=1),MAX($Q$5:Q911)+1,"")</f>
        <v/>
      </c>
      <c r="R912" t="str">
        <f t="shared" si="29"/>
        <v/>
      </c>
    </row>
    <row r="913" spans="16:18" ht="22.95" customHeight="1">
      <c r="P913">
        <f t="shared" si="28"/>
        <v>0</v>
      </c>
      <c r="Q913" t="str">
        <f>IF(AND(P913&gt;1,COUNTIF($E$6:E913,E913)=1),MAX($Q$5:Q912)+1,"")</f>
        <v/>
      </c>
      <c r="R913" t="str">
        <f t="shared" si="29"/>
        <v/>
      </c>
    </row>
    <row r="914" spans="16:18" ht="22.95" customHeight="1">
      <c r="P914">
        <f t="shared" si="28"/>
        <v>0</v>
      </c>
      <c r="Q914" t="str">
        <f>IF(AND(P914&gt;1,COUNTIF($E$6:E914,E914)=1),MAX($Q$5:Q913)+1,"")</f>
        <v/>
      </c>
      <c r="R914" t="str">
        <f t="shared" si="29"/>
        <v/>
      </c>
    </row>
    <row r="915" spans="16:18" ht="22.95" customHeight="1">
      <c r="P915">
        <f t="shared" si="28"/>
        <v>0</v>
      </c>
      <c r="Q915" t="str">
        <f>IF(AND(P915&gt;1,COUNTIF($E$6:E915,E915)=1),MAX($Q$5:Q914)+1,"")</f>
        <v/>
      </c>
      <c r="R915" t="str">
        <f t="shared" si="29"/>
        <v/>
      </c>
    </row>
    <row r="916" spans="16:18" ht="22.95" customHeight="1">
      <c r="P916">
        <f t="shared" si="28"/>
        <v>0</v>
      </c>
      <c r="Q916" t="str">
        <f>IF(AND(P916&gt;1,COUNTIF($E$6:E916,E916)=1),MAX($Q$5:Q915)+1,"")</f>
        <v/>
      </c>
      <c r="R916" t="str">
        <f t="shared" si="29"/>
        <v/>
      </c>
    </row>
    <row r="917" spans="16:18" ht="22.95" customHeight="1">
      <c r="P917">
        <f t="shared" si="28"/>
        <v>0</v>
      </c>
      <c r="Q917" t="str">
        <f>IF(AND(P917&gt;1,COUNTIF($E$6:E917,E917)=1),MAX($Q$5:Q916)+1,"")</f>
        <v/>
      </c>
      <c r="R917" t="str">
        <f t="shared" si="29"/>
        <v/>
      </c>
    </row>
    <row r="918" spans="16:18" ht="22.95" customHeight="1">
      <c r="P918">
        <f t="shared" si="28"/>
        <v>0</v>
      </c>
      <c r="Q918" t="str">
        <f>IF(AND(P918&gt;1,COUNTIF($E$6:E918,E918)=1),MAX($Q$5:Q917)+1,"")</f>
        <v/>
      </c>
      <c r="R918" t="str">
        <f t="shared" si="29"/>
        <v/>
      </c>
    </row>
    <row r="919" spans="16:18" ht="22.95" customHeight="1">
      <c r="P919">
        <f t="shared" si="28"/>
        <v>0</v>
      </c>
      <c r="Q919" t="str">
        <f>IF(AND(P919&gt;1,COUNTIF($E$6:E919,E919)=1),MAX($Q$5:Q918)+1,"")</f>
        <v/>
      </c>
      <c r="R919" t="str">
        <f t="shared" si="29"/>
        <v/>
      </c>
    </row>
    <row r="920" spans="16:18" ht="22.95" customHeight="1">
      <c r="P920">
        <f t="shared" si="28"/>
        <v>0</v>
      </c>
      <c r="Q920" t="str">
        <f>IF(AND(P920&gt;1,COUNTIF($E$6:E920,E920)=1),MAX($Q$5:Q919)+1,"")</f>
        <v/>
      </c>
      <c r="R920" t="str">
        <f t="shared" si="29"/>
        <v/>
      </c>
    </row>
    <row r="921" spans="16:18" ht="22.95" customHeight="1">
      <c r="P921">
        <f t="shared" si="28"/>
        <v>0</v>
      </c>
      <c r="Q921" t="str">
        <f>IF(AND(P921&gt;1,COUNTIF($E$6:E921,E921)=1),MAX($Q$5:Q920)+1,"")</f>
        <v/>
      </c>
      <c r="R921" t="str">
        <f t="shared" si="29"/>
        <v/>
      </c>
    </row>
    <row r="922" spans="16:18" ht="22.95" customHeight="1">
      <c r="P922">
        <f t="shared" si="28"/>
        <v>0</v>
      </c>
      <c r="Q922" t="str">
        <f>IF(AND(P922&gt;1,COUNTIF($E$6:E922,E922)=1),MAX($Q$5:Q921)+1,"")</f>
        <v/>
      </c>
      <c r="R922" t="str">
        <f t="shared" si="29"/>
        <v/>
      </c>
    </row>
    <row r="923" spans="16:18" ht="22.95" customHeight="1">
      <c r="P923">
        <f t="shared" si="28"/>
        <v>0</v>
      </c>
      <c r="Q923" t="str">
        <f>IF(AND(P923&gt;1,COUNTIF($E$6:E923,E923)=1),MAX($Q$5:Q922)+1,"")</f>
        <v/>
      </c>
      <c r="R923" t="str">
        <f t="shared" si="29"/>
        <v/>
      </c>
    </row>
    <row r="924" spans="16:18" ht="22.95" customHeight="1">
      <c r="P924">
        <f t="shared" si="28"/>
        <v>0</v>
      </c>
      <c r="Q924" t="str">
        <f>IF(AND(P924&gt;1,COUNTIF($E$6:E924,E924)=1),MAX($Q$5:Q923)+1,"")</f>
        <v/>
      </c>
      <c r="R924" t="str">
        <f t="shared" si="29"/>
        <v/>
      </c>
    </row>
    <row r="925" spans="16:18" ht="22.95" customHeight="1">
      <c r="P925">
        <f t="shared" si="28"/>
        <v>0</v>
      </c>
      <c r="Q925" t="str">
        <f>IF(AND(P925&gt;1,COUNTIF($E$6:E925,E925)=1),MAX($Q$5:Q924)+1,"")</f>
        <v/>
      </c>
      <c r="R925" t="str">
        <f t="shared" si="29"/>
        <v/>
      </c>
    </row>
    <row r="926" spans="16:18" ht="22.95" customHeight="1">
      <c r="P926">
        <f t="shared" si="28"/>
        <v>0</v>
      </c>
      <c r="Q926" t="str">
        <f>IF(AND(P926&gt;1,COUNTIF($E$6:E926,E926)=1),MAX($Q$5:Q925)+1,"")</f>
        <v/>
      </c>
      <c r="R926" t="str">
        <f t="shared" si="29"/>
        <v/>
      </c>
    </row>
    <row r="927" spans="16:18" ht="22.95" customHeight="1">
      <c r="P927">
        <f t="shared" si="28"/>
        <v>0</v>
      </c>
      <c r="Q927" t="str">
        <f>IF(AND(P927&gt;1,COUNTIF($E$6:E927,E927)=1),MAX($Q$5:Q926)+1,"")</f>
        <v/>
      </c>
      <c r="R927" t="str">
        <f t="shared" si="29"/>
        <v/>
      </c>
    </row>
    <row r="928" spans="16:18" ht="22.95" customHeight="1">
      <c r="P928">
        <f t="shared" si="28"/>
        <v>0</v>
      </c>
      <c r="Q928" t="str">
        <f>IF(AND(P928&gt;1,COUNTIF($E$6:E928,E928)=1),MAX($Q$5:Q927)+1,"")</f>
        <v/>
      </c>
      <c r="R928" t="str">
        <f t="shared" si="29"/>
        <v/>
      </c>
    </row>
    <row r="929" spans="16:18" ht="22.95" customHeight="1">
      <c r="P929">
        <f t="shared" si="28"/>
        <v>0</v>
      </c>
      <c r="Q929" t="str">
        <f>IF(AND(P929&gt;1,COUNTIF($E$6:E929,E929)=1),MAX($Q$5:Q928)+1,"")</f>
        <v/>
      </c>
      <c r="R929" t="str">
        <f t="shared" si="29"/>
        <v/>
      </c>
    </row>
    <row r="930" spans="16:18" ht="22.95" customHeight="1">
      <c r="P930">
        <f t="shared" si="28"/>
        <v>0</v>
      </c>
      <c r="Q930" t="str">
        <f>IF(AND(P930&gt;1,COUNTIF($E$6:E930,E930)=1),MAX($Q$5:Q929)+1,"")</f>
        <v/>
      </c>
      <c r="R930" t="str">
        <f t="shared" si="29"/>
        <v/>
      </c>
    </row>
    <row r="931" spans="16:18" ht="22.95" customHeight="1">
      <c r="P931">
        <f t="shared" si="28"/>
        <v>0</v>
      </c>
      <c r="Q931" t="str">
        <f>IF(AND(P931&gt;1,COUNTIF($E$6:E931,E931)=1),MAX($Q$5:Q930)+1,"")</f>
        <v/>
      </c>
      <c r="R931" t="str">
        <f t="shared" si="29"/>
        <v/>
      </c>
    </row>
    <row r="932" spans="16:18" ht="22.95" customHeight="1">
      <c r="P932">
        <f t="shared" si="28"/>
        <v>0</v>
      </c>
      <c r="Q932" t="str">
        <f>IF(AND(P932&gt;1,COUNTIF($E$6:E932,E932)=1),MAX($Q$5:Q931)+1,"")</f>
        <v/>
      </c>
      <c r="R932" t="str">
        <f t="shared" si="29"/>
        <v/>
      </c>
    </row>
    <row r="933" spans="16:18" ht="22.95" customHeight="1">
      <c r="P933">
        <f t="shared" si="28"/>
        <v>0</v>
      </c>
      <c r="Q933" t="str">
        <f>IF(AND(P933&gt;1,COUNTIF($E$6:E933,E933)=1),MAX($Q$5:Q932)+1,"")</f>
        <v/>
      </c>
      <c r="R933" t="str">
        <f t="shared" si="29"/>
        <v/>
      </c>
    </row>
    <row r="934" spans="16:18" ht="22.95" customHeight="1">
      <c r="P934">
        <f t="shared" si="28"/>
        <v>0</v>
      </c>
      <c r="Q934" t="str">
        <f>IF(AND(P934&gt;1,COUNTIF($E$6:E934,E934)=1),MAX($Q$5:Q933)+1,"")</f>
        <v/>
      </c>
      <c r="R934" t="str">
        <f t="shared" si="29"/>
        <v/>
      </c>
    </row>
    <row r="935" spans="16:18" ht="22.95" customHeight="1">
      <c r="P935">
        <f t="shared" si="28"/>
        <v>0</v>
      </c>
      <c r="Q935" t="str">
        <f>IF(AND(P935&gt;1,COUNTIF($E$6:E935,E935)=1),MAX($Q$5:Q934)+1,"")</f>
        <v/>
      </c>
      <c r="R935" t="str">
        <f t="shared" si="29"/>
        <v/>
      </c>
    </row>
    <row r="936" spans="16:18" ht="22.95" customHeight="1">
      <c r="P936">
        <f t="shared" si="28"/>
        <v>0</v>
      </c>
      <c r="Q936" t="str">
        <f>IF(AND(P936&gt;1,COUNTIF($E$6:E936,E936)=1),MAX($Q$5:Q935)+1,"")</f>
        <v/>
      </c>
      <c r="R936" t="str">
        <f t="shared" si="29"/>
        <v/>
      </c>
    </row>
    <row r="937" spans="16:18" ht="22.95" customHeight="1">
      <c r="P937">
        <f t="shared" si="28"/>
        <v>0</v>
      </c>
      <c r="Q937" t="str">
        <f>IF(AND(P937&gt;1,COUNTIF($E$6:E937,E937)=1),MAX($Q$5:Q936)+1,"")</f>
        <v/>
      </c>
      <c r="R937" t="str">
        <f t="shared" si="29"/>
        <v/>
      </c>
    </row>
    <row r="938" spans="16:18" ht="22.95" customHeight="1">
      <c r="P938">
        <f t="shared" si="28"/>
        <v>0</v>
      </c>
      <c r="Q938" t="str">
        <f>IF(AND(P938&gt;1,COUNTIF($E$6:E938,E938)=1),MAX($Q$5:Q937)+1,"")</f>
        <v/>
      </c>
      <c r="R938" t="str">
        <f t="shared" si="29"/>
        <v/>
      </c>
    </row>
    <row r="939" spans="16:18" ht="22.95" customHeight="1">
      <c r="P939">
        <f t="shared" si="28"/>
        <v>0</v>
      </c>
      <c r="Q939" t="str">
        <f>IF(AND(P939&gt;1,COUNTIF($E$6:E939,E939)=1),MAX($Q$5:Q938)+1,"")</f>
        <v/>
      </c>
      <c r="R939" t="str">
        <f t="shared" si="29"/>
        <v/>
      </c>
    </row>
    <row r="940" spans="16:18" ht="22.95" customHeight="1">
      <c r="P940">
        <f t="shared" si="28"/>
        <v>0</v>
      </c>
      <c r="Q940" t="str">
        <f>IF(AND(P940&gt;1,COUNTIF($E$6:E940,E940)=1),MAX($Q$5:Q939)+1,"")</f>
        <v/>
      </c>
      <c r="R940" t="str">
        <f t="shared" si="29"/>
        <v/>
      </c>
    </row>
    <row r="941" spans="16:18" ht="22.95" customHeight="1">
      <c r="P941">
        <f t="shared" si="28"/>
        <v>0</v>
      </c>
      <c r="Q941" t="str">
        <f>IF(AND(P941&gt;1,COUNTIF($E$6:E941,E941)=1),MAX($Q$5:Q940)+1,"")</f>
        <v/>
      </c>
      <c r="R941" t="str">
        <f t="shared" si="29"/>
        <v/>
      </c>
    </row>
    <row r="942" spans="16:18" ht="22.95" customHeight="1">
      <c r="P942">
        <f t="shared" si="28"/>
        <v>0</v>
      </c>
      <c r="Q942" t="str">
        <f>IF(AND(P942&gt;1,COUNTIF($E$6:E942,E942)=1),MAX($Q$5:Q941)+1,"")</f>
        <v/>
      </c>
      <c r="R942" t="str">
        <f t="shared" si="29"/>
        <v/>
      </c>
    </row>
    <row r="943" spans="16:18" ht="22.95" customHeight="1">
      <c r="P943">
        <f t="shared" si="28"/>
        <v>0</v>
      </c>
      <c r="Q943" t="str">
        <f>IF(AND(P943&gt;1,COUNTIF($E$6:E943,E943)=1),MAX($Q$5:Q942)+1,"")</f>
        <v/>
      </c>
      <c r="R943" t="str">
        <f t="shared" si="29"/>
        <v/>
      </c>
    </row>
    <row r="944" spans="16:18" ht="22.95" customHeight="1">
      <c r="P944">
        <f t="shared" si="28"/>
        <v>0</v>
      </c>
      <c r="Q944" t="str">
        <f>IF(AND(P944&gt;1,COUNTIF($E$6:E944,E944)=1),MAX($Q$5:Q943)+1,"")</f>
        <v/>
      </c>
      <c r="R944" t="str">
        <f t="shared" si="29"/>
        <v/>
      </c>
    </row>
    <row r="945" spans="16:18" ht="22.95" customHeight="1">
      <c r="P945">
        <f t="shared" si="28"/>
        <v>0</v>
      </c>
      <c r="Q945" t="str">
        <f>IF(AND(P945&gt;1,COUNTIF($E$6:E945,E945)=1),MAX($Q$5:Q944)+1,"")</f>
        <v/>
      </c>
      <c r="R945" t="str">
        <f t="shared" si="29"/>
        <v/>
      </c>
    </row>
    <row r="946" spans="16:18" ht="22.95" customHeight="1">
      <c r="P946">
        <f t="shared" si="28"/>
        <v>0</v>
      </c>
      <c r="Q946" t="str">
        <f>IF(AND(P946&gt;1,COUNTIF($E$6:E946,E946)=1),MAX($Q$5:Q945)+1,"")</f>
        <v/>
      </c>
      <c r="R946" t="str">
        <f t="shared" si="29"/>
        <v/>
      </c>
    </row>
    <row r="947" spans="16:18" ht="22.95" customHeight="1">
      <c r="P947">
        <f t="shared" si="28"/>
        <v>0</v>
      </c>
      <c r="Q947" t="str">
        <f>IF(AND(P947&gt;1,COUNTIF($E$6:E947,E947)=1),MAX($Q$5:Q946)+1,"")</f>
        <v/>
      </c>
      <c r="R947" t="str">
        <f t="shared" si="29"/>
        <v/>
      </c>
    </row>
    <row r="948" spans="16:18" ht="22.95" customHeight="1">
      <c r="P948">
        <f t="shared" si="28"/>
        <v>0</v>
      </c>
      <c r="Q948" t="str">
        <f>IF(AND(P948&gt;1,COUNTIF($E$6:E948,E948)=1),MAX($Q$5:Q947)+1,"")</f>
        <v/>
      </c>
      <c r="R948" t="str">
        <f t="shared" si="29"/>
        <v/>
      </c>
    </row>
    <row r="949" spans="16:18" ht="22.95" customHeight="1">
      <c r="P949">
        <f t="shared" si="28"/>
        <v>0</v>
      </c>
      <c r="Q949" t="str">
        <f>IF(AND(P949&gt;1,COUNTIF($E$6:E949,E949)=1),MAX($Q$5:Q948)+1,"")</f>
        <v/>
      </c>
      <c r="R949" t="str">
        <f t="shared" si="29"/>
        <v/>
      </c>
    </row>
    <row r="950" spans="16:18" ht="22.95" customHeight="1">
      <c r="P950">
        <f t="shared" si="28"/>
        <v>0</v>
      </c>
      <c r="Q950" t="str">
        <f>IF(AND(P950&gt;1,COUNTIF($E$6:E950,E950)=1),MAX($Q$5:Q949)+1,"")</f>
        <v/>
      </c>
      <c r="R950" t="str">
        <f t="shared" si="29"/>
        <v/>
      </c>
    </row>
    <row r="951" spans="16:18" ht="22.95" customHeight="1">
      <c r="P951">
        <f t="shared" si="28"/>
        <v>0</v>
      </c>
      <c r="Q951" t="str">
        <f>IF(AND(P951&gt;1,COUNTIF($E$6:E951,E951)=1),MAX($Q$5:Q950)+1,"")</f>
        <v/>
      </c>
      <c r="R951" t="str">
        <f t="shared" si="29"/>
        <v/>
      </c>
    </row>
    <row r="952" spans="16:18" ht="22.95" customHeight="1">
      <c r="P952">
        <f t="shared" si="28"/>
        <v>0</v>
      </c>
      <c r="Q952" t="str">
        <f>IF(AND(P952&gt;1,COUNTIF($E$6:E952,E952)=1),MAX($Q$5:Q951)+1,"")</f>
        <v/>
      </c>
      <c r="R952" t="str">
        <f t="shared" si="29"/>
        <v/>
      </c>
    </row>
    <row r="953" spans="16:18" ht="22.95" customHeight="1">
      <c r="P953">
        <f t="shared" si="28"/>
        <v>0</v>
      </c>
      <c r="Q953" t="str">
        <f>IF(AND(P953&gt;1,COUNTIF($E$6:E953,E953)=1),MAX($Q$5:Q952)+1,"")</f>
        <v/>
      </c>
      <c r="R953" t="str">
        <f t="shared" si="29"/>
        <v/>
      </c>
    </row>
    <row r="954" spans="16:18" ht="22.95" customHeight="1">
      <c r="P954">
        <f t="shared" si="28"/>
        <v>0</v>
      </c>
      <c r="Q954" t="str">
        <f>IF(AND(P954&gt;1,COUNTIF($E$6:E954,E954)=1),MAX($Q$5:Q953)+1,"")</f>
        <v/>
      </c>
      <c r="R954" t="str">
        <f t="shared" si="29"/>
        <v/>
      </c>
    </row>
    <row r="955" spans="16:18" ht="22.95" customHeight="1">
      <c r="P955">
        <f t="shared" si="28"/>
        <v>0</v>
      </c>
      <c r="Q955" t="str">
        <f>IF(AND(P955&gt;1,COUNTIF($E$6:E955,E955)=1),MAX($Q$5:Q954)+1,"")</f>
        <v/>
      </c>
      <c r="R955" t="str">
        <f t="shared" si="29"/>
        <v/>
      </c>
    </row>
    <row r="956" spans="16:18" ht="22.95" customHeight="1">
      <c r="P956">
        <f t="shared" si="28"/>
        <v>0</v>
      </c>
      <c r="Q956" t="str">
        <f>IF(AND(P956&gt;1,COUNTIF($E$6:E956,E956)=1),MAX($Q$5:Q955)+1,"")</f>
        <v/>
      </c>
      <c r="R956" t="str">
        <f t="shared" si="29"/>
        <v/>
      </c>
    </row>
    <row r="957" spans="16:18" ht="22.95" customHeight="1">
      <c r="P957">
        <f t="shared" si="28"/>
        <v>0</v>
      </c>
      <c r="Q957" t="str">
        <f>IF(AND(P957&gt;1,COUNTIF($E$6:E957,E957)=1),MAX($Q$5:Q956)+1,"")</f>
        <v/>
      </c>
      <c r="R957" t="str">
        <f t="shared" si="29"/>
        <v/>
      </c>
    </row>
    <row r="958" spans="16:18" ht="22.95" customHeight="1">
      <c r="P958">
        <f t="shared" si="28"/>
        <v>0</v>
      </c>
      <c r="Q958" t="str">
        <f>IF(AND(P958&gt;1,COUNTIF($E$6:E958,E958)=1),MAX($Q$5:Q957)+1,"")</f>
        <v/>
      </c>
      <c r="R958" t="str">
        <f t="shared" si="29"/>
        <v/>
      </c>
    </row>
    <row r="959" spans="16:18" ht="22.95" customHeight="1">
      <c r="P959">
        <f t="shared" si="28"/>
        <v>0</v>
      </c>
      <c r="Q959" t="str">
        <f>IF(AND(P959&gt;1,COUNTIF($E$6:E959,E959)=1),MAX($Q$5:Q958)+1,"")</f>
        <v/>
      </c>
      <c r="R959" t="str">
        <f t="shared" si="29"/>
        <v/>
      </c>
    </row>
    <row r="960" spans="16:18" ht="22.95" customHeight="1">
      <c r="P960">
        <f t="shared" si="28"/>
        <v>0</v>
      </c>
      <c r="Q960" t="str">
        <f>IF(AND(P960&gt;1,COUNTIF($E$6:E960,E960)=1),MAX($Q$5:Q959)+1,"")</f>
        <v/>
      </c>
      <c r="R960" t="str">
        <f t="shared" si="29"/>
        <v/>
      </c>
    </row>
    <row r="961" spans="16:18" ht="22.95" customHeight="1">
      <c r="P961">
        <f t="shared" si="28"/>
        <v>0</v>
      </c>
      <c r="Q961" t="str">
        <f>IF(AND(P961&gt;1,COUNTIF($E$6:E961,E961)=1),MAX($Q$5:Q960)+1,"")</f>
        <v/>
      </c>
      <c r="R961" t="str">
        <f t="shared" si="29"/>
        <v/>
      </c>
    </row>
    <row r="962" spans="16:18" ht="22.95" customHeight="1">
      <c r="P962">
        <f t="shared" si="28"/>
        <v>0</v>
      </c>
      <c r="Q962" t="str">
        <f>IF(AND(P962&gt;1,COUNTIF($E$6:E962,E962)=1),MAX($Q$5:Q961)+1,"")</f>
        <v/>
      </c>
      <c r="R962" t="str">
        <f t="shared" si="29"/>
        <v/>
      </c>
    </row>
    <row r="963" spans="16:18" ht="22.95" customHeight="1">
      <c r="P963">
        <f t="shared" si="28"/>
        <v>0</v>
      </c>
      <c r="Q963" t="str">
        <f>IF(AND(P963&gt;1,COUNTIF($E$6:E963,E963)=1),MAX($Q$5:Q962)+1,"")</f>
        <v/>
      </c>
      <c r="R963" t="str">
        <f t="shared" si="29"/>
        <v/>
      </c>
    </row>
    <row r="964" spans="16:18" ht="22.95" customHeight="1">
      <c r="P964">
        <f t="shared" si="28"/>
        <v>0</v>
      </c>
      <c r="Q964" t="str">
        <f>IF(AND(P964&gt;1,COUNTIF($E$6:E964,E964)=1),MAX($Q$5:Q963)+1,"")</f>
        <v/>
      </c>
      <c r="R964" t="str">
        <f t="shared" si="29"/>
        <v/>
      </c>
    </row>
    <row r="965" spans="16:18" ht="22.95" customHeight="1">
      <c r="P965">
        <f t="shared" si="28"/>
        <v>0</v>
      </c>
      <c r="Q965" t="str">
        <f>IF(AND(P965&gt;1,COUNTIF($E$6:E965,E965)=1),MAX($Q$5:Q964)+1,"")</f>
        <v/>
      </c>
      <c r="R965" t="str">
        <f t="shared" si="29"/>
        <v/>
      </c>
    </row>
    <row r="966" spans="16:18" ht="22.95" customHeight="1">
      <c r="P966">
        <f t="shared" ref="P966:P1029" si="30">COUNTIF($E$6:$E$1740,E966)</f>
        <v>0</v>
      </c>
      <c r="Q966" t="str">
        <f>IF(AND(P966&gt;1,COUNTIF($E$6:E966,E966)=1),MAX($Q$5:Q965)+1,"")</f>
        <v/>
      </c>
      <c r="R966" t="str">
        <f t="shared" ref="R966:R1029" si="31">IF(Q966="","",IF(COUNTIFS($E$6:$E$1740,E966,$A$6:$A$1740,A966,$C$6:$C$1740,C966)&lt;P966,"LÉGITIME",IF(COUNTIFS($E$6:$E$1740,E966,$A$6:$A$1740,A966,$C$6:$C$1740,C966,$M$6:$M$1740,M966)&lt;P966,"STATUT DIFFÉRENT","VRAI DOUBLON")))</f>
        <v/>
      </c>
    </row>
    <row r="967" spans="16:18" ht="22.95" customHeight="1">
      <c r="P967">
        <f t="shared" si="30"/>
        <v>0</v>
      </c>
      <c r="Q967" t="str">
        <f>IF(AND(P967&gt;1,COUNTIF($E$6:E967,E967)=1),MAX($Q$5:Q966)+1,"")</f>
        <v/>
      </c>
      <c r="R967" t="str">
        <f t="shared" si="31"/>
        <v/>
      </c>
    </row>
    <row r="968" spans="16:18" ht="22.95" customHeight="1">
      <c r="P968">
        <f t="shared" si="30"/>
        <v>0</v>
      </c>
      <c r="Q968" t="str">
        <f>IF(AND(P968&gt;1,COUNTIF($E$6:E968,E968)=1),MAX($Q$5:Q967)+1,"")</f>
        <v/>
      </c>
      <c r="R968" t="str">
        <f t="shared" si="31"/>
        <v/>
      </c>
    </row>
    <row r="969" spans="16:18" ht="22.95" customHeight="1">
      <c r="P969">
        <f t="shared" si="30"/>
        <v>0</v>
      </c>
      <c r="Q969" t="str">
        <f>IF(AND(P969&gt;1,COUNTIF($E$6:E969,E969)=1),MAX($Q$5:Q968)+1,"")</f>
        <v/>
      </c>
      <c r="R969" t="str">
        <f t="shared" si="31"/>
        <v/>
      </c>
    </row>
    <row r="970" spans="16:18" ht="22.95" customHeight="1">
      <c r="P970">
        <f t="shared" si="30"/>
        <v>0</v>
      </c>
      <c r="Q970" t="str">
        <f>IF(AND(P970&gt;1,COUNTIF($E$6:E970,E970)=1),MAX($Q$5:Q969)+1,"")</f>
        <v/>
      </c>
      <c r="R970" t="str">
        <f t="shared" si="31"/>
        <v/>
      </c>
    </row>
    <row r="971" spans="16:18" ht="22.95" customHeight="1">
      <c r="P971">
        <f t="shared" si="30"/>
        <v>0</v>
      </c>
      <c r="Q971" t="str">
        <f>IF(AND(P971&gt;1,COUNTIF($E$6:E971,E971)=1),MAX($Q$5:Q970)+1,"")</f>
        <v/>
      </c>
      <c r="R971" t="str">
        <f t="shared" si="31"/>
        <v/>
      </c>
    </row>
    <row r="972" spans="16:18" ht="22.95" customHeight="1">
      <c r="P972">
        <f t="shared" si="30"/>
        <v>0</v>
      </c>
      <c r="Q972" t="str">
        <f>IF(AND(P972&gt;1,COUNTIF($E$6:E972,E972)=1),MAX($Q$5:Q971)+1,"")</f>
        <v/>
      </c>
      <c r="R972" t="str">
        <f t="shared" si="31"/>
        <v/>
      </c>
    </row>
    <row r="973" spans="16:18" ht="22.95" customHeight="1">
      <c r="P973">
        <f t="shared" si="30"/>
        <v>0</v>
      </c>
      <c r="Q973" t="str">
        <f>IF(AND(P973&gt;1,COUNTIF($E$6:E973,E973)=1),MAX($Q$5:Q972)+1,"")</f>
        <v/>
      </c>
      <c r="R973" t="str">
        <f t="shared" si="31"/>
        <v/>
      </c>
    </row>
    <row r="974" spans="16:18" ht="22.95" customHeight="1">
      <c r="P974">
        <f t="shared" si="30"/>
        <v>0</v>
      </c>
      <c r="Q974" t="str">
        <f>IF(AND(P974&gt;1,COUNTIF($E$6:E974,E974)=1),MAX($Q$5:Q973)+1,"")</f>
        <v/>
      </c>
      <c r="R974" t="str">
        <f t="shared" si="31"/>
        <v/>
      </c>
    </row>
    <row r="975" spans="16:18" ht="22.95" customHeight="1">
      <c r="P975">
        <f t="shared" si="30"/>
        <v>0</v>
      </c>
      <c r="Q975" t="str">
        <f>IF(AND(P975&gt;1,COUNTIF($E$6:E975,E975)=1),MAX($Q$5:Q974)+1,"")</f>
        <v/>
      </c>
      <c r="R975" t="str">
        <f t="shared" si="31"/>
        <v/>
      </c>
    </row>
    <row r="976" spans="16:18" ht="22.95" customHeight="1">
      <c r="P976">
        <f t="shared" si="30"/>
        <v>0</v>
      </c>
      <c r="Q976" t="str">
        <f>IF(AND(P976&gt;1,COUNTIF($E$6:E976,E976)=1),MAX($Q$5:Q975)+1,"")</f>
        <v/>
      </c>
      <c r="R976" t="str">
        <f t="shared" si="31"/>
        <v/>
      </c>
    </row>
    <row r="977" spans="16:18" ht="22.95" customHeight="1">
      <c r="P977">
        <f t="shared" si="30"/>
        <v>0</v>
      </c>
      <c r="Q977" t="str">
        <f>IF(AND(P977&gt;1,COUNTIF($E$6:E977,E977)=1),MAX($Q$5:Q976)+1,"")</f>
        <v/>
      </c>
      <c r="R977" t="str">
        <f t="shared" si="31"/>
        <v/>
      </c>
    </row>
    <row r="978" spans="16:18" ht="22.95" customHeight="1">
      <c r="P978">
        <f t="shared" si="30"/>
        <v>0</v>
      </c>
      <c r="Q978" t="str">
        <f>IF(AND(P978&gt;1,COUNTIF($E$6:E978,E978)=1),MAX($Q$5:Q977)+1,"")</f>
        <v/>
      </c>
      <c r="R978" t="str">
        <f t="shared" si="31"/>
        <v/>
      </c>
    </row>
    <row r="979" spans="16:18" ht="22.95" customHeight="1">
      <c r="P979">
        <f t="shared" si="30"/>
        <v>0</v>
      </c>
      <c r="Q979" t="str">
        <f>IF(AND(P979&gt;1,COUNTIF($E$6:E979,E979)=1),MAX($Q$5:Q978)+1,"")</f>
        <v/>
      </c>
      <c r="R979" t="str">
        <f t="shared" si="31"/>
        <v/>
      </c>
    </row>
    <row r="980" spans="16:18" ht="22.95" customHeight="1">
      <c r="P980">
        <f t="shared" si="30"/>
        <v>0</v>
      </c>
      <c r="Q980" t="str">
        <f>IF(AND(P980&gt;1,COUNTIF($E$6:E980,E980)=1),MAX($Q$5:Q979)+1,"")</f>
        <v/>
      </c>
      <c r="R980" t="str">
        <f t="shared" si="31"/>
        <v/>
      </c>
    </row>
    <row r="981" spans="16:18" ht="22.95" customHeight="1">
      <c r="P981">
        <f t="shared" si="30"/>
        <v>0</v>
      </c>
      <c r="Q981" t="str">
        <f>IF(AND(P981&gt;1,COUNTIF($E$6:E981,E981)=1),MAX($Q$5:Q980)+1,"")</f>
        <v/>
      </c>
      <c r="R981" t="str">
        <f t="shared" si="31"/>
        <v/>
      </c>
    </row>
    <row r="982" spans="16:18" ht="22.95" customHeight="1">
      <c r="P982">
        <f t="shared" si="30"/>
        <v>0</v>
      </c>
      <c r="Q982" t="str">
        <f>IF(AND(P982&gt;1,COUNTIF($E$6:E982,E982)=1),MAX($Q$5:Q981)+1,"")</f>
        <v/>
      </c>
      <c r="R982" t="str">
        <f t="shared" si="31"/>
        <v/>
      </c>
    </row>
    <row r="983" spans="16:18" ht="22.95" customHeight="1">
      <c r="P983">
        <f t="shared" si="30"/>
        <v>0</v>
      </c>
      <c r="Q983" t="str">
        <f>IF(AND(P983&gt;1,COUNTIF($E$6:E983,E983)=1),MAX($Q$5:Q982)+1,"")</f>
        <v/>
      </c>
      <c r="R983" t="str">
        <f t="shared" si="31"/>
        <v/>
      </c>
    </row>
    <row r="984" spans="16:18" ht="22.95" customHeight="1">
      <c r="P984">
        <f t="shared" si="30"/>
        <v>0</v>
      </c>
      <c r="Q984" t="str">
        <f>IF(AND(P984&gt;1,COUNTIF($E$6:E984,E984)=1),MAX($Q$5:Q983)+1,"")</f>
        <v/>
      </c>
      <c r="R984" t="str">
        <f t="shared" si="31"/>
        <v/>
      </c>
    </row>
    <row r="985" spans="16:18" ht="22.95" customHeight="1">
      <c r="P985">
        <f t="shared" si="30"/>
        <v>0</v>
      </c>
      <c r="Q985" t="str">
        <f>IF(AND(P985&gt;1,COUNTIF($E$6:E985,E985)=1),MAX($Q$5:Q984)+1,"")</f>
        <v/>
      </c>
      <c r="R985" t="str">
        <f t="shared" si="31"/>
        <v/>
      </c>
    </row>
    <row r="986" spans="16:18" ht="22.95" customHeight="1">
      <c r="P986">
        <f t="shared" si="30"/>
        <v>0</v>
      </c>
      <c r="Q986" t="str">
        <f>IF(AND(P986&gt;1,COUNTIF($E$6:E986,E986)=1),MAX($Q$5:Q985)+1,"")</f>
        <v/>
      </c>
      <c r="R986" t="str">
        <f t="shared" si="31"/>
        <v/>
      </c>
    </row>
    <row r="987" spans="16:18" ht="22.95" customHeight="1">
      <c r="P987">
        <f t="shared" si="30"/>
        <v>0</v>
      </c>
      <c r="Q987" t="str">
        <f>IF(AND(P987&gt;1,COUNTIF($E$6:E987,E987)=1),MAX($Q$5:Q986)+1,"")</f>
        <v/>
      </c>
      <c r="R987" t="str">
        <f t="shared" si="31"/>
        <v/>
      </c>
    </row>
    <row r="988" spans="16:18" ht="22.95" customHeight="1">
      <c r="P988">
        <f t="shared" si="30"/>
        <v>0</v>
      </c>
      <c r="Q988" t="str">
        <f>IF(AND(P988&gt;1,COUNTIF($E$6:E988,E988)=1),MAX($Q$5:Q987)+1,"")</f>
        <v/>
      </c>
      <c r="R988" t="str">
        <f t="shared" si="31"/>
        <v/>
      </c>
    </row>
    <row r="989" spans="16:18" ht="22.95" customHeight="1">
      <c r="P989">
        <f t="shared" si="30"/>
        <v>0</v>
      </c>
      <c r="Q989" t="str">
        <f>IF(AND(P989&gt;1,COUNTIF($E$6:E989,E989)=1),MAX($Q$5:Q988)+1,"")</f>
        <v/>
      </c>
      <c r="R989" t="str">
        <f t="shared" si="31"/>
        <v/>
      </c>
    </row>
    <row r="990" spans="16:18" ht="22.95" customHeight="1">
      <c r="P990">
        <f t="shared" si="30"/>
        <v>0</v>
      </c>
      <c r="Q990" t="str">
        <f>IF(AND(P990&gt;1,COUNTIF($E$6:E990,E990)=1),MAX($Q$5:Q989)+1,"")</f>
        <v/>
      </c>
      <c r="R990" t="str">
        <f t="shared" si="31"/>
        <v/>
      </c>
    </row>
    <row r="991" spans="16:18" ht="22.95" customHeight="1">
      <c r="P991">
        <f t="shared" si="30"/>
        <v>0</v>
      </c>
      <c r="Q991" t="str">
        <f>IF(AND(P991&gt;1,COUNTIF($E$6:E991,E991)=1),MAX($Q$5:Q990)+1,"")</f>
        <v/>
      </c>
      <c r="R991" t="str">
        <f t="shared" si="31"/>
        <v/>
      </c>
    </row>
    <row r="992" spans="16:18" ht="22.95" customHeight="1">
      <c r="P992">
        <f t="shared" si="30"/>
        <v>0</v>
      </c>
      <c r="Q992" t="str">
        <f>IF(AND(P992&gt;1,COUNTIF($E$6:E992,E992)=1),MAX($Q$5:Q991)+1,"")</f>
        <v/>
      </c>
      <c r="R992" t="str">
        <f t="shared" si="31"/>
        <v/>
      </c>
    </row>
    <row r="993" spans="16:18" ht="22.95" customHeight="1">
      <c r="P993">
        <f t="shared" si="30"/>
        <v>0</v>
      </c>
      <c r="Q993" t="str">
        <f>IF(AND(P993&gt;1,COUNTIF($E$6:E993,E993)=1),MAX($Q$5:Q992)+1,"")</f>
        <v/>
      </c>
      <c r="R993" t="str">
        <f t="shared" si="31"/>
        <v/>
      </c>
    </row>
    <row r="994" spans="16:18" ht="22.95" customHeight="1">
      <c r="P994">
        <f t="shared" si="30"/>
        <v>0</v>
      </c>
      <c r="Q994" t="str">
        <f>IF(AND(P994&gt;1,COUNTIF($E$6:E994,E994)=1),MAX($Q$5:Q993)+1,"")</f>
        <v/>
      </c>
      <c r="R994" t="str">
        <f t="shared" si="31"/>
        <v/>
      </c>
    </row>
    <row r="995" spans="16:18" ht="22.95" customHeight="1">
      <c r="P995">
        <f t="shared" si="30"/>
        <v>0</v>
      </c>
      <c r="Q995" t="str">
        <f>IF(AND(P995&gt;1,COUNTIF($E$6:E995,E995)=1),MAX($Q$5:Q994)+1,"")</f>
        <v/>
      </c>
      <c r="R995" t="str">
        <f t="shared" si="31"/>
        <v/>
      </c>
    </row>
    <row r="996" spans="16:18" ht="22.95" customHeight="1">
      <c r="P996">
        <f t="shared" si="30"/>
        <v>0</v>
      </c>
      <c r="Q996" t="str">
        <f>IF(AND(P996&gt;1,COUNTIF($E$6:E996,E996)=1),MAX($Q$5:Q995)+1,"")</f>
        <v/>
      </c>
      <c r="R996" t="str">
        <f t="shared" si="31"/>
        <v/>
      </c>
    </row>
    <row r="997" spans="16:18" ht="22.95" customHeight="1">
      <c r="P997">
        <f t="shared" si="30"/>
        <v>0</v>
      </c>
      <c r="Q997" t="str">
        <f>IF(AND(P997&gt;1,COUNTIF($E$6:E997,E997)=1),MAX($Q$5:Q996)+1,"")</f>
        <v/>
      </c>
      <c r="R997" t="str">
        <f t="shared" si="31"/>
        <v/>
      </c>
    </row>
    <row r="998" spans="16:18" ht="22.95" customHeight="1">
      <c r="P998">
        <f t="shared" si="30"/>
        <v>0</v>
      </c>
      <c r="Q998" t="str">
        <f>IF(AND(P998&gt;1,COUNTIF($E$6:E998,E998)=1),MAX($Q$5:Q997)+1,"")</f>
        <v/>
      </c>
      <c r="R998" t="str">
        <f t="shared" si="31"/>
        <v/>
      </c>
    </row>
    <row r="999" spans="16:18" ht="22.95" customHeight="1">
      <c r="P999">
        <f t="shared" si="30"/>
        <v>0</v>
      </c>
      <c r="Q999" t="str">
        <f>IF(AND(P999&gt;1,COUNTIF($E$6:E999,E999)=1),MAX($Q$5:Q998)+1,"")</f>
        <v/>
      </c>
      <c r="R999" t="str">
        <f t="shared" si="31"/>
        <v/>
      </c>
    </row>
    <row r="1000" spans="16:18" ht="22.95" customHeight="1">
      <c r="P1000">
        <f t="shared" si="30"/>
        <v>0</v>
      </c>
      <c r="Q1000" t="str">
        <f>IF(AND(P1000&gt;1,COUNTIF($E$6:E1000,E1000)=1),MAX($Q$5:Q999)+1,"")</f>
        <v/>
      </c>
      <c r="R1000" t="str">
        <f t="shared" si="31"/>
        <v/>
      </c>
    </row>
    <row r="1001" spans="16:18" ht="22.95" customHeight="1">
      <c r="P1001">
        <f t="shared" si="30"/>
        <v>0</v>
      </c>
      <c r="Q1001" t="str">
        <f>IF(AND(P1001&gt;1,COUNTIF($E$6:E1001,E1001)=1),MAX($Q$5:Q1000)+1,"")</f>
        <v/>
      </c>
      <c r="R1001" t="str">
        <f t="shared" si="31"/>
        <v/>
      </c>
    </row>
    <row r="1002" spans="16:18" ht="22.95" customHeight="1">
      <c r="P1002">
        <f t="shared" si="30"/>
        <v>0</v>
      </c>
      <c r="Q1002" t="str">
        <f>IF(AND(P1002&gt;1,COUNTIF($E$6:E1002,E1002)=1),MAX($Q$5:Q1001)+1,"")</f>
        <v/>
      </c>
      <c r="R1002" t="str">
        <f t="shared" si="31"/>
        <v/>
      </c>
    </row>
    <row r="1003" spans="16:18" ht="22.95" customHeight="1">
      <c r="P1003">
        <f t="shared" si="30"/>
        <v>0</v>
      </c>
      <c r="Q1003" t="str">
        <f>IF(AND(P1003&gt;1,COUNTIF($E$6:E1003,E1003)=1),MAX($Q$5:Q1002)+1,"")</f>
        <v/>
      </c>
      <c r="R1003" t="str">
        <f t="shared" si="31"/>
        <v/>
      </c>
    </row>
    <row r="1004" spans="16:18" ht="22.95" customHeight="1">
      <c r="P1004">
        <f t="shared" si="30"/>
        <v>0</v>
      </c>
      <c r="Q1004" t="str">
        <f>IF(AND(P1004&gt;1,COUNTIF($E$6:E1004,E1004)=1),MAX($Q$5:Q1003)+1,"")</f>
        <v/>
      </c>
      <c r="R1004" t="str">
        <f t="shared" si="31"/>
        <v/>
      </c>
    </row>
    <row r="1005" spans="16:18" ht="22.95" customHeight="1">
      <c r="P1005">
        <f t="shared" si="30"/>
        <v>0</v>
      </c>
      <c r="Q1005" t="str">
        <f>IF(AND(P1005&gt;1,COUNTIF($E$6:E1005,E1005)=1),MAX($Q$5:Q1004)+1,"")</f>
        <v/>
      </c>
      <c r="R1005" t="str">
        <f t="shared" si="31"/>
        <v/>
      </c>
    </row>
    <row r="1006" spans="16:18" ht="22.95" customHeight="1">
      <c r="P1006">
        <f t="shared" si="30"/>
        <v>0</v>
      </c>
      <c r="Q1006" t="str">
        <f>IF(AND(P1006&gt;1,COUNTIF($E$6:E1006,E1006)=1),MAX($Q$5:Q1005)+1,"")</f>
        <v/>
      </c>
      <c r="R1006" t="str">
        <f t="shared" si="31"/>
        <v/>
      </c>
    </row>
    <row r="1007" spans="16:18" ht="22.95" customHeight="1">
      <c r="P1007">
        <f t="shared" si="30"/>
        <v>0</v>
      </c>
      <c r="Q1007" t="str">
        <f>IF(AND(P1007&gt;1,COUNTIF($E$6:E1007,E1007)=1),MAX($Q$5:Q1006)+1,"")</f>
        <v/>
      </c>
      <c r="R1007" t="str">
        <f t="shared" si="31"/>
        <v/>
      </c>
    </row>
    <row r="1008" spans="16:18" ht="22.95" customHeight="1">
      <c r="P1008">
        <f t="shared" si="30"/>
        <v>0</v>
      </c>
      <c r="Q1008" t="str">
        <f>IF(AND(P1008&gt;1,COUNTIF($E$6:E1008,E1008)=1),MAX($Q$5:Q1007)+1,"")</f>
        <v/>
      </c>
      <c r="R1008" t="str">
        <f t="shared" si="31"/>
        <v/>
      </c>
    </row>
    <row r="1009" spans="16:18" ht="22.95" customHeight="1">
      <c r="P1009">
        <f t="shared" si="30"/>
        <v>0</v>
      </c>
      <c r="Q1009" t="str">
        <f>IF(AND(P1009&gt;1,COUNTIF($E$6:E1009,E1009)=1),MAX($Q$5:Q1008)+1,"")</f>
        <v/>
      </c>
      <c r="R1009" t="str">
        <f t="shared" si="31"/>
        <v/>
      </c>
    </row>
    <row r="1010" spans="16:18" ht="22.95" customHeight="1">
      <c r="P1010">
        <f t="shared" si="30"/>
        <v>0</v>
      </c>
      <c r="Q1010" t="str">
        <f>IF(AND(P1010&gt;1,COUNTIF($E$6:E1010,E1010)=1),MAX($Q$5:Q1009)+1,"")</f>
        <v/>
      </c>
      <c r="R1010" t="str">
        <f t="shared" si="31"/>
        <v/>
      </c>
    </row>
    <row r="1011" spans="16:18" ht="22.95" customHeight="1">
      <c r="P1011">
        <f t="shared" si="30"/>
        <v>0</v>
      </c>
      <c r="Q1011" t="str">
        <f>IF(AND(P1011&gt;1,COUNTIF($E$6:E1011,E1011)=1),MAX($Q$5:Q1010)+1,"")</f>
        <v/>
      </c>
      <c r="R1011" t="str">
        <f t="shared" si="31"/>
        <v/>
      </c>
    </row>
    <row r="1012" spans="16:18" ht="22.95" customHeight="1">
      <c r="P1012">
        <f t="shared" si="30"/>
        <v>0</v>
      </c>
      <c r="Q1012" t="str">
        <f>IF(AND(P1012&gt;1,COUNTIF($E$6:E1012,E1012)=1),MAX($Q$5:Q1011)+1,"")</f>
        <v/>
      </c>
      <c r="R1012" t="str">
        <f t="shared" si="31"/>
        <v/>
      </c>
    </row>
    <row r="1013" spans="16:18" ht="22.95" customHeight="1">
      <c r="P1013">
        <f t="shared" si="30"/>
        <v>0</v>
      </c>
      <c r="Q1013" t="str">
        <f>IF(AND(P1013&gt;1,COUNTIF($E$6:E1013,E1013)=1),MAX($Q$5:Q1012)+1,"")</f>
        <v/>
      </c>
      <c r="R1013" t="str">
        <f t="shared" si="31"/>
        <v/>
      </c>
    </row>
    <row r="1014" spans="16:18" ht="22.95" customHeight="1">
      <c r="P1014">
        <f t="shared" si="30"/>
        <v>0</v>
      </c>
      <c r="Q1014" t="str">
        <f>IF(AND(P1014&gt;1,COUNTIF($E$6:E1014,E1014)=1),MAX($Q$5:Q1013)+1,"")</f>
        <v/>
      </c>
      <c r="R1014" t="str">
        <f t="shared" si="31"/>
        <v/>
      </c>
    </row>
    <row r="1015" spans="16:18" ht="22.95" customHeight="1">
      <c r="P1015">
        <f t="shared" si="30"/>
        <v>0</v>
      </c>
      <c r="Q1015" t="str">
        <f>IF(AND(P1015&gt;1,COUNTIF($E$6:E1015,E1015)=1),MAX($Q$5:Q1014)+1,"")</f>
        <v/>
      </c>
      <c r="R1015" t="str">
        <f t="shared" si="31"/>
        <v/>
      </c>
    </row>
    <row r="1016" spans="16:18" ht="22.95" customHeight="1">
      <c r="P1016">
        <f t="shared" si="30"/>
        <v>0</v>
      </c>
      <c r="Q1016" t="str">
        <f>IF(AND(P1016&gt;1,COUNTIF($E$6:E1016,E1016)=1),MAX($Q$5:Q1015)+1,"")</f>
        <v/>
      </c>
      <c r="R1016" t="str">
        <f t="shared" si="31"/>
        <v/>
      </c>
    </row>
    <row r="1017" spans="16:18" ht="22.95" customHeight="1">
      <c r="P1017">
        <f t="shared" si="30"/>
        <v>0</v>
      </c>
      <c r="Q1017" t="str">
        <f>IF(AND(P1017&gt;1,COUNTIF($E$6:E1017,E1017)=1),MAX($Q$5:Q1016)+1,"")</f>
        <v/>
      </c>
      <c r="R1017" t="str">
        <f t="shared" si="31"/>
        <v/>
      </c>
    </row>
    <row r="1018" spans="16:18" ht="22.95" customHeight="1">
      <c r="P1018">
        <f t="shared" si="30"/>
        <v>0</v>
      </c>
      <c r="Q1018" t="str">
        <f>IF(AND(P1018&gt;1,COUNTIF($E$6:E1018,E1018)=1),MAX($Q$5:Q1017)+1,"")</f>
        <v/>
      </c>
      <c r="R1018" t="str">
        <f t="shared" si="31"/>
        <v/>
      </c>
    </row>
    <row r="1019" spans="16:18" ht="22.95" customHeight="1">
      <c r="P1019">
        <f t="shared" si="30"/>
        <v>0</v>
      </c>
      <c r="Q1019" t="str">
        <f>IF(AND(P1019&gt;1,COUNTIF($E$6:E1019,E1019)=1),MAX($Q$5:Q1018)+1,"")</f>
        <v/>
      </c>
      <c r="R1019" t="str">
        <f t="shared" si="31"/>
        <v/>
      </c>
    </row>
    <row r="1020" spans="16:18" ht="22.95" customHeight="1">
      <c r="P1020">
        <f t="shared" si="30"/>
        <v>0</v>
      </c>
      <c r="Q1020" t="str">
        <f>IF(AND(P1020&gt;1,COUNTIF($E$6:E1020,E1020)=1),MAX($Q$5:Q1019)+1,"")</f>
        <v/>
      </c>
      <c r="R1020" t="str">
        <f t="shared" si="31"/>
        <v/>
      </c>
    </row>
    <row r="1021" spans="16:18" ht="22.95" customHeight="1">
      <c r="P1021">
        <f t="shared" si="30"/>
        <v>0</v>
      </c>
      <c r="Q1021" t="str">
        <f>IF(AND(P1021&gt;1,COUNTIF($E$6:E1021,E1021)=1),MAX($Q$5:Q1020)+1,"")</f>
        <v/>
      </c>
      <c r="R1021" t="str">
        <f t="shared" si="31"/>
        <v/>
      </c>
    </row>
    <row r="1022" spans="16:18" ht="22.95" customHeight="1">
      <c r="P1022">
        <f t="shared" si="30"/>
        <v>0</v>
      </c>
      <c r="Q1022" t="str">
        <f>IF(AND(P1022&gt;1,COUNTIF($E$6:E1022,E1022)=1),MAX($Q$5:Q1021)+1,"")</f>
        <v/>
      </c>
      <c r="R1022" t="str">
        <f t="shared" si="31"/>
        <v/>
      </c>
    </row>
    <row r="1023" spans="16:18" ht="22.95" customHeight="1">
      <c r="P1023">
        <f t="shared" si="30"/>
        <v>0</v>
      </c>
      <c r="Q1023" t="str">
        <f>IF(AND(P1023&gt;1,COUNTIF($E$6:E1023,E1023)=1),MAX($Q$5:Q1022)+1,"")</f>
        <v/>
      </c>
      <c r="R1023" t="str">
        <f t="shared" si="31"/>
        <v/>
      </c>
    </row>
    <row r="1024" spans="16:18" ht="22.95" customHeight="1">
      <c r="P1024">
        <f t="shared" si="30"/>
        <v>0</v>
      </c>
      <c r="Q1024" t="str">
        <f>IF(AND(P1024&gt;1,COUNTIF($E$6:E1024,E1024)=1),MAX($Q$5:Q1023)+1,"")</f>
        <v/>
      </c>
      <c r="R1024" t="str">
        <f t="shared" si="31"/>
        <v/>
      </c>
    </row>
    <row r="1025" spans="16:18" ht="22.95" customHeight="1">
      <c r="P1025">
        <f t="shared" si="30"/>
        <v>0</v>
      </c>
      <c r="Q1025" t="str">
        <f>IF(AND(P1025&gt;1,COUNTIF($E$6:E1025,E1025)=1),MAX($Q$5:Q1024)+1,"")</f>
        <v/>
      </c>
      <c r="R1025" t="str">
        <f t="shared" si="31"/>
        <v/>
      </c>
    </row>
    <row r="1026" spans="16:18" ht="22.95" customHeight="1">
      <c r="P1026">
        <f t="shared" si="30"/>
        <v>0</v>
      </c>
      <c r="Q1026" t="str">
        <f>IF(AND(P1026&gt;1,COUNTIF($E$6:E1026,E1026)=1),MAX($Q$5:Q1025)+1,"")</f>
        <v/>
      </c>
      <c r="R1026" t="str">
        <f t="shared" si="31"/>
        <v/>
      </c>
    </row>
    <row r="1027" spans="16:18" ht="22.95" customHeight="1">
      <c r="P1027">
        <f t="shared" si="30"/>
        <v>0</v>
      </c>
      <c r="Q1027" t="str">
        <f>IF(AND(P1027&gt;1,COUNTIF($E$6:E1027,E1027)=1),MAX($Q$5:Q1026)+1,"")</f>
        <v/>
      </c>
      <c r="R1027" t="str">
        <f t="shared" si="31"/>
        <v/>
      </c>
    </row>
    <row r="1028" spans="16:18" ht="22.95" customHeight="1">
      <c r="P1028">
        <f t="shared" si="30"/>
        <v>0</v>
      </c>
      <c r="Q1028" t="str">
        <f>IF(AND(P1028&gt;1,COUNTIF($E$6:E1028,E1028)=1),MAX($Q$5:Q1027)+1,"")</f>
        <v/>
      </c>
      <c r="R1028" t="str">
        <f t="shared" si="31"/>
        <v/>
      </c>
    </row>
    <row r="1029" spans="16:18" ht="22.95" customHeight="1">
      <c r="P1029">
        <f t="shared" si="30"/>
        <v>0</v>
      </c>
      <c r="Q1029" t="str">
        <f>IF(AND(P1029&gt;1,COUNTIF($E$6:E1029,E1029)=1),MAX($Q$5:Q1028)+1,"")</f>
        <v/>
      </c>
      <c r="R1029" t="str">
        <f t="shared" si="31"/>
        <v/>
      </c>
    </row>
    <row r="1030" spans="16:18" ht="22.95" customHeight="1">
      <c r="P1030">
        <f t="shared" ref="P1030:P1093" si="32">COUNTIF($E$6:$E$1740,E1030)</f>
        <v>0</v>
      </c>
      <c r="Q1030" t="str">
        <f>IF(AND(P1030&gt;1,COUNTIF($E$6:E1030,E1030)=1),MAX($Q$5:Q1029)+1,"")</f>
        <v/>
      </c>
      <c r="R1030" t="str">
        <f t="shared" ref="R1030:R1093" si="33">IF(Q1030="","",IF(COUNTIFS($E$6:$E$1740,E1030,$A$6:$A$1740,A1030,$C$6:$C$1740,C1030)&lt;P1030,"LÉGITIME",IF(COUNTIFS($E$6:$E$1740,E1030,$A$6:$A$1740,A1030,$C$6:$C$1740,C1030,$M$6:$M$1740,M1030)&lt;P1030,"STATUT DIFFÉRENT","VRAI DOUBLON")))</f>
        <v/>
      </c>
    </row>
    <row r="1031" spans="16:18" ht="22.95" customHeight="1">
      <c r="P1031">
        <f t="shared" si="32"/>
        <v>0</v>
      </c>
      <c r="Q1031" t="str">
        <f>IF(AND(P1031&gt;1,COUNTIF($E$6:E1031,E1031)=1),MAX($Q$5:Q1030)+1,"")</f>
        <v/>
      </c>
      <c r="R1031" t="str">
        <f t="shared" si="33"/>
        <v/>
      </c>
    </row>
    <row r="1032" spans="16:18" ht="22.95" customHeight="1">
      <c r="P1032">
        <f t="shared" si="32"/>
        <v>0</v>
      </c>
      <c r="Q1032" t="str">
        <f>IF(AND(P1032&gt;1,COUNTIF($E$6:E1032,E1032)=1),MAX($Q$5:Q1031)+1,"")</f>
        <v/>
      </c>
      <c r="R1032" t="str">
        <f t="shared" si="33"/>
        <v/>
      </c>
    </row>
    <row r="1033" spans="16:18" ht="22.95" customHeight="1">
      <c r="P1033">
        <f t="shared" si="32"/>
        <v>0</v>
      </c>
      <c r="Q1033" t="str">
        <f>IF(AND(P1033&gt;1,COUNTIF($E$6:E1033,E1033)=1),MAX($Q$5:Q1032)+1,"")</f>
        <v/>
      </c>
      <c r="R1033" t="str">
        <f t="shared" si="33"/>
        <v/>
      </c>
    </row>
    <row r="1034" spans="16:18" ht="22.95" customHeight="1">
      <c r="P1034">
        <f t="shared" si="32"/>
        <v>0</v>
      </c>
      <c r="Q1034" t="str">
        <f>IF(AND(P1034&gt;1,COUNTIF($E$6:E1034,E1034)=1),MAX($Q$5:Q1033)+1,"")</f>
        <v/>
      </c>
      <c r="R1034" t="str">
        <f t="shared" si="33"/>
        <v/>
      </c>
    </row>
    <row r="1035" spans="16:18" ht="22.95" customHeight="1">
      <c r="P1035">
        <f t="shared" si="32"/>
        <v>0</v>
      </c>
      <c r="Q1035" t="str">
        <f>IF(AND(P1035&gt;1,COUNTIF($E$6:E1035,E1035)=1),MAX($Q$5:Q1034)+1,"")</f>
        <v/>
      </c>
      <c r="R1035" t="str">
        <f t="shared" si="33"/>
        <v/>
      </c>
    </row>
    <row r="1036" spans="16:18" ht="22.95" customHeight="1">
      <c r="P1036">
        <f t="shared" si="32"/>
        <v>0</v>
      </c>
      <c r="Q1036" t="str">
        <f>IF(AND(P1036&gt;1,COUNTIF($E$6:E1036,E1036)=1),MAX($Q$5:Q1035)+1,"")</f>
        <v/>
      </c>
      <c r="R1036" t="str">
        <f t="shared" si="33"/>
        <v/>
      </c>
    </row>
    <row r="1037" spans="16:18" ht="22.95" customHeight="1">
      <c r="P1037">
        <f t="shared" si="32"/>
        <v>0</v>
      </c>
      <c r="Q1037" t="str">
        <f>IF(AND(P1037&gt;1,COUNTIF($E$6:E1037,E1037)=1),MAX($Q$5:Q1036)+1,"")</f>
        <v/>
      </c>
      <c r="R1037" t="str">
        <f t="shared" si="33"/>
        <v/>
      </c>
    </row>
    <row r="1038" spans="16:18" ht="22.95" customHeight="1">
      <c r="P1038">
        <f t="shared" si="32"/>
        <v>0</v>
      </c>
      <c r="Q1038" t="str">
        <f>IF(AND(P1038&gt;1,COUNTIF($E$6:E1038,E1038)=1),MAX($Q$5:Q1037)+1,"")</f>
        <v/>
      </c>
      <c r="R1038" t="str">
        <f t="shared" si="33"/>
        <v/>
      </c>
    </row>
    <row r="1039" spans="16:18" ht="22.95" customHeight="1">
      <c r="P1039">
        <f t="shared" si="32"/>
        <v>0</v>
      </c>
      <c r="Q1039" t="str">
        <f>IF(AND(P1039&gt;1,COUNTIF($E$6:E1039,E1039)=1),MAX($Q$5:Q1038)+1,"")</f>
        <v/>
      </c>
      <c r="R1039" t="str">
        <f t="shared" si="33"/>
        <v/>
      </c>
    </row>
    <row r="1040" spans="16:18" ht="22.95" customHeight="1">
      <c r="P1040">
        <f t="shared" si="32"/>
        <v>0</v>
      </c>
      <c r="Q1040" t="str">
        <f>IF(AND(P1040&gt;1,COUNTIF($E$6:E1040,E1040)=1),MAX($Q$5:Q1039)+1,"")</f>
        <v/>
      </c>
      <c r="R1040" t="str">
        <f t="shared" si="33"/>
        <v/>
      </c>
    </row>
    <row r="1041" spans="16:18" ht="22.95" customHeight="1">
      <c r="P1041">
        <f t="shared" si="32"/>
        <v>0</v>
      </c>
      <c r="Q1041" t="str">
        <f>IF(AND(P1041&gt;1,COUNTIF($E$6:E1041,E1041)=1),MAX($Q$5:Q1040)+1,"")</f>
        <v/>
      </c>
      <c r="R1041" t="str">
        <f t="shared" si="33"/>
        <v/>
      </c>
    </row>
    <row r="1042" spans="16:18" ht="22.95" customHeight="1">
      <c r="P1042">
        <f t="shared" si="32"/>
        <v>0</v>
      </c>
      <c r="Q1042" t="str">
        <f>IF(AND(P1042&gt;1,COUNTIF($E$6:E1042,E1042)=1),MAX($Q$5:Q1041)+1,"")</f>
        <v/>
      </c>
      <c r="R1042" t="str">
        <f t="shared" si="33"/>
        <v/>
      </c>
    </row>
    <row r="1043" spans="16:18" ht="22.95" customHeight="1">
      <c r="P1043">
        <f t="shared" si="32"/>
        <v>0</v>
      </c>
      <c r="Q1043" t="str">
        <f>IF(AND(P1043&gt;1,COUNTIF($E$6:E1043,E1043)=1),MAX($Q$5:Q1042)+1,"")</f>
        <v/>
      </c>
      <c r="R1043" t="str">
        <f t="shared" si="33"/>
        <v/>
      </c>
    </row>
    <row r="1044" spans="16:18" ht="22.95" customHeight="1">
      <c r="P1044">
        <f t="shared" si="32"/>
        <v>0</v>
      </c>
      <c r="Q1044" t="str">
        <f>IF(AND(P1044&gt;1,COUNTIF($E$6:E1044,E1044)=1),MAX($Q$5:Q1043)+1,"")</f>
        <v/>
      </c>
      <c r="R1044" t="str">
        <f t="shared" si="33"/>
        <v/>
      </c>
    </row>
    <row r="1045" spans="16:18" ht="22.95" customHeight="1">
      <c r="P1045">
        <f t="shared" si="32"/>
        <v>0</v>
      </c>
      <c r="Q1045" t="str">
        <f>IF(AND(P1045&gt;1,COUNTIF($E$6:E1045,E1045)=1),MAX($Q$5:Q1044)+1,"")</f>
        <v/>
      </c>
      <c r="R1045" t="str">
        <f t="shared" si="33"/>
        <v/>
      </c>
    </row>
    <row r="1046" spans="16:18" ht="22.95" customHeight="1">
      <c r="P1046">
        <f t="shared" si="32"/>
        <v>0</v>
      </c>
      <c r="Q1046" t="str">
        <f>IF(AND(P1046&gt;1,COUNTIF($E$6:E1046,E1046)=1),MAX($Q$5:Q1045)+1,"")</f>
        <v/>
      </c>
      <c r="R1046" t="str">
        <f t="shared" si="33"/>
        <v/>
      </c>
    </row>
    <row r="1047" spans="16:18" ht="22.95" customHeight="1">
      <c r="P1047">
        <f t="shared" si="32"/>
        <v>0</v>
      </c>
      <c r="Q1047" t="str">
        <f>IF(AND(P1047&gt;1,COUNTIF($E$6:E1047,E1047)=1),MAX($Q$5:Q1046)+1,"")</f>
        <v/>
      </c>
      <c r="R1047" t="str">
        <f t="shared" si="33"/>
        <v/>
      </c>
    </row>
    <row r="1048" spans="16:18" ht="22.95" customHeight="1">
      <c r="P1048">
        <f t="shared" si="32"/>
        <v>0</v>
      </c>
      <c r="Q1048" t="str">
        <f>IF(AND(P1048&gt;1,COUNTIF($E$6:E1048,E1048)=1),MAX($Q$5:Q1047)+1,"")</f>
        <v/>
      </c>
      <c r="R1048" t="str">
        <f t="shared" si="33"/>
        <v/>
      </c>
    </row>
    <row r="1049" spans="16:18" ht="22.95" customHeight="1">
      <c r="P1049">
        <f t="shared" si="32"/>
        <v>0</v>
      </c>
      <c r="Q1049" t="str">
        <f>IF(AND(P1049&gt;1,COUNTIF($E$6:E1049,E1049)=1),MAX($Q$5:Q1048)+1,"")</f>
        <v/>
      </c>
      <c r="R1049" t="str">
        <f t="shared" si="33"/>
        <v/>
      </c>
    </row>
    <row r="1050" spans="16:18" ht="22.95" customHeight="1">
      <c r="P1050">
        <f t="shared" si="32"/>
        <v>0</v>
      </c>
      <c r="Q1050" t="str">
        <f>IF(AND(P1050&gt;1,COUNTIF($E$6:E1050,E1050)=1),MAX($Q$5:Q1049)+1,"")</f>
        <v/>
      </c>
      <c r="R1050" t="str">
        <f t="shared" si="33"/>
        <v/>
      </c>
    </row>
    <row r="1051" spans="16:18" ht="22.95" customHeight="1">
      <c r="P1051">
        <f t="shared" si="32"/>
        <v>0</v>
      </c>
      <c r="Q1051" t="str">
        <f>IF(AND(P1051&gt;1,COUNTIF($E$6:E1051,E1051)=1),MAX($Q$5:Q1050)+1,"")</f>
        <v/>
      </c>
      <c r="R1051" t="str">
        <f t="shared" si="33"/>
        <v/>
      </c>
    </row>
    <row r="1052" spans="16:18" ht="22.95" customHeight="1">
      <c r="P1052">
        <f t="shared" si="32"/>
        <v>0</v>
      </c>
      <c r="Q1052" t="str">
        <f>IF(AND(P1052&gt;1,COUNTIF($E$6:E1052,E1052)=1),MAX($Q$5:Q1051)+1,"")</f>
        <v/>
      </c>
      <c r="R1052" t="str">
        <f t="shared" si="33"/>
        <v/>
      </c>
    </row>
    <row r="1053" spans="16:18" ht="22.95" customHeight="1">
      <c r="P1053">
        <f t="shared" si="32"/>
        <v>0</v>
      </c>
      <c r="Q1053" t="str">
        <f>IF(AND(P1053&gt;1,COUNTIF($E$6:E1053,E1053)=1),MAX($Q$5:Q1052)+1,"")</f>
        <v/>
      </c>
      <c r="R1053" t="str">
        <f t="shared" si="33"/>
        <v/>
      </c>
    </row>
    <row r="1054" spans="16:18" ht="22.95" customHeight="1">
      <c r="P1054">
        <f t="shared" si="32"/>
        <v>0</v>
      </c>
      <c r="Q1054" t="str">
        <f>IF(AND(P1054&gt;1,COUNTIF($E$6:E1054,E1054)=1),MAX($Q$5:Q1053)+1,"")</f>
        <v/>
      </c>
      <c r="R1054" t="str">
        <f t="shared" si="33"/>
        <v/>
      </c>
    </row>
    <row r="1055" spans="16:18" ht="22.95" customHeight="1">
      <c r="P1055">
        <f t="shared" si="32"/>
        <v>0</v>
      </c>
      <c r="Q1055" t="str">
        <f>IF(AND(P1055&gt;1,COUNTIF($E$6:E1055,E1055)=1),MAX($Q$5:Q1054)+1,"")</f>
        <v/>
      </c>
      <c r="R1055" t="str">
        <f t="shared" si="33"/>
        <v/>
      </c>
    </row>
    <row r="1056" spans="16:18" ht="22.95" customHeight="1">
      <c r="P1056">
        <f t="shared" si="32"/>
        <v>0</v>
      </c>
      <c r="Q1056" t="str">
        <f>IF(AND(P1056&gt;1,COUNTIF($E$6:E1056,E1056)=1),MAX($Q$5:Q1055)+1,"")</f>
        <v/>
      </c>
      <c r="R1056" t="str">
        <f t="shared" si="33"/>
        <v/>
      </c>
    </row>
    <row r="1057" spans="16:18" ht="22.95" customHeight="1">
      <c r="P1057">
        <f t="shared" si="32"/>
        <v>0</v>
      </c>
      <c r="Q1057" t="str">
        <f>IF(AND(P1057&gt;1,COUNTIF($E$6:E1057,E1057)=1),MAX($Q$5:Q1056)+1,"")</f>
        <v/>
      </c>
      <c r="R1057" t="str">
        <f t="shared" si="33"/>
        <v/>
      </c>
    </row>
    <row r="1058" spans="16:18" ht="22.95" customHeight="1">
      <c r="P1058">
        <f t="shared" si="32"/>
        <v>0</v>
      </c>
      <c r="Q1058" t="str">
        <f>IF(AND(P1058&gt;1,COUNTIF($E$6:E1058,E1058)=1),MAX($Q$5:Q1057)+1,"")</f>
        <v/>
      </c>
      <c r="R1058" t="str">
        <f t="shared" si="33"/>
        <v/>
      </c>
    </row>
    <row r="1059" spans="16:18" ht="22.95" customHeight="1">
      <c r="P1059">
        <f t="shared" si="32"/>
        <v>0</v>
      </c>
      <c r="Q1059" t="str">
        <f>IF(AND(P1059&gt;1,COUNTIF($E$6:E1059,E1059)=1),MAX($Q$5:Q1058)+1,"")</f>
        <v/>
      </c>
      <c r="R1059" t="str">
        <f t="shared" si="33"/>
        <v/>
      </c>
    </row>
    <row r="1060" spans="16:18" ht="22.95" customHeight="1">
      <c r="P1060">
        <f t="shared" si="32"/>
        <v>0</v>
      </c>
      <c r="Q1060" t="str">
        <f>IF(AND(P1060&gt;1,COUNTIF($E$6:E1060,E1060)=1),MAX($Q$5:Q1059)+1,"")</f>
        <v/>
      </c>
      <c r="R1060" t="str">
        <f t="shared" si="33"/>
        <v/>
      </c>
    </row>
    <row r="1061" spans="16:18" ht="22.95" customHeight="1">
      <c r="P1061">
        <f t="shared" si="32"/>
        <v>0</v>
      </c>
      <c r="Q1061" t="str">
        <f>IF(AND(P1061&gt;1,COUNTIF($E$6:E1061,E1061)=1),MAX($Q$5:Q1060)+1,"")</f>
        <v/>
      </c>
      <c r="R1061" t="str">
        <f t="shared" si="33"/>
        <v/>
      </c>
    </row>
    <row r="1062" spans="16:18" ht="22.95" customHeight="1">
      <c r="P1062">
        <f t="shared" si="32"/>
        <v>0</v>
      </c>
      <c r="Q1062" t="str">
        <f>IF(AND(P1062&gt;1,COUNTIF($E$6:E1062,E1062)=1),MAX($Q$5:Q1061)+1,"")</f>
        <v/>
      </c>
      <c r="R1062" t="str">
        <f t="shared" si="33"/>
        <v/>
      </c>
    </row>
    <row r="1063" spans="16:18" ht="22.95" customHeight="1">
      <c r="P1063">
        <f t="shared" si="32"/>
        <v>0</v>
      </c>
      <c r="Q1063" t="str">
        <f>IF(AND(P1063&gt;1,COUNTIF($E$6:E1063,E1063)=1),MAX($Q$5:Q1062)+1,"")</f>
        <v/>
      </c>
      <c r="R1063" t="str">
        <f t="shared" si="33"/>
        <v/>
      </c>
    </row>
    <row r="1064" spans="16:18" ht="22.95" customHeight="1">
      <c r="P1064">
        <f t="shared" si="32"/>
        <v>0</v>
      </c>
      <c r="Q1064" t="str">
        <f>IF(AND(P1064&gt;1,COUNTIF($E$6:E1064,E1064)=1),MAX($Q$5:Q1063)+1,"")</f>
        <v/>
      </c>
      <c r="R1064" t="str">
        <f t="shared" si="33"/>
        <v/>
      </c>
    </row>
    <row r="1065" spans="16:18" ht="22.95" customHeight="1">
      <c r="P1065">
        <f t="shared" si="32"/>
        <v>0</v>
      </c>
      <c r="Q1065" t="str">
        <f>IF(AND(P1065&gt;1,COUNTIF($E$6:E1065,E1065)=1),MAX($Q$5:Q1064)+1,"")</f>
        <v/>
      </c>
      <c r="R1065" t="str">
        <f t="shared" si="33"/>
        <v/>
      </c>
    </row>
    <row r="1066" spans="16:18" ht="22.95" customHeight="1">
      <c r="P1066">
        <f t="shared" si="32"/>
        <v>0</v>
      </c>
      <c r="Q1066" t="str">
        <f>IF(AND(P1066&gt;1,COUNTIF($E$6:E1066,E1066)=1),MAX($Q$5:Q1065)+1,"")</f>
        <v/>
      </c>
      <c r="R1066" t="str">
        <f t="shared" si="33"/>
        <v/>
      </c>
    </row>
    <row r="1067" spans="16:18" ht="22.95" customHeight="1">
      <c r="P1067">
        <f t="shared" si="32"/>
        <v>0</v>
      </c>
      <c r="Q1067" t="str">
        <f>IF(AND(P1067&gt;1,COUNTIF($E$6:E1067,E1067)=1),MAX($Q$5:Q1066)+1,"")</f>
        <v/>
      </c>
      <c r="R1067" t="str">
        <f t="shared" si="33"/>
        <v/>
      </c>
    </row>
    <row r="1068" spans="16:18" ht="22.95" customHeight="1">
      <c r="P1068">
        <f t="shared" si="32"/>
        <v>0</v>
      </c>
      <c r="Q1068" t="str">
        <f>IF(AND(P1068&gt;1,COUNTIF($E$6:E1068,E1068)=1),MAX($Q$5:Q1067)+1,"")</f>
        <v/>
      </c>
      <c r="R1068" t="str">
        <f t="shared" si="33"/>
        <v/>
      </c>
    </row>
    <row r="1069" spans="16:18" ht="22.95" customHeight="1">
      <c r="P1069">
        <f t="shared" si="32"/>
        <v>0</v>
      </c>
      <c r="Q1069" t="str">
        <f>IF(AND(P1069&gt;1,COUNTIF($E$6:E1069,E1069)=1),MAX($Q$5:Q1068)+1,"")</f>
        <v/>
      </c>
      <c r="R1069" t="str">
        <f t="shared" si="33"/>
        <v/>
      </c>
    </row>
    <row r="1070" spans="16:18" ht="22.95" customHeight="1">
      <c r="P1070">
        <f t="shared" si="32"/>
        <v>0</v>
      </c>
      <c r="Q1070" t="str">
        <f>IF(AND(P1070&gt;1,COUNTIF($E$6:E1070,E1070)=1),MAX($Q$5:Q1069)+1,"")</f>
        <v/>
      </c>
      <c r="R1070" t="str">
        <f t="shared" si="33"/>
        <v/>
      </c>
    </row>
    <row r="1071" spans="16:18" ht="22.95" customHeight="1">
      <c r="P1071">
        <f t="shared" si="32"/>
        <v>0</v>
      </c>
      <c r="Q1071" t="str">
        <f>IF(AND(P1071&gt;1,COUNTIF($E$6:E1071,E1071)=1),MAX($Q$5:Q1070)+1,"")</f>
        <v/>
      </c>
      <c r="R1071" t="str">
        <f t="shared" si="33"/>
        <v/>
      </c>
    </row>
    <row r="1072" spans="16:18" ht="22.95" customHeight="1">
      <c r="P1072">
        <f t="shared" si="32"/>
        <v>0</v>
      </c>
      <c r="Q1072" t="str">
        <f>IF(AND(P1072&gt;1,COUNTIF($E$6:E1072,E1072)=1),MAX($Q$5:Q1071)+1,"")</f>
        <v/>
      </c>
      <c r="R1072" t="str">
        <f t="shared" si="33"/>
        <v/>
      </c>
    </row>
    <row r="1073" spans="16:18" ht="22.95" customHeight="1">
      <c r="P1073">
        <f t="shared" si="32"/>
        <v>0</v>
      </c>
      <c r="Q1073" t="str">
        <f>IF(AND(P1073&gt;1,COUNTIF($E$6:E1073,E1073)=1),MAX($Q$5:Q1072)+1,"")</f>
        <v/>
      </c>
      <c r="R1073" t="str">
        <f t="shared" si="33"/>
        <v/>
      </c>
    </row>
    <row r="1074" spans="16:18" ht="22.95" customHeight="1">
      <c r="P1074">
        <f t="shared" si="32"/>
        <v>0</v>
      </c>
      <c r="Q1074" t="str">
        <f>IF(AND(P1074&gt;1,COUNTIF($E$6:E1074,E1074)=1),MAX($Q$5:Q1073)+1,"")</f>
        <v/>
      </c>
      <c r="R1074" t="str">
        <f t="shared" si="33"/>
        <v/>
      </c>
    </row>
    <row r="1075" spans="16:18" ht="22.95" customHeight="1">
      <c r="P1075">
        <f t="shared" si="32"/>
        <v>0</v>
      </c>
      <c r="Q1075" t="str">
        <f>IF(AND(P1075&gt;1,COUNTIF($E$6:E1075,E1075)=1),MAX($Q$5:Q1074)+1,"")</f>
        <v/>
      </c>
      <c r="R1075" t="str">
        <f t="shared" si="33"/>
        <v/>
      </c>
    </row>
    <row r="1076" spans="16:18" ht="22.95" customHeight="1">
      <c r="P1076">
        <f t="shared" si="32"/>
        <v>0</v>
      </c>
      <c r="Q1076" t="str">
        <f>IF(AND(P1076&gt;1,COUNTIF($E$6:E1076,E1076)=1),MAX($Q$5:Q1075)+1,"")</f>
        <v/>
      </c>
      <c r="R1076" t="str">
        <f t="shared" si="33"/>
        <v/>
      </c>
    </row>
    <row r="1077" spans="16:18" ht="22.95" customHeight="1">
      <c r="P1077">
        <f t="shared" si="32"/>
        <v>0</v>
      </c>
      <c r="Q1077" t="str">
        <f>IF(AND(P1077&gt;1,COUNTIF($E$6:E1077,E1077)=1),MAX($Q$5:Q1076)+1,"")</f>
        <v/>
      </c>
      <c r="R1077" t="str">
        <f t="shared" si="33"/>
        <v/>
      </c>
    </row>
    <row r="1078" spans="16:18" ht="22.95" customHeight="1">
      <c r="P1078">
        <f t="shared" si="32"/>
        <v>0</v>
      </c>
      <c r="Q1078" t="str">
        <f>IF(AND(P1078&gt;1,COUNTIF($E$6:E1078,E1078)=1),MAX($Q$5:Q1077)+1,"")</f>
        <v/>
      </c>
      <c r="R1078" t="str">
        <f t="shared" si="33"/>
        <v/>
      </c>
    </row>
    <row r="1079" spans="16:18" ht="22.95" customHeight="1">
      <c r="P1079">
        <f t="shared" si="32"/>
        <v>0</v>
      </c>
      <c r="Q1079" t="str">
        <f>IF(AND(P1079&gt;1,COUNTIF($E$6:E1079,E1079)=1),MAX($Q$5:Q1078)+1,"")</f>
        <v/>
      </c>
      <c r="R1079" t="str">
        <f t="shared" si="33"/>
        <v/>
      </c>
    </row>
    <row r="1080" spans="16:18" ht="22.95" customHeight="1">
      <c r="P1080">
        <f t="shared" si="32"/>
        <v>0</v>
      </c>
      <c r="Q1080" t="str">
        <f>IF(AND(P1080&gt;1,COUNTIF($E$6:E1080,E1080)=1),MAX($Q$5:Q1079)+1,"")</f>
        <v/>
      </c>
      <c r="R1080" t="str">
        <f t="shared" si="33"/>
        <v/>
      </c>
    </row>
    <row r="1081" spans="16:18" ht="22.95" customHeight="1">
      <c r="P1081">
        <f t="shared" si="32"/>
        <v>0</v>
      </c>
      <c r="Q1081" t="str">
        <f>IF(AND(P1081&gt;1,COUNTIF($E$6:E1081,E1081)=1),MAX($Q$5:Q1080)+1,"")</f>
        <v/>
      </c>
      <c r="R1081" t="str">
        <f t="shared" si="33"/>
        <v/>
      </c>
    </row>
    <row r="1082" spans="16:18" ht="22.95" customHeight="1">
      <c r="P1082">
        <f t="shared" si="32"/>
        <v>0</v>
      </c>
      <c r="Q1082" t="str">
        <f>IF(AND(P1082&gt;1,COUNTIF($E$6:E1082,E1082)=1),MAX($Q$5:Q1081)+1,"")</f>
        <v/>
      </c>
      <c r="R1082" t="str">
        <f t="shared" si="33"/>
        <v/>
      </c>
    </row>
    <row r="1083" spans="16:18" ht="22.95" customHeight="1">
      <c r="P1083">
        <f t="shared" si="32"/>
        <v>0</v>
      </c>
      <c r="Q1083" t="str">
        <f>IF(AND(P1083&gt;1,COUNTIF($E$6:E1083,E1083)=1),MAX($Q$5:Q1082)+1,"")</f>
        <v/>
      </c>
      <c r="R1083" t="str">
        <f t="shared" si="33"/>
        <v/>
      </c>
    </row>
    <row r="1084" spans="16:18" ht="22.95" customHeight="1">
      <c r="P1084">
        <f t="shared" si="32"/>
        <v>0</v>
      </c>
      <c r="Q1084" t="str">
        <f>IF(AND(P1084&gt;1,COUNTIF($E$6:E1084,E1084)=1),MAX($Q$5:Q1083)+1,"")</f>
        <v/>
      </c>
      <c r="R1084" t="str">
        <f t="shared" si="33"/>
        <v/>
      </c>
    </row>
    <row r="1085" spans="16:18" ht="22.95" customHeight="1">
      <c r="P1085">
        <f t="shared" si="32"/>
        <v>0</v>
      </c>
      <c r="Q1085" t="str">
        <f>IF(AND(P1085&gt;1,COUNTIF($E$6:E1085,E1085)=1),MAX($Q$5:Q1084)+1,"")</f>
        <v/>
      </c>
      <c r="R1085" t="str">
        <f t="shared" si="33"/>
        <v/>
      </c>
    </row>
    <row r="1086" spans="16:18" ht="22.95" customHeight="1">
      <c r="P1086">
        <f t="shared" si="32"/>
        <v>0</v>
      </c>
      <c r="Q1086" t="str">
        <f>IF(AND(P1086&gt;1,COUNTIF($E$6:E1086,E1086)=1),MAX($Q$5:Q1085)+1,"")</f>
        <v/>
      </c>
      <c r="R1086" t="str">
        <f t="shared" si="33"/>
        <v/>
      </c>
    </row>
    <row r="1087" spans="16:18" ht="22.95" customHeight="1">
      <c r="P1087">
        <f t="shared" si="32"/>
        <v>0</v>
      </c>
      <c r="Q1087" t="str">
        <f>IF(AND(P1087&gt;1,COUNTIF($E$6:E1087,E1087)=1),MAX($Q$5:Q1086)+1,"")</f>
        <v/>
      </c>
      <c r="R1087" t="str">
        <f t="shared" si="33"/>
        <v/>
      </c>
    </row>
    <row r="1088" spans="16:18" ht="22.95" customHeight="1">
      <c r="P1088">
        <f t="shared" si="32"/>
        <v>0</v>
      </c>
      <c r="Q1088" t="str">
        <f>IF(AND(P1088&gt;1,COUNTIF($E$6:E1088,E1088)=1),MAX($Q$5:Q1087)+1,"")</f>
        <v/>
      </c>
      <c r="R1088" t="str">
        <f t="shared" si="33"/>
        <v/>
      </c>
    </row>
    <row r="1089" spans="16:18" ht="22.95" customHeight="1">
      <c r="P1089">
        <f t="shared" si="32"/>
        <v>0</v>
      </c>
      <c r="Q1089" t="str">
        <f>IF(AND(P1089&gt;1,COUNTIF($E$6:E1089,E1089)=1),MAX($Q$5:Q1088)+1,"")</f>
        <v/>
      </c>
      <c r="R1089" t="str">
        <f t="shared" si="33"/>
        <v/>
      </c>
    </row>
    <row r="1090" spans="16:18" ht="22.95" customHeight="1">
      <c r="P1090">
        <f t="shared" si="32"/>
        <v>0</v>
      </c>
      <c r="Q1090" t="str">
        <f>IF(AND(P1090&gt;1,COUNTIF($E$6:E1090,E1090)=1),MAX($Q$5:Q1089)+1,"")</f>
        <v/>
      </c>
      <c r="R1090" t="str">
        <f t="shared" si="33"/>
        <v/>
      </c>
    </row>
    <row r="1091" spans="16:18" ht="22.95" customHeight="1">
      <c r="P1091">
        <f t="shared" si="32"/>
        <v>0</v>
      </c>
      <c r="Q1091" t="str">
        <f>IF(AND(P1091&gt;1,COUNTIF($E$6:E1091,E1091)=1),MAX($Q$5:Q1090)+1,"")</f>
        <v/>
      </c>
      <c r="R1091" t="str">
        <f t="shared" si="33"/>
        <v/>
      </c>
    </row>
    <row r="1092" spans="16:18" ht="22.95" customHeight="1">
      <c r="P1092">
        <f t="shared" si="32"/>
        <v>0</v>
      </c>
      <c r="Q1092" t="str">
        <f>IF(AND(P1092&gt;1,COUNTIF($E$6:E1092,E1092)=1),MAX($Q$5:Q1091)+1,"")</f>
        <v/>
      </c>
      <c r="R1092" t="str">
        <f t="shared" si="33"/>
        <v/>
      </c>
    </row>
    <row r="1093" spans="16:18" ht="22.95" customHeight="1">
      <c r="P1093">
        <f t="shared" si="32"/>
        <v>0</v>
      </c>
      <c r="Q1093" t="str">
        <f>IF(AND(P1093&gt;1,COUNTIF($E$6:E1093,E1093)=1),MAX($Q$5:Q1092)+1,"")</f>
        <v/>
      </c>
      <c r="R1093" t="str">
        <f t="shared" si="33"/>
        <v/>
      </c>
    </row>
    <row r="1094" spans="16:18" ht="22.95" customHeight="1">
      <c r="P1094">
        <f t="shared" ref="P1094:P1157" si="34">COUNTIF($E$6:$E$1740,E1094)</f>
        <v>0</v>
      </c>
      <c r="Q1094" t="str">
        <f>IF(AND(P1094&gt;1,COUNTIF($E$6:E1094,E1094)=1),MAX($Q$5:Q1093)+1,"")</f>
        <v/>
      </c>
      <c r="R1094" t="str">
        <f t="shared" ref="R1094:R1157" si="35">IF(Q1094="","",IF(COUNTIFS($E$6:$E$1740,E1094,$A$6:$A$1740,A1094,$C$6:$C$1740,C1094)&lt;P1094,"LÉGITIME",IF(COUNTIFS($E$6:$E$1740,E1094,$A$6:$A$1740,A1094,$C$6:$C$1740,C1094,$M$6:$M$1740,M1094)&lt;P1094,"STATUT DIFFÉRENT","VRAI DOUBLON")))</f>
        <v/>
      </c>
    </row>
    <row r="1095" spans="16:18" ht="22.95" customHeight="1">
      <c r="P1095">
        <f t="shared" si="34"/>
        <v>0</v>
      </c>
      <c r="Q1095" t="str">
        <f>IF(AND(P1095&gt;1,COUNTIF($E$6:E1095,E1095)=1),MAX($Q$5:Q1094)+1,"")</f>
        <v/>
      </c>
      <c r="R1095" t="str">
        <f t="shared" si="35"/>
        <v/>
      </c>
    </row>
    <row r="1096" spans="16:18" ht="22.95" customHeight="1">
      <c r="P1096">
        <f t="shared" si="34"/>
        <v>0</v>
      </c>
      <c r="Q1096" t="str">
        <f>IF(AND(P1096&gt;1,COUNTIF($E$6:E1096,E1096)=1),MAX($Q$5:Q1095)+1,"")</f>
        <v/>
      </c>
      <c r="R1096" t="str">
        <f t="shared" si="35"/>
        <v/>
      </c>
    </row>
    <row r="1097" spans="16:18" ht="22.95" customHeight="1">
      <c r="P1097">
        <f t="shared" si="34"/>
        <v>0</v>
      </c>
      <c r="Q1097" t="str">
        <f>IF(AND(P1097&gt;1,COUNTIF($E$6:E1097,E1097)=1),MAX($Q$5:Q1096)+1,"")</f>
        <v/>
      </c>
      <c r="R1097" t="str">
        <f t="shared" si="35"/>
        <v/>
      </c>
    </row>
    <row r="1098" spans="16:18" ht="22.95" customHeight="1">
      <c r="P1098">
        <f t="shared" si="34"/>
        <v>0</v>
      </c>
      <c r="Q1098" t="str">
        <f>IF(AND(P1098&gt;1,COUNTIF($E$6:E1098,E1098)=1),MAX($Q$5:Q1097)+1,"")</f>
        <v/>
      </c>
      <c r="R1098" t="str">
        <f t="shared" si="35"/>
        <v/>
      </c>
    </row>
    <row r="1099" spans="16:18" ht="22.95" customHeight="1">
      <c r="P1099">
        <f t="shared" si="34"/>
        <v>0</v>
      </c>
      <c r="Q1099" t="str">
        <f>IF(AND(P1099&gt;1,COUNTIF($E$6:E1099,E1099)=1),MAX($Q$5:Q1098)+1,"")</f>
        <v/>
      </c>
      <c r="R1099" t="str">
        <f t="shared" si="35"/>
        <v/>
      </c>
    </row>
    <row r="1100" spans="16:18" ht="22.95" customHeight="1">
      <c r="P1100">
        <f t="shared" si="34"/>
        <v>0</v>
      </c>
      <c r="Q1100" t="str">
        <f>IF(AND(P1100&gt;1,COUNTIF($E$6:E1100,E1100)=1),MAX($Q$5:Q1099)+1,"")</f>
        <v/>
      </c>
      <c r="R1100" t="str">
        <f t="shared" si="35"/>
        <v/>
      </c>
    </row>
    <row r="1101" spans="16:18" ht="22.95" customHeight="1">
      <c r="P1101">
        <f t="shared" si="34"/>
        <v>0</v>
      </c>
      <c r="Q1101" t="str">
        <f>IF(AND(P1101&gt;1,COUNTIF($E$6:E1101,E1101)=1),MAX($Q$5:Q1100)+1,"")</f>
        <v/>
      </c>
      <c r="R1101" t="str">
        <f t="shared" si="35"/>
        <v/>
      </c>
    </row>
    <row r="1102" spans="16:18" ht="22.95" customHeight="1">
      <c r="P1102">
        <f t="shared" si="34"/>
        <v>0</v>
      </c>
      <c r="Q1102" t="str">
        <f>IF(AND(P1102&gt;1,COUNTIF($E$6:E1102,E1102)=1),MAX($Q$5:Q1101)+1,"")</f>
        <v/>
      </c>
      <c r="R1102" t="str">
        <f t="shared" si="35"/>
        <v/>
      </c>
    </row>
    <row r="1103" spans="16:18" ht="22.95" customHeight="1">
      <c r="P1103">
        <f t="shared" si="34"/>
        <v>0</v>
      </c>
      <c r="Q1103" t="str">
        <f>IF(AND(P1103&gt;1,COUNTIF($E$6:E1103,E1103)=1),MAX($Q$5:Q1102)+1,"")</f>
        <v/>
      </c>
      <c r="R1103" t="str">
        <f t="shared" si="35"/>
        <v/>
      </c>
    </row>
    <row r="1104" spans="16:18" ht="22.95" customHeight="1">
      <c r="P1104">
        <f t="shared" si="34"/>
        <v>0</v>
      </c>
      <c r="Q1104" t="str">
        <f>IF(AND(P1104&gt;1,COUNTIF($E$6:E1104,E1104)=1),MAX($Q$5:Q1103)+1,"")</f>
        <v/>
      </c>
      <c r="R1104" t="str">
        <f t="shared" si="35"/>
        <v/>
      </c>
    </row>
    <row r="1105" spans="16:18" ht="22.95" customHeight="1">
      <c r="P1105">
        <f t="shared" si="34"/>
        <v>0</v>
      </c>
      <c r="Q1105" t="str">
        <f>IF(AND(P1105&gt;1,COUNTIF($E$6:E1105,E1105)=1),MAX($Q$5:Q1104)+1,"")</f>
        <v/>
      </c>
      <c r="R1105" t="str">
        <f t="shared" si="35"/>
        <v/>
      </c>
    </row>
    <row r="1106" spans="16:18" ht="22.95" customHeight="1">
      <c r="P1106">
        <f t="shared" si="34"/>
        <v>0</v>
      </c>
      <c r="Q1106" t="str">
        <f>IF(AND(P1106&gt;1,COUNTIF($E$6:E1106,E1106)=1),MAX($Q$5:Q1105)+1,"")</f>
        <v/>
      </c>
      <c r="R1106" t="str">
        <f t="shared" si="35"/>
        <v/>
      </c>
    </row>
    <row r="1107" spans="16:18" ht="22.95" customHeight="1">
      <c r="P1107">
        <f t="shared" si="34"/>
        <v>0</v>
      </c>
      <c r="Q1107" t="str">
        <f>IF(AND(P1107&gt;1,COUNTIF($E$6:E1107,E1107)=1),MAX($Q$5:Q1106)+1,"")</f>
        <v/>
      </c>
      <c r="R1107" t="str">
        <f t="shared" si="35"/>
        <v/>
      </c>
    </row>
    <row r="1108" spans="16:18" ht="22.95" customHeight="1">
      <c r="P1108">
        <f t="shared" si="34"/>
        <v>0</v>
      </c>
      <c r="Q1108" t="str">
        <f>IF(AND(P1108&gt;1,COUNTIF($E$6:E1108,E1108)=1),MAX($Q$5:Q1107)+1,"")</f>
        <v/>
      </c>
      <c r="R1108" t="str">
        <f t="shared" si="35"/>
        <v/>
      </c>
    </row>
    <row r="1109" spans="16:18" ht="22.95" customHeight="1">
      <c r="P1109">
        <f t="shared" si="34"/>
        <v>0</v>
      </c>
      <c r="Q1109" t="str">
        <f>IF(AND(P1109&gt;1,COUNTIF($E$6:E1109,E1109)=1),MAX($Q$5:Q1108)+1,"")</f>
        <v/>
      </c>
      <c r="R1109" t="str">
        <f t="shared" si="35"/>
        <v/>
      </c>
    </row>
    <row r="1110" spans="16:18" ht="22.95" customHeight="1">
      <c r="P1110">
        <f t="shared" si="34"/>
        <v>0</v>
      </c>
      <c r="Q1110" t="str">
        <f>IF(AND(P1110&gt;1,COUNTIF($E$6:E1110,E1110)=1),MAX($Q$5:Q1109)+1,"")</f>
        <v/>
      </c>
      <c r="R1110" t="str">
        <f t="shared" si="35"/>
        <v/>
      </c>
    </row>
    <row r="1111" spans="16:18" ht="22.95" customHeight="1">
      <c r="P1111">
        <f t="shared" si="34"/>
        <v>0</v>
      </c>
      <c r="Q1111" t="str">
        <f>IF(AND(P1111&gt;1,COUNTIF($E$6:E1111,E1111)=1),MAX($Q$5:Q1110)+1,"")</f>
        <v/>
      </c>
      <c r="R1111" t="str">
        <f t="shared" si="35"/>
        <v/>
      </c>
    </row>
    <row r="1112" spans="16:18" ht="22.95" customHeight="1">
      <c r="P1112">
        <f t="shared" si="34"/>
        <v>0</v>
      </c>
      <c r="Q1112" t="str">
        <f>IF(AND(P1112&gt;1,COUNTIF($E$6:E1112,E1112)=1),MAX($Q$5:Q1111)+1,"")</f>
        <v/>
      </c>
      <c r="R1112" t="str">
        <f t="shared" si="35"/>
        <v/>
      </c>
    </row>
    <row r="1113" spans="16:18" ht="22.95" customHeight="1">
      <c r="P1113">
        <f t="shared" si="34"/>
        <v>0</v>
      </c>
      <c r="Q1113" t="str">
        <f>IF(AND(P1113&gt;1,COUNTIF($E$6:E1113,E1113)=1),MAX($Q$5:Q1112)+1,"")</f>
        <v/>
      </c>
      <c r="R1113" t="str">
        <f t="shared" si="35"/>
        <v/>
      </c>
    </row>
    <row r="1114" spans="16:18" ht="22.95" customHeight="1">
      <c r="P1114">
        <f t="shared" si="34"/>
        <v>0</v>
      </c>
      <c r="Q1114" t="str">
        <f>IF(AND(P1114&gt;1,COUNTIF($E$6:E1114,E1114)=1),MAX($Q$5:Q1113)+1,"")</f>
        <v/>
      </c>
      <c r="R1114" t="str">
        <f t="shared" si="35"/>
        <v/>
      </c>
    </row>
    <row r="1115" spans="16:18" ht="22.95" customHeight="1">
      <c r="P1115">
        <f t="shared" si="34"/>
        <v>0</v>
      </c>
      <c r="Q1115" t="str">
        <f>IF(AND(P1115&gt;1,COUNTIF($E$6:E1115,E1115)=1),MAX($Q$5:Q1114)+1,"")</f>
        <v/>
      </c>
      <c r="R1115" t="str">
        <f t="shared" si="35"/>
        <v/>
      </c>
    </row>
    <row r="1116" spans="16:18" ht="22.95" customHeight="1">
      <c r="P1116">
        <f t="shared" si="34"/>
        <v>0</v>
      </c>
      <c r="Q1116" t="str">
        <f>IF(AND(P1116&gt;1,COUNTIF($E$6:E1116,E1116)=1),MAX($Q$5:Q1115)+1,"")</f>
        <v/>
      </c>
      <c r="R1116" t="str">
        <f t="shared" si="35"/>
        <v/>
      </c>
    </row>
    <row r="1117" spans="16:18" ht="22.95" customHeight="1">
      <c r="P1117">
        <f t="shared" si="34"/>
        <v>0</v>
      </c>
      <c r="Q1117" t="str">
        <f>IF(AND(P1117&gt;1,COUNTIF($E$6:E1117,E1117)=1),MAX($Q$5:Q1116)+1,"")</f>
        <v/>
      </c>
      <c r="R1117" t="str">
        <f t="shared" si="35"/>
        <v/>
      </c>
    </row>
    <row r="1118" spans="16:18" ht="22.95" customHeight="1">
      <c r="P1118">
        <f t="shared" si="34"/>
        <v>0</v>
      </c>
      <c r="Q1118" t="str">
        <f>IF(AND(P1118&gt;1,COUNTIF($E$6:E1118,E1118)=1),MAX($Q$5:Q1117)+1,"")</f>
        <v/>
      </c>
      <c r="R1118" t="str">
        <f t="shared" si="35"/>
        <v/>
      </c>
    </row>
    <row r="1119" spans="16:18" ht="22.95" customHeight="1">
      <c r="P1119">
        <f t="shared" si="34"/>
        <v>0</v>
      </c>
      <c r="Q1119" t="str">
        <f>IF(AND(P1119&gt;1,COUNTIF($E$6:E1119,E1119)=1),MAX($Q$5:Q1118)+1,"")</f>
        <v/>
      </c>
      <c r="R1119" t="str">
        <f t="shared" si="35"/>
        <v/>
      </c>
    </row>
    <row r="1120" spans="16:18" ht="22.95" customHeight="1">
      <c r="P1120">
        <f t="shared" si="34"/>
        <v>0</v>
      </c>
      <c r="Q1120" t="str">
        <f>IF(AND(P1120&gt;1,COUNTIF($E$6:E1120,E1120)=1),MAX($Q$5:Q1119)+1,"")</f>
        <v/>
      </c>
      <c r="R1120" t="str">
        <f t="shared" si="35"/>
        <v/>
      </c>
    </row>
    <row r="1121" spans="16:18" ht="22.95" customHeight="1">
      <c r="P1121">
        <f t="shared" si="34"/>
        <v>0</v>
      </c>
      <c r="Q1121" t="str">
        <f>IF(AND(P1121&gt;1,COUNTIF($E$6:E1121,E1121)=1),MAX($Q$5:Q1120)+1,"")</f>
        <v/>
      </c>
      <c r="R1121" t="str">
        <f t="shared" si="35"/>
        <v/>
      </c>
    </row>
    <row r="1122" spans="16:18" ht="22.95" customHeight="1">
      <c r="P1122">
        <f t="shared" si="34"/>
        <v>0</v>
      </c>
      <c r="Q1122" t="str">
        <f>IF(AND(P1122&gt;1,COUNTIF($E$6:E1122,E1122)=1),MAX($Q$5:Q1121)+1,"")</f>
        <v/>
      </c>
      <c r="R1122" t="str">
        <f t="shared" si="35"/>
        <v/>
      </c>
    </row>
    <row r="1123" spans="16:18" ht="22.95" customHeight="1">
      <c r="P1123">
        <f t="shared" si="34"/>
        <v>0</v>
      </c>
      <c r="Q1123" t="str">
        <f>IF(AND(P1123&gt;1,COUNTIF($E$6:E1123,E1123)=1),MAX($Q$5:Q1122)+1,"")</f>
        <v/>
      </c>
      <c r="R1123" t="str">
        <f t="shared" si="35"/>
        <v/>
      </c>
    </row>
    <row r="1124" spans="16:18" ht="22.95" customHeight="1">
      <c r="P1124">
        <f t="shared" si="34"/>
        <v>0</v>
      </c>
      <c r="Q1124" t="str">
        <f>IF(AND(P1124&gt;1,COUNTIF($E$6:E1124,E1124)=1),MAX($Q$5:Q1123)+1,"")</f>
        <v/>
      </c>
      <c r="R1124" t="str">
        <f t="shared" si="35"/>
        <v/>
      </c>
    </row>
    <row r="1125" spans="16:18" ht="22.95" customHeight="1">
      <c r="P1125">
        <f t="shared" si="34"/>
        <v>0</v>
      </c>
      <c r="Q1125" t="str">
        <f>IF(AND(P1125&gt;1,COUNTIF($E$6:E1125,E1125)=1),MAX($Q$5:Q1124)+1,"")</f>
        <v/>
      </c>
      <c r="R1125" t="str">
        <f t="shared" si="35"/>
        <v/>
      </c>
    </row>
    <row r="1126" spans="16:18" ht="22.95" customHeight="1">
      <c r="P1126">
        <f t="shared" si="34"/>
        <v>0</v>
      </c>
      <c r="Q1126" t="str">
        <f>IF(AND(P1126&gt;1,COUNTIF($E$6:E1126,E1126)=1),MAX($Q$5:Q1125)+1,"")</f>
        <v/>
      </c>
      <c r="R1126" t="str">
        <f t="shared" si="35"/>
        <v/>
      </c>
    </row>
    <row r="1127" spans="16:18" ht="22.95" customHeight="1">
      <c r="P1127">
        <f t="shared" si="34"/>
        <v>0</v>
      </c>
      <c r="Q1127" t="str">
        <f>IF(AND(P1127&gt;1,COUNTIF($E$6:E1127,E1127)=1),MAX($Q$5:Q1126)+1,"")</f>
        <v/>
      </c>
      <c r="R1127" t="str">
        <f t="shared" si="35"/>
        <v/>
      </c>
    </row>
    <row r="1128" spans="16:18" ht="22.95" customHeight="1">
      <c r="P1128">
        <f t="shared" si="34"/>
        <v>0</v>
      </c>
      <c r="Q1128" t="str">
        <f>IF(AND(P1128&gt;1,COUNTIF($E$6:E1128,E1128)=1),MAX($Q$5:Q1127)+1,"")</f>
        <v/>
      </c>
      <c r="R1128" t="str">
        <f t="shared" si="35"/>
        <v/>
      </c>
    </row>
    <row r="1129" spans="16:18" ht="22.95" customHeight="1">
      <c r="P1129">
        <f t="shared" si="34"/>
        <v>0</v>
      </c>
      <c r="Q1129" t="str">
        <f>IF(AND(P1129&gt;1,COUNTIF($E$6:E1129,E1129)=1),MAX($Q$5:Q1128)+1,"")</f>
        <v/>
      </c>
      <c r="R1129" t="str">
        <f t="shared" si="35"/>
        <v/>
      </c>
    </row>
    <row r="1130" spans="16:18" ht="22.95" customHeight="1">
      <c r="P1130">
        <f t="shared" si="34"/>
        <v>0</v>
      </c>
      <c r="Q1130" t="str">
        <f>IF(AND(P1130&gt;1,COUNTIF($E$6:E1130,E1130)=1),MAX($Q$5:Q1129)+1,"")</f>
        <v/>
      </c>
      <c r="R1130" t="str">
        <f t="shared" si="35"/>
        <v/>
      </c>
    </row>
    <row r="1131" spans="16:18" ht="22.95" customHeight="1">
      <c r="P1131">
        <f t="shared" si="34"/>
        <v>0</v>
      </c>
      <c r="Q1131" t="str">
        <f>IF(AND(P1131&gt;1,COUNTIF($E$6:E1131,E1131)=1),MAX($Q$5:Q1130)+1,"")</f>
        <v/>
      </c>
      <c r="R1131" t="str">
        <f t="shared" si="35"/>
        <v/>
      </c>
    </row>
    <row r="1132" spans="16:18" ht="22.95" customHeight="1">
      <c r="P1132">
        <f t="shared" si="34"/>
        <v>0</v>
      </c>
      <c r="Q1132" t="str">
        <f>IF(AND(P1132&gt;1,COUNTIF($E$6:E1132,E1132)=1),MAX($Q$5:Q1131)+1,"")</f>
        <v/>
      </c>
      <c r="R1132" t="str">
        <f t="shared" si="35"/>
        <v/>
      </c>
    </row>
    <row r="1133" spans="16:18" ht="22.95" customHeight="1">
      <c r="P1133">
        <f t="shared" si="34"/>
        <v>0</v>
      </c>
      <c r="Q1133" t="str">
        <f>IF(AND(P1133&gt;1,COUNTIF($E$6:E1133,E1133)=1),MAX($Q$5:Q1132)+1,"")</f>
        <v/>
      </c>
      <c r="R1133" t="str">
        <f t="shared" si="35"/>
        <v/>
      </c>
    </row>
    <row r="1134" spans="16:18" ht="22.95" customHeight="1">
      <c r="P1134">
        <f t="shared" si="34"/>
        <v>0</v>
      </c>
      <c r="Q1134" t="str">
        <f>IF(AND(P1134&gt;1,COUNTIF($E$6:E1134,E1134)=1),MAX($Q$5:Q1133)+1,"")</f>
        <v/>
      </c>
      <c r="R1134" t="str">
        <f t="shared" si="35"/>
        <v/>
      </c>
    </row>
    <row r="1135" spans="16:18" ht="22.95" customHeight="1">
      <c r="P1135">
        <f t="shared" si="34"/>
        <v>0</v>
      </c>
      <c r="Q1135" t="str">
        <f>IF(AND(P1135&gt;1,COUNTIF($E$6:E1135,E1135)=1),MAX($Q$5:Q1134)+1,"")</f>
        <v/>
      </c>
      <c r="R1135" t="str">
        <f t="shared" si="35"/>
        <v/>
      </c>
    </row>
    <row r="1136" spans="16:18" ht="22.95" customHeight="1">
      <c r="P1136">
        <f t="shared" si="34"/>
        <v>0</v>
      </c>
      <c r="Q1136" t="str">
        <f>IF(AND(P1136&gt;1,COUNTIF($E$6:E1136,E1136)=1),MAX($Q$5:Q1135)+1,"")</f>
        <v/>
      </c>
      <c r="R1136" t="str">
        <f t="shared" si="35"/>
        <v/>
      </c>
    </row>
    <row r="1137" spans="16:18" ht="22.95" customHeight="1">
      <c r="P1137">
        <f t="shared" si="34"/>
        <v>0</v>
      </c>
      <c r="Q1137" t="str">
        <f>IF(AND(P1137&gt;1,COUNTIF($E$6:E1137,E1137)=1),MAX($Q$5:Q1136)+1,"")</f>
        <v/>
      </c>
      <c r="R1137" t="str">
        <f t="shared" si="35"/>
        <v/>
      </c>
    </row>
    <row r="1138" spans="16:18" ht="22.95" customHeight="1">
      <c r="P1138">
        <f t="shared" si="34"/>
        <v>0</v>
      </c>
      <c r="Q1138" t="str">
        <f>IF(AND(P1138&gt;1,COUNTIF($E$6:E1138,E1138)=1),MAX($Q$5:Q1137)+1,"")</f>
        <v/>
      </c>
      <c r="R1138" t="str">
        <f t="shared" si="35"/>
        <v/>
      </c>
    </row>
    <row r="1139" spans="16:18" ht="22.95" customHeight="1">
      <c r="P1139">
        <f t="shared" si="34"/>
        <v>0</v>
      </c>
      <c r="Q1139" t="str">
        <f>IF(AND(P1139&gt;1,COUNTIF($E$6:E1139,E1139)=1),MAX($Q$5:Q1138)+1,"")</f>
        <v/>
      </c>
      <c r="R1139" t="str">
        <f t="shared" si="35"/>
        <v/>
      </c>
    </row>
    <row r="1140" spans="16:18" ht="22.95" customHeight="1">
      <c r="P1140">
        <f t="shared" si="34"/>
        <v>0</v>
      </c>
      <c r="Q1140" t="str">
        <f>IF(AND(P1140&gt;1,COUNTIF($E$6:E1140,E1140)=1),MAX($Q$5:Q1139)+1,"")</f>
        <v/>
      </c>
      <c r="R1140" t="str">
        <f t="shared" si="35"/>
        <v/>
      </c>
    </row>
    <row r="1141" spans="16:18" ht="22.95" customHeight="1">
      <c r="P1141">
        <f t="shared" si="34"/>
        <v>0</v>
      </c>
      <c r="Q1141" t="str">
        <f>IF(AND(P1141&gt;1,COUNTIF($E$6:E1141,E1141)=1),MAX($Q$5:Q1140)+1,"")</f>
        <v/>
      </c>
      <c r="R1141" t="str">
        <f t="shared" si="35"/>
        <v/>
      </c>
    </row>
    <row r="1142" spans="16:18" ht="22.95" customHeight="1">
      <c r="P1142">
        <f t="shared" si="34"/>
        <v>0</v>
      </c>
      <c r="Q1142" t="str">
        <f>IF(AND(P1142&gt;1,COUNTIF($E$6:E1142,E1142)=1),MAX($Q$5:Q1141)+1,"")</f>
        <v/>
      </c>
      <c r="R1142" t="str">
        <f t="shared" si="35"/>
        <v/>
      </c>
    </row>
    <row r="1143" spans="16:18" ht="22.95" customHeight="1">
      <c r="P1143">
        <f t="shared" si="34"/>
        <v>0</v>
      </c>
      <c r="Q1143" t="str">
        <f>IF(AND(P1143&gt;1,COUNTIF($E$6:E1143,E1143)=1),MAX($Q$5:Q1142)+1,"")</f>
        <v/>
      </c>
      <c r="R1143" t="str">
        <f t="shared" si="35"/>
        <v/>
      </c>
    </row>
    <row r="1144" spans="16:18" ht="22.95" customHeight="1">
      <c r="P1144">
        <f t="shared" si="34"/>
        <v>0</v>
      </c>
      <c r="Q1144" t="str">
        <f>IF(AND(P1144&gt;1,COUNTIF($E$6:E1144,E1144)=1),MAX($Q$5:Q1143)+1,"")</f>
        <v/>
      </c>
      <c r="R1144" t="str">
        <f t="shared" si="35"/>
        <v/>
      </c>
    </row>
    <row r="1145" spans="16:18" ht="22.95" customHeight="1">
      <c r="P1145">
        <f t="shared" si="34"/>
        <v>0</v>
      </c>
      <c r="Q1145" t="str">
        <f>IF(AND(P1145&gt;1,COUNTIF($E$6:E1145,E1145)=1),MAX($Q$5:Q1144)+1,"")</f>
        <v/>
      </c>
      <c r="R1145" t="str">
        <f t="shared" si="35"/>
        <v/>
      </c>
    </row>
    <row r="1146" spans="16:18" ht="22.95" customHeight="1">
      <c r="P1146">
        <f t="shared" si="34"/>
        <v>0</v>
      </c>
      <c r="Q1146" t="str">
        <f>IF(AND(P1146&gt;1,COUNTIF($E$6:E1146,E1146)=1),MAX($Q$5:Q1145)+1,"")</f>
        <v/>
      </c>
      <c r="R1146" t="str">
        <f t="shared" si="35"/>
        <v/>
      </c>
    </row>
    <row r="1147" spans="16:18" ht="22.95" customHeight="1">
      <c r="P1147">
        <f t="shared" si="34"/>
        <v>0</v>
      </c>
      <c r="Q1147" t="str">
        <f>IF(AND(P1147&gt;1,COUNTIF($E$6:E1147,E1147)=1),MAX($Q$5:Q1146)+1,"")</f>
        <v/>
      </c>
      <c r="R1147" t="str">
        <f t="shared" si="35"/>
        <v/>
      </c>
    </row>
    <row r="1148" spans="16:18" ht="22.95" customHeight="1">
      <c r="P1148">
        <f t="shared" si="34"/>
        <v>0</v>
      </c>
      <c r="Q1148" t="str">
        <f>IF(AND(P1148&gt;1,COUNTIF($E$6:E1148,E1148)=1),MAX($Q$5:Q1147)+1,"")</f>
        <v/>
      </c>
      <c r="R1148" t="str">
        <f t="shared" si="35"/>
        <v/>
      </c>
    </row>
    <row r="1149" spans="16:18" ht="22.95" customHeight="1">
      <c r="P1149">
        <f t="shared" si="34"/>
        <v>0</v>
      </c>
      <c r="Q1149" t="str">
        <f>IF(AND(P1149&gt;1,COUNTIF($E$6:E1149,E1149)=1),MAX($Q$5:Q1148)+1,"")</f>
        <v/>
      </c>
      <c r="R1149" t="str">
        <f t="shared" si="35"/>
        <v/>
      </c>
    </row>
    <row r="1150" spans="16:18" ht="22.95" customHeight="1">
      <c r="P1150">
        <f t="shared" si="34"/>
        <v>0</v>
      </c>
      <c r="Q1150" t="str">
        <f>IF(AND(P1150&gt;1,COUNTIF($E$6:E1150,E1150)=1),MAX($Q$5:Q1149)+1,"")</f>
        <v/>
      </c>
      <c r="R1150" t="str">
        <f t="shared" si="35"/>
        <v/>
      </c>
    </row>
    <row r="1151" spans="16:18" ht="22.95" customHeight="1">
      <c r="P1151">
        <f t="shared" si="34"/>
        <v>0</v>
      </c>
      <c r="Q1151" t="str">
        <f>IF(AND(P1151&gt;1,COUNTIF($E$6:E1151,E1151)=1),MAX($Q$5:Q1150)+1,"")</f>
        <v/>
      </c>
      <c r="R1151" t="str">
        <f t="shared" si="35"/>
        <v/>
      </c>
    </row>
    <row r="1152" spans="16:18" ht="22.95" customHeight="1">
      <c r="P1152">
        <f t="shared" si="34"/>
        <v>0</v>
      </c>
      <c r="Q1152" t="str">
        <f>IF(AND(P1152&gt;1,COUNTIF($E$6:E1152,E1152)=1),MAX($Q$5:Q1151)+1,"")</f>
        <v/>
      </c>
      <c r="R1152" t="str">
        <f t="shared" si="35"/>
        <v/>
      </c>
    </row>
    <row r="1153" spans="16:18" ht="22.95" customHeight="1">
      <c r="P1153">
        <f t="shared" si="34"/>
        <v>0</v>
      </c>
      <c r="Q1153" t="str">
        <f>IF(AND(P1153&gt;1,COUNTIF($E$6:E1153,E1153)=1),MAX($Q$5:Q1152)+1,"")</f>
        <v/>
      </c>
      <c r="R1153" t="str">
        <f t="shared" si="35"/>
        <v/>
      </c>
    </row>
    <row r="1154" spans="16:18" ht="22.95" customHeight="1">
      <c r="P1154">
        <f t="shared" si="34"/>
        <v>0</v>
      </c>
      <c r="Q1154" t="str">
        <f>IF(AND(P1154&gt;1,COUNTIF($E$6:E1154,E1154)=1),MAX($Q$5:Q1153)+1,"")</f>
        <v/>
      </c>
      <c r="R1154" t="str">
        <f t="shared" si="35"/>
        <v/>
      </c>
    </row>
    <row r="1155" spans="16:18" ht="22.95" customHeight="1">
      <c r="P1155">
        <f t="shared" si="34"/>
        <v>0</v>
      </c>
      <c r="Q1155" t="str">
        <f>IF(AND(P1155&gt;1,COUNTIF($E$6:E1155,E1155)=1),MAX($Q$5:Q1154)+1,"")</f>
        <v/>
      </c>
      <c r="R1155" t="str">
        <f t="shared" si="35"/>
        <v/>
      </c>
    </row>
    <row r="1156" spans="16:18" ht="22.95" customHeight="1">
      <c r="P1156">
        <f t="shared" si="34"/>
        <v>0</v>
      </c>
      <c r="Q1156" t="str">
        <f>IF(AND(P1156&gt;1,COUNTIF($E$6:E1156,E1156)=1),MAX($Q$5:Q1155)+1,"")</f>
        <v/>
      </c>
      <c r="R1156" t="str">
        <f t="shared" si="35"/>
        <v/>
      </c>
    </row>
    <row r="1157" spans="16:18" ht="22.95" customHeight="1">
      <c r="P1157">
        <f t="shared" si="34"/>
        <v>0</v>
      </c>
      <c r="Q1157" t="str">
        <f>IF(AND(P1157&gt;1,COUNTIF($E$6:E1157,E1157)=1),MAX($Q$5:Q1156)+1,"")</f>
        <v/>
      </c>
      <c r="R1157" t="str">
        <f t="shared" si="35"/>
        <v/>
      </c>
    </row>
    <row r="1158" spans="16:18" ht="22.95" customHeight="1">
      <c r="P1158">
        <f t="shared" ref="P1158:P1221" si="36">COUNTIF($E$6:$E$1740,E1158)</f>
        <v>0</v>
      </c>
      <c r="Q1158" t="str">
        <f>IF(AND(P1158&gt;1,COUNTIF($E$6:E1158,E1158)=1),MAX($Q$5:Q1157)+1,"")</f>
        <v/>
      </c>
      <c r="R1158" t="str">
        <f t="shared" ref="R1158:R1221" si="37">IF(Q1158="","",IF(COUNTIFS($E$6:$E$1740,E1158,$A$6:$A$1740,A1158,$C$6:$C$1740,C1158)&lt;P1158,"LÉGITIME",IF(COUNTIFS($E$6:$E$1740,E1158,$A$6:$A$1740,A1158,$C$6:$C$1740,C1158,$M$6:$M$1740,M1158)&lt;P1158,"STATUT DIFFÉRENT","VRAI DOUBLON")))</f>
        <v/>
      </c>
    </row>
    <row r="1159" spans="16:18" ht="22.95" customHeight="1">
      <c r="P1159">
        <f t="shared" si="36"/>
        <v>0</v>
      </c>
      <c r="Q1159" t="str">
        <f>IF(AND(P1159&gt;1,COUNTIF($E$6:E1159,E1159)=1),MAX($Q$5:Q1158)+1,"")</f>
        <v/>
      </c>
      <c r="R1159" t="str">
        <f t="shared" si="37"/>
        <v/>
      </c>
    </row>
    <row r="1160" spans="16:18" ht="22.95" customHeight="1">
      <c r="P1160">
        <f t="shared" si="36"/>
        <v>0</v>
      </c>
      <c r="Q1160" t="str">
        <f>IF(AND(P1160&gt;1,COUNTIF($E$6:E1160,E1160)=1),MAX($Q$5:Q1159)+1,"")</f>
        <v/>
      </c>
      <c r="R1160" t="str">
        <f t="shared" si="37"/>
        <v/>
      </c>
    </row>
    <row r="1161" spans="16:18" ht="22.95" customHeight="1">
      <c r="P1161">
        <f t="shared" si="36"/>
        <v>0</v>
      </c>
      <c r="Q1161" t="str">
        <f>IF(AND(P1161&gt;1,COUNTIF($E$6:E1161,E1161)=1),MAX($Q$5:Q1160)+1,"")</f>
        <v/>
      </c>
      <c r="R1161" t="str">
        <f t="shared" si="37"/>
        <v/>
      </c>
    </row>
    <row r="1162" spans="16:18" ht="22.95" customHeight="1">
      <c r="P1162">
        <f t="shared" si="36"/>
        <v>0</v>
      </c>
      <c r="Q1162" t="str">
        <f>IF(AND(P1162&gt;1,COUNTIF($E$6:E1162,E1162)=1),MAX($Q$5:Q1161)+1,"")</f>
        <v/>
      </c>
      <c r="R1162" t="str">
        <f t="shared" si="37"/>
        <v/>
      </c>
    </row>
    <row r="1163" spans="16:18" ht="22.95" customHeight="1">
      <c r="P1163">
        <f t="shared" si="36"/>
        <v>0</v>
      </c>
      <c r="Q1163" t="str">
        <f>IF(AND(P1163&gt;1,COUNTIF($E$6:E1163,E1163)=1),MAX($Q$5:Q1162)+1,"")</f>
        <v/>
      </c>
      <c r="R1163" t="str">
        <f t="shared" si="37"/>
        <v/>
      </c>
    </row>
    <row r="1164" spans="16:18" ht="22.95" customHeight="1">
      <c r="P1164">
        <f t="shared" si="36"/>
        <v>0</v>
      </c>
      <c r="Q1164" t="str">
        <f>IF(AND(P1164&gt;1,COUNTIF($E$6:E1164,E1164)=1),MAX($Q$5:Q1163)+1,"")</f>
        <v/>
      </c>
      <c r="R1164" t="str">
        <f t="shared" si="37"/>
        <v/>
      </c>
    </row>
    <row r="1165" spans="16:18" ht="22.95" customHeight="1">
      <c r="P1165">
        <f t="shared" si="36"/>
        <v>0</v>
      </c>
      <c r="Q1165" t="str">
        <f>IF(AND(P1165&gt;1,COUNTIF($E$6:E1165,E1165)=1),MAX($Q$5:Q1164)+1,"")</f>
        <v/>
      </c>
      <c r="R1165" t="str">
        <f t="shared" si="37"/>
        <v/>
      </c>
    </row>
    <row r="1166" spans="16:18" ht="22.95" customHeight="1">
      <c r="P1166">
        <f t="shared" si="36"/>
        <v>0</v>
      </c>
      <c r="Q1166" t="str">
        <f>IF(AND(P1166&gt;1,COUNTIF($E$6:E1166,E1166)=1),MAX($Q$5:Q1165)+1,"")</f>
        <v/>
      </c>
      <c r="R1166" t="str">
        <f t="shared" si="37"/>
        <v/>
      </c>
    </row>
    <row r="1167" spans="16:18" ht="22.95" customHeight="1">
      <c r="P1167">
        <f t="shared" si="36"/>
        <v>0</v>
      </c>
      <c r="Q1167" t="str">
        <f>IF(AND(P1167&gt;1,COUNTIF($E$6:E1167,E1167)=1),MAX($Q$5:Q1166)+1,"")</f>
        <v/>
      </c>
      <c r="R1167" t="str">
        <f t="shared" si="37"/>
        <v/>
      </c>
    </row>
    <row r="1168" spans="16:18" ht="22.95" customHeight="1">
      <c r="P1168">
        <f t="shared" si="36"/>
        <v>0</v>
      </c>
      <c r="Q1168" t="str">
        <f>IF(AND(P1168&gt;1,COUNTIF($E$6:E1168,E1168)=1),MAX($Q$5:Q1167)+1,"")</f>
        <v/>
      </c>
      <c r="R1168" t="str">
        <f t="shared" si="37"/>
        <v/>
      </c>
    </row>
    <row r="1169" spans="16:18" ht="22.95" customHeight="1">
      <c r="P1169">
        <f t="shared" si="36"/>
        <v>0</v>
      </c>
      <c r="Q1169" t="str">
        <f>IF(AND(P1169&gt;1,COUNTIF($E$6:E1169,E1169)=1),MAX($Q$5:Q1168)+1,"")</f>
        <v/>
      </c>
      <c r="R1169" t="str">
        <f t="shared" si="37"/>
        <v/>
      </c>
    </row>
    <row r="1170" spans="16:18" ht="22.95" customHeight="1">
      <c r="P1170">
        <f t="shared" si="36"/>
        <v>0</v>
      </c>
      <c r="Q1170" t="str">
        <f>IF(AND(P1170&gt;1,COUNTIF($E$6:E1170,E1170)=1),MAX($Q$5:Q1169)+1,"")</f>
        <v/>
      </c>
      <c r="R1170" t="str">
        <f t="shared" si="37"/>
        <v/>
      </c>
    </row>
    <row r="1171" spans="16:18" ht="22.95" customHeight="1">
      <c r="P1171">
        <f t="shared" si="36"/>
        <v>0</v>
      </c>
      <c r="Q1171" t="str">
        <f>IF(AND(P1171&gt;1,COUNTIF($E$6:E1171,E1171)=1),MAX($Q$5:Q1170)+1,"")</f>
        <v/>
      </c>
      <c r="R1171" t="str">
        <f t="shared" si="37"/>
        <v/>
      </c>
    </row>
    <row r="1172" spans="16:18" ht="22.95" customHeight="1">
      <c r="P1172">
        <f t="shared" si="36"/>
        <v>0</v>
      </c>
      <c r="Q1172" t="str">
        <f>IF(AND(P1172&gt;1,COUNTIF($E$6:E1172,E1172)=1),MAX($Q$5:Q1171)+1,"")</f>
        <v/>
      </c>
      <c r="R1172" t="str">
        <f t="shared" si="37"/>
        <v/>
      </c>
    </row>
    <row r="1173" spans="16:18" ht="22.95" customHeight="1">
      <c r="P1173">
        <f t="shared" si="36"/>
        <v>0</v>
      </c>
      <c r="Q1173" t="str">
        <f>IF(AND(P1173&gt;1,COUNTIF($E$6:E1173,E1173)=1),MAX($Q$5:Q1172)+1,"")</f>
        <v/>
      </c>
      <c r="R1173" t="str">
        <f t="shared" si="37"/>
        <v/>
      </c>
    </row>
    <row r="1174" spans="16:18" ht="22.95" customHeight="1">
      <c r="P1174">
        <f t="shared" si="36"/>
        <v>0</v>
      </c>
      <c r="Q1174" t="str">
        <f>IF(AND(P1174&gt;1,COUNTIF($E$6:E1174,E1174)=1),MAX($Q$5:Q1173)+1,"")</f>
        <v/>
      </c>
      <c r="R1174" t="str">
        <f t="shared" si="37"/>
        <v/>
      </c>
    </row>
    <row r="1175" spans="16:18" ht="22.95" customHeight="1">
      <c r="P1175">
        <f t="shared" si="36"/>
        <v>0</v>
      </c>
      <c r="Q1175" t="str">
        <f>IF(AND(P1175&gt;1,COUNTIF($E$6:E1175,E1175)=1),MAX($Q$5:Q1174)+1,"")</f>
        <v/>
      </c>
      <c r="R1175" t="str">
        <f t="shared" si="37"/>
        <v/>
      </c>
    </row>
    <row r="1176" spans="16:18" ht="22.95" customHeight="1">
      <c r="P1176">
        <f t="shared" si="36"/>
        <v>0</v>
      </c>
      <c r="Q1176" t="str">
        <f>IF(AND(P1176&gt;1,COUNTIF($E$6:E1176,E1176)=1),MAX($Q$5:Q1175)+1,"")</f>
        <v/>
      </c>
      <c r="R1176" t="str">
        <f t="shared" si="37"/>
        <v/>
      </c>
    </row>
    <row r="1177" spans="16:18" ht="22.95" customHeight="1">
      <c r="P1177">
        <f t="shared" si="36"/>
        <v>0</v>
      </c>
      <c r="Q1177" t="str">
        <f>IF(AND(P1177&gt;1,COUNTIF($E$6:E1177,E1177)=1),MAX($Q$5:Q1176)+1,"")</f>
        <v/>
      </c>
      <c r="R1177" t="str">
        <f t="shared" si="37"/>
        <v/>
      </c>
    </row>
    <row r="1178" spans="16:18" ht="22.95" customHeight="1">
      <c r="P1178">
        <f t="shared" si="36"/>
        <v>0</v>
      </c>
      <c r="Q1178" t="str">
        <f>IF(AND(P1178&gt;1,COUNTIF($E$6:E1178,E1178)=1),MAX($Q$5:Q1177)+1,"")</f>
        <v/>
      </c>
      <c r="R1178" t="str">
        <f t="shared" si="37"/>
        <v/>
      </c>
    </row>
    <row r="1179" spans="16:18" ht="22.95" customHeight="1">
      <c r="P1179">
        <f t="shared" si="36"/>
        <v>0</v>
      </c>
      <c r="Q1179" t="str">
        <f>IF(AND(P1179&gt;1,COUNTIF($E$6:E1179,E1179)=1),MAX($Q$5:Q1178)+1,"")</f>
        <v/>
      </c>
      <c r="R1179" t="str">
        <f t="shared" si="37"/>
        <v/>
      </c>
    </row>
    <row r="1180" spans="16:18" ht="22.95" customHeight="1">
      <c r="P1180">
        <f t="shared" si="36"/>
        <v>0</v>
      </c>
      <c r="Q1180" t="str">
        <f>IF(AND(P1180&gt;1,COUNTIF($E$6:E1180,E1180)=1),MAX($Q$5:Q1179)+1,"")</f>
        <v/>
      </c>
      <c r="R1180" t="str">
        <f t="shared" si="37"/>
        <v/>
      </c>
    </row>
    <row r="1181" spans="16:18" ht="22.95" customHeight="1">
      <c r="P1181">
        <f t="shared" si="36"/>
        <v>0</v>
      </c>
      <c r="Q1181" t="str">
        <f>IF(AND(P1181&gt;1,COUNTIF($E$6:E1181,E1181)=1),MAX($Q$5:Q1180)+1,"")</f>
        <v/>
      </c>
      <c r="R1181" t="str">
        <f t="shared" si="37"/>
        <v/>
      </c>
    </row>
    <row r="1182" spans="16:18" ht="22.95" customHeight="1">
      <c r="P1182">
        <f t="shared" si="36"/>
        <v>0</v>
      </c>
      <c r="Q1182" t="str">
        <f>IF(AND(P1182&gt;1,COUNTIF($E$6:E1182,E1182)=1),MAX($Q$5:Q1181)+1,"")</f>
        <v/>
      </c>
      <c r="R1182" t="str">
        <f t="shared" si="37"/>
        <v/>
      </c>
    </row>
    <row r="1183" spans="16:18" ht="22.95" customHeight="1">
      <c r="P1183">
        <f t="shared" si="36"/>
        <v>0</v>
      </c>
      <c r="Q1183" t="str">
        <f>IF(AND(P1183&gt;1,COUNTIF($E$6:E1183,E1183)=1),MAX($Q$5:Q1182)+1,"")</f>
        <v/>
      </c>
      <c r="R1183" t="str">
        <f t="shared" si="37"/>
        <v/>
      </c>
    </row>
    <row r="1184" spans="16:18" ht="22.95" customHeight="1">
      <c r="P1184">
        <f t="shared" si="36"/>
        <v>0</v>
      </c>
      <c r="Q1184" t="str">
        <f>IF(AND(P1184&gt;1,COUNTIF($E$6:E1184,E1184)=1),MAX($Q$5:Q1183)+1,"")</f>
        <v/>
      </c>
      <c r="R1184" t="str">
        <f t="shared" si="37"/>
        <v/>
      </c>
    </row>
    <row r="1185" spans="16:18" ht="22.95" customHeight="1">
      <c r="P1185">
        <f t="shared" si="36"/>
        <v>0</v>
      </c>
      <c r="Q1185" t="str">
        <f>IF(AND(P1185&gt;1,COUNTIF($E$6:E1185,E1185)=1),MAX($Q$5:Q1184)+1,"")</f>
        <v/>
      </c>
      <c r="R1185" t="str">
        <f t="shared" si="37"/>
        <v/>
      </c>
    </row>
    <row r="1186" spans="16:18" ht="22.95" customHeight="1">
      <c r="P1186">
        <f t="shared" si="36"/>
        <v>0</v>
      </c>
      <c r="Q1186" t="str">
        <f>IF(AND(P1186&gt;1,COUNTIF($E$6:E1186,E1186)=1),MAX($Q$5:Q1185)+1,"")</f>
        <v/>
      </c>
      <c r="R1186" t="str">
        <f t="shared" si="37"/>
        <v/>
      </c>
    </row>
    <row r="1187" spans="16:18" ht="22.95" customHeight="1">
      <c r="P1187">
        <f t="shared" si="36"/>
        <v>0</v>
      </c>
      <c r="Q1187" t="str">
        <f>IF(AND(P1187&gt;1,COUNTIF($E$6:E1187,E1187)=1),MAX($Q$5:Q1186)+1,"")</f>
        <v/>
      </c>
      <c r="R1187" t="str">
        <f t="shared" si="37"/>
        <v/>
      </c>
    </row>
    <row r="1188" spans="16:18" ht="22.95" customHeight="1">
      <c r="P1188">
        <f t="shared" si="36"/>
        <v>0</v>
      </c>
      <c r="Q1188" t="str">
        <f>IF(AND(P1188&gt;1,COUNTIF($E$6:E1188,E1188)=1),MAX($Q$5:Q1187)+1,"")</f>
        <v/>
      </c>
      <c r="R1188" t="str">
        <f t="shared" si="37"/>
        <v/>
      </c>
    </row>
    <row r="1189" spans="16:18" ht="22.95" customHeight="1">
      <c r="P1189">
        <f t="shared" si="36"/>
        <v>0</v>
      </c>
      <c r="Q1189" t="str">
        <f>IF(AND(P1189&gt;1,COUNTIF($E$6:E1189,E1189)=1),MAX($Q$5:Q1188)+1,"")</f>
        <v/>
      </c>
      <c r="R1189" t="str">
        <f t="shared" si="37"/>
        <v/>
      </c>
    </row>
    <row r="1190" spans="16:18" ht="22.95" customHeight="1">
      <c r="P1190">
        <f t="shared" si="36"/>
        <v>0</v>
      </c>
      <c r="Q1190" t="str">
        <f>IF(AND(P1190&gt;1,COUNTIF($E$6:E1190,E1190)=1),MAX($Q$5:Q1189)+1,"")</f>
        <v/>
      </c>
      <c r="R1190" t="str">
        <f t="shared" si="37"/>
        <v/>
      </c>
    </row>
    <row r="1191" spans="16:18" ht="22.95" customHeight="1">
      <c r="P1191">
        <f t="shared" si="36"/>
        <v>0</v>
      </c>
      <c r="Q1191" t="str">
        <f>IF(AND(P1191&gt;1,COUNTIF($E$6:E1191,E1191)=1),MAX($Q$5:Q1190)+1,"")</f>
        <v/>
      </c>
      <c r="R1191" t="str">
        <f t="shared" si="37"/>
        <v/>
      </c>
    </row>
    <row r="1192" spans="16:18" ht="22.95" customHeight="1">
      <c r="P1192">
        <f t="shared" si="36"/>
        <v>0</v>
      </c>
      <c r="Q1192" t="str">
        <f>IF(AND(P1192&gt;1,COUNTIF($E$6:E1192,E1192)=1),MAX($Q$5:Q1191)+1,"")</f>
        <v/>
      </c>
      <c r="R1192" t="str">
        <f t="shared" si="37"/>
        <v/>
      </c>
    </row>
    <row r="1193" spans="16:18" ht="22.95" customHeight="1">
      <c r="P1193">
        <f t="shared" si="36"/>
        <v>0</v>
      </c>
      <c r="Q1193" t="str">
        <f>IF(AND(P1193&gt;1,COUNTIF($E$6:E1193,E1193)=1),MAX($Q$5:Q1192)+1,"")</f>
        <v/>
      </c>
      <c r="R1193" t="str">
        <f t="shared" si="37"/>
        <v/>
      </c>
    </row>
    <row r="1194" spans="16:18" ht="22.95" customHeight="1">
      <c r="P1194">
        <f t="shared" si="36"/>
        <v>0</v>
      </c>
      <c r="Q1194" t="str">
        <f>IF(AND(P1194&gt;1,COUNTIF($E$6:E1194,E1194)=1),MAX($Q$5:Q1193)+1,"")</f>
        <v/>
      </c>
      <c r="R1194" t="str">
        <f t="shared" si="37"/>
        <v/>
      </c>
    </row>
    <row r="1195" spans="16:18" ht="22.95" customHeight="1">
      <c r="P1195">
        <f t="shared" si="36"/>
        <v>0</v>
      </c>
      <c r="Q1195" t="str">
        <f>IF(AND(P1195&gt;1,COUNTIF($E$6:E1195,E1195)=1),MAX($Q$5:Q1194)+1,"")</f>
        <v/>
      </c>
      <c r="R1195" t="str">
        <f t="shared" si="37"/>
        <v/>
      </c>
    </row>
    <row r="1196" spans="16:18" ht="22.95" customHeight="1">
      <c r="P1196">
        <f t="shared" si="36"/>
        <v>0</v>
      </c>
      <c r="Q1196" t="str">
        <f>IF(AND(P1196&gt;1,COUNTIF($E$6:E1196,E1196)=1),MAX($Q$5:Q1195)+1,"")</f>
        <v/>
      </c>
      <c r="R1196" t="str">
        <f t="shared" si="37"/>
        <v/>
      </c>
    </row>
    <row r="1197" spans="16:18" ht="22.95" customHeight="1">
      <c r="P1197">
        <f t="shared" si="36"/>
        <v>0</v>
      </c>
      <c r="Q1197" t="str">
        <f>IF(AND(P1197&gt;1,COUNTIF($E$6:E1197,E1197)=1),MAX($Q$5:Q1196)+1,"")</f>
        <v/>
      </c>
      <c r="R1197" t="str">
        <f t="shared" si="37"/>
        <v/>
      </c>
    </row>
    <row r="1198" spans="16:18" ht="22.95" customHeight="1">
      <c r="P1198">
        <f t="shared" si="36"/>
        <v>0</v>
      </c>
      <c r="Q1198" t="str">
        <f>IF(AND(P1198&gt;1,COUNTIF($E$6:E1198,E1198)=1),MAX($Q$5:Q1197)+1,"")</f>
        <v/>
      </c>
      <c r="R1198" t="str">
        <f t="shared" si="37"/>
        <v/>
      </c>
    </row>
    <row r="1199" spans="16:18" ht="22.95" customHeight="1">
      <c r="P1199">
        <f t="shared" si="36"/>
        <v>0</v>
      </c>
      <c r="Q1199" t="str">
        <f>IF(AND(P1199&gt;1,COUNTIF($E$6:E1199,E1199)=1),MAX($Q$5:Q1198)+1,"")</f>
        <v/>
      </c>
      <c r="R1199" t="str">
        <f t="shared" si="37"/>
        <v/>
      </c>
    </row>
    <row r="1200" spans="16:18" ht="22.95" customHeight="1">
      <c r="P1200">
        <f t="shared" si="36"/>
        <v>0</v>
      </c>
      <c r="Q1200" t="str">
        <f>IF(AND(P1200&gt;1,COUNTIF($E$6:E1200,E1200)=1),MAX($Q$5:Q1199)+1,"")</f>
        <v/>
      </c>
      <c r="R1200" t="str">
        <f t="shared" si="37"/>
        <v/>
      </c>
    </row>
    <row r="1201" spans="16:18" ht="22.95" customHeight="1">
      <c r="P1201">
        <f t="shared" si="36"/>
        <v>0</v>
      </c>
      <c r="Q1201" t="str">
        <f>IF(AND(P1201&gt;1,COUNTIF($E$6:E1201,E1201)=1),MAX($Q$5:Q1200)+1,"")</f>
        <v/>
      </c>
      <c r="R1201" t="str">
        <f t="shared" si="37"/>
        <v/>
      </c>
    </row>
    <row r="1202" spans="16:18" ht="22.95" customHeight="1">
      <c r="P1202">
        <f t="shared" si="36"/>
        <v>0</v>
      </c>
      <c r="Q1202" t="str">
        <f>IF(AND(P1202&gt;1,COUNTIF($E$6:E1202,E1202)=1),MAX($Q$5:Q1201)+1,"")</f>
        <v/>
      </c>
      <c r="R1202" t="str">
        <f t="shared" si="37"/>
        <v/>
      </c>
    </row>
    <row r="1203" spans="16:18" ht="22.95" customHeight="1">
      <c r="P1203">
        <f t="shared" si="36"/>
        <v>0</v>
      </c>
      <c r="Q1203" t="str">
        <f>IF(AND(P1203&gt;1,COUNTIF($E$6:E1203,E1203)=1),MAX($Q$5:Q1202)+1,"")</f>
        <v/>
      </c>
      <c r="R1203" t="str">
        <f t="shared" si="37"/>
        <v/>
      </c>
    </row>
    <row r="1204" spans="16:18" ht="22.95" customHeight="1">
      <c r="P1204">
        <f t="shared" si="36"/>
        <v>0</v>
      </c>
      <c r="Q1204" t="str">
        <f>IF(AND(P1204&gt;1,COUNTIF($E$6:E1204,E1204)=1),MAX($Q$5:Q1203)+1,"")</f>
        <v/>
      </c>
      <c r="R1204" t="str">
        <f t="shared" si="37"/>
        <v/>
      </c>
    </row>
    <row r="1205" spans="16:18" ht="22.95" customHeight="1">
      <c r="P1205">
        <f t="shared" si="36"/>
        <v>0</v>
      </c>
      <c r="Q1205" t="str">
        <f>IF(AND(P1205&gt;1,COUNTIF($E$6:E1205,E1205)=1),MAX($Q$5:Q1204)+1,"")</f>
        <v/>
      </c>
      <c r="R1205" t="str">
        <f t="shared" si="37"/>
        <v/>
      </c>
    </row>
    <row r="1206" spans="16:18" ht="22.95" customHeight="1">
      <c r="P1206">
        <f t="shared" si="36"/>
        <v>0</v>
      </c>
      <c r="Q1206" t="str">
        <f>IF(AND(P1206&gt;1,COUNTIF($E$6:E1206,E1206)=1),MAX($Q$5:Q1205)+1,"")</f>
        <v/>
      </c>
      <c r="R1206" t="str">
        <f t="shared" si="37"/>
        <v/>
      </c>
    </row>
    <row r="1207" spans="16:18" ht="22.95" customHeight="1">
      <c r="P1207">
        <f t="shared" si="36"/>
        <v>0</v>
      </c>
      <c r="Q1207" t="str">
        <f>IF(AND(P1207&gt;1,COUNTIF($E$6:E1207,E1207)=1),MAX($Q$5:Q1206)+1,"")</f>
        <v/>
      </c>
      <c r="R1207" t="str">
        <f t="shared" si="37"/>
        <v/>
      </c>
    </row>
    <row r="1208" spans="16:18" ht="22.95" customHeight="1">
      <c r="P1208">
        <f t="shared" si="36"/>
        <v>0</v>
      </c>
      <c r="Q1208" t="str">
        <f>IF(AND(P1208&gt;1,COUNTIF($E$6:E1208,E1208)=1),MAX($Q$5:Q1207)+1,"")</f>
        <v/>
      </c>
      <c r="R1208" t="str">
        <f t="shared" si="37"/>
        <v/>
      </c>
    </row>
    <row r="1209" spans="16:18" ht="22.95" customHeight="1">
      <c r="P1209">
        <f t="shared" si="36"/>
        <v>0</v>
      </c>
      <c r="Q1209" t="str">
        <f>IF(AND(P1209&gt;1,COUNTIF($E$6:E1209,E1209)=1),MAX($Q$5:Q1208)+1,"")</f>
        <v/>
      </c>
      <c r="R1209" t="str">
        <f t="shared" si="37"/>
        <v/>
      </c>
    </row>
    <row r="1210" spans="16:18" ht="22.95" customHeight="1">
      <c r="P1210">
        <f t="shared" si="36"/>
        <v>0</v>
      </c>
      <c r="Q1210" t="str">
        <f>IF(AND(P1210&gt;1,COUNTIF($E$6:E1210,E1210)=1),MAX($Q$5:Q1209)+1,"")</f>
        <v/>
      </c>
      <c r="R1210" t="str">
        <f t="shared" si="37"/>
        <v/>
      </c>
    </row>
    <row r="1211" spans="16:18" ht="22.95" customHeight="1">
      <c r="P1211">
        <f t="shared" si="36"/>
        <v>0</v>
      </c>
      <c r="Q1211" t="str">
        <f>IF(AND(P1211&gt;1,COUNTIF($E$6:E1211,E1211)=1),MAX($Q$5:Q1210)+1,"")</f>
        <v/>
      </c>
      <c r="R1211" t="str">
        <f t="shared" si="37"/>
        <v/>
      </c>
    </row>
    <row r="1212" spans="16:18" ht="22.95" customHeight="1">
      <c r="P1212">
        <f t="shared" si="36"/>
        <v>0</v>
      </c>
      <c r="Q1212" t="str">
        <f>IF(AND(P1212&gt;1,COUNTIF($E$6:E1212,E1212)=1),MAX($Q$5:Q1211)+1,"")</f>
        <v/>
      </c>
      <c r="R1212" t="str">
        <f t="shared" si="37"/>
        <v/>
      </c>
    </row>
    <row r="1213" spans="16:18" ht="22.95" customHeight="1">
      <c r="P1213">
        <f t="shared" si="36"/>
        <v>0</v>
      </c>
      <c r="Q1213" t="str">
        <f>IF(AND(P1213&gt;1,COUNTIF($E$6:E1213,E1213)=1),MAX($Q$5:Q1212)+1,"")</f>
        <v/>
      </c>
      <c r="R1213" t="str">
        <f t="shared" si="37"/>
        <v/>
      </c>
    </row>
    <row r="1214" spans="16:18" ht="22.95" customHeight="1">
      <c r="P1214">
        <f t="shared" si="36"/>
        <v>0</v>
      </c>
      <c r="Q1214" t="str">
        <f>IF(AND(P1214&gt;1,COUNTIF($E$6:E1214,E1214)=1),MAX($Q$5:Q1213)+1,"")</f>
        <v/>
      </c>
      <c r="R1214" t="str">
        <f t="shared" si="37"/>
        <v/>
      </c>
    </row>
    <row r="1215" spans="16:18" ht="22.95" customHeight="1">
      <c r="P1215">
        <f t="shared" si="36"/>
        <v>0</v>
      </c>
      <c r="Q1215" t="str">
        <f>IF(AND(P1215&gt;1,COUNTIF($E$6:E1215,E1215)=1),MAX($Q$5:Q1214)+1,"")</f>
        <v/>
      </c>
      <c r="R1215" t="str">
        <f t="shared" si="37"/>
        <v/>
      </c>
    </row>
    <row r="1216" spans="16:18" ht="22.95" customHeight="1">
      <c r="P1216">
        <f t="shared" si="36"/>
        <v>0</v>
      </c>
      <c r="Q1216" t="str">
        <f>IF(AND(P1216&gt;1,COUNTIF($E$6:E1216,E1216)=1),MAX($Q$5:Q1215)+1,"")</f>
        <v/>
      </c>
      <c r="R1216" t="str">
        <f t="shared" si="37"/>
        <v/>
      </c>
    </row>
    <row r="1217" spans="16:18" ht="22.95" customHeight="1">
      <c r="P1217">
        <f t="shared" si="36"/>
        <v>0</v>
      </c>
      <c r="Q1217" t="str">
        <f>IF(AND(P1217&gt;1,COUNTIF($E$6:E1217,E1217)=1),MAX($Q$5:Q1216)+1,"")</f>
        <v/>
      </c>
      <c r="R1217" t="str">
        <f t="shared" si="37"/>
        <v/>
      </c>
    </row>
    <row r="1218" spans="16:18" ht="22.95" customHeight="1">
      <c r="P1218">
        <f t="shared" si="36"/>
        <v>0</v>
      </c>
      <c r="Q1218" t="str">
        <f>IF(AND(P1218&gt;1,COUNTIF($E$6:E1218,E1218)=1),MAX($Q$5:Q1217)+1,"")</f>
        <v/>
      </c>
      <c r="R1218" t="str">
        <f t="shared" si="37"/>
        <v/>
      </c>
    </row>
    <row r="1219" spans="16:18" ht="22.95" customHeight="1">
      <c r="P1219">
        <f t="shared" si="36"/>
        <v>0</v>
      </c>
      <c r="Q1219" t="str">
        <f>IF(AND(P1219&gt;1,COUNTIF($E$6:E1219,E1219)=1),MAX($Q$5:Q1218)+1,"")</f>
        <v/>
      </c>
      <c r="R1219" t="str">
        <f t="shared" si="37"/>
        <v/>
      </c>
    </row>
    <row r="1220" spans="16:18" ht="22.95" customHeight="1">
      <c r="P1220">
        <f t="shared" si="36"/>
        <v>0</v>
      </c>
      <c r="Q1220" t="str">
        <f>IF(AND(P1220&gt;1,COUNTIF($E$6:E1220,E1220)=1),MAX($Q$5:Q1219)+1,"")</f>
        <v/>
      </c>
      <c r="R1220" t="str">
        <f t="shared" si="37"/>
        <v/>
      </c>
    </row>
    <row r="1221" spans="16:18" ht="22.95" customHeight="1">
      <c r="P1221">
        <f t="shared" si="36"/>
        <v>0</v>
      </c>
      <c r="Q1221" t="str">
        <f>IF(AND(P1221&gt;1,COUNTIF($E$6:E1221,E1221)=1),MAX($Q$5:Q1220)+1,"")</f>
        <v/>
      </c>
      <c r="R1221" t="str">
        <f t="shared" si="37"/>
        <v/>
      </c>
    </row>
    <row r="1222" spans="16:18" ht="22.95" customHeight="1">
      <c r="P1222">
        <f t="shared" ref="P1222:P1285" si="38">COUNTIF($E$6:$E$1740,E1222)</f>
        <v>0</v>
      </c>
      <c r="Q1222" t="str">
        <f>IF(AND(P1222&gt;1,COUNTIF($E$6:E1222,E1222)=1),MAX($Q$5:Q1221)+1,"")</f>
        <v/>
      </c>
      <c r="R1222" t="str">
        <f t="shared" ref="R1222:R1285" si="39">IF(Q1222="","",IF(COUNTIFS($E$6:$E$1740,E1222,$A$6:$A$1740,A1222,$C$6:$C$1740,C1222)&lt;P1222,"LÉGITIME",IF(COUNTIFS($E$6:$E$1740,E1222,$A$6:$A$1740,A1222,$C$6:$C$1740,C1222,$M$6:$M$1740,M1222)&lt;P1222,"STATUT DIFFÉRENT","VRAI DOUBLON")))</f>
        <v/>
      </c>
    </row>
    <row r="1223" spans="16:18" ht="22.95" customHeight="1">
      <c r="P1223">
        <f t="shared" si="38"/>
        <v>0</v>
      </c>
      <c r="Q1223" t="str">
        <f>IF(AND(P1223&gt;1,COUNTIF($E$6:E1223,E1223)=1),MAX($Q$5:Q1222)+1,"")</f>
        <v/>
      </c>
      <c r="R1223" t="str">
        <f t="shared" si="39"/>
        <v/>
      </c>
    </row>
    <row r="1224" spans="16:18" ht="22.95" customHeight="1">
      <c r="P1224">
        <f t="shared" si="38"/>
        <v>0</v>
      </c>
      <c r="Q1224" t="str">
        <f>IF(AND(P1224&gt;1,COUNTIF($E$6:E1224,E1224)=1),MAX($Q$5:Q1223)+1,"")</f>
        <v/>
      </c>
      <c r="R1224" t="str">
        <f t="shared" si="39"/>
        <v/>
      </c>
    </row>
    <row r="1225" spans="16:18" ht="22.95" customHeight="1">
      <c r="P1225">
        <f t="shared" si="38"/>
        <v>0</v>
      </c>
      <c r="Q1225" t="str">
        <f>IF(AND(P1225&gt;1,COUNTIF($E$6:E1225,E1225)=1),MAX($Q$5:Q1224)+1,"")</f>
        <v/>
      </c>
      <c r="R1225" t="str">
        <f t="shared" si="39"/>
        <v/>
      </c>
    </row>
    <row r="1226" spans="16:18" ht="22.95" customHeight="1">
      <c r="P1226">
        <f t="shared" si="38"/>
        <v>0</v>
      </c>
      <c r="Q1226" t="str">
        <f>IF(AND(P1226&gt;1,COUNTIF($E$6:E1226,E1226)=1),MAX($Q$5:Q1225)+1,"")</f>
        <v/>
      </c>
      <c r="R1226" t="str">
        <f t="shared" si="39"/>
        <v/>
      </c>
    </row>
    <row r="1227" spans="16:18" ht="22.95" customHeight="1">
      <c r="P1227">
        <f t="shared" si="38"/>
        <v>0</v>
      </c>
      <c r="Q1227" t="str">
        <f>IF(AND(P1227&gt;1,COUNTIF($E$6:E1227,E1227)=1),MAX($Q$5:Q1226)+1,"")</f>
        <v/>
      </c>
      <c r="R1227" t="str">
        <f t="shared" si="39"/>
        <v/>
      </c>
    </row>
    <row r="1228" spans="16:18" ht="22.95" customHeight="1">
      <c r="P1228">
        <f t="shared" si="38"/>
        <v>0</v>
      </c>
      <c r="Q1228" t="str">
        <f>IF(AND(P1228&gt;1,COUNTIF($E$6:E1228,E1228)=1),MAX($Q$5:Q1227)+1,"")</f>
        <v/>
      </c>
      <c r="R1228" t="str">
        <f t="shared" si="39"/>
        <v/>
      </c>
    </row>
    <row r="1229" spans="16:18" ht="22.95" customHeight="1">
      <c r="P1229">
        <f t="shared" si="38"/>
        <v>0</v>
      </c>
      <c r="Q1229" t="str">
        <f>IF(AND(P1229&gt;1,COUNTIF($E$6:E1229,E1229)=1),MAX($Q$5:Q1228)+1,"")</f>
        <v/>
      </c>
      <c r="R1229" t="str">
        <f t="shared" si="39"/>
        <v/>
      </c>
    </row>
    <row r="1230" spans="16:18" ht="22.95" customHeight="1">
      <c r="P1230">
        <f t="shared" si="38"/>
        <v>0</v>
      </c>
      <c r="Q1230" t="str">
        <f>IF(AND(P1230&gt;1,COUNTIF($E$6:E1230,E1230)=1),MAX($Q$5:Q1229)+1,"")</f>
        <v/>
      </c>
      <c r="R1230" t="str">
        <f t="shared" si="39"/>
        <v/>
      </c>
    </row>
    <row r="1231" spans="16:18" ht="22.95" customHeight="1">
      <c r="P1231">
        <f t="shared" si="38"/>
        <v>0</v>
      </c>
      <c r="Q1231" t="str">
        <f>IF(AND(P1231&gt;1,COUNTIF($E$6:E1231,E1231)=1),MAX($Q$5:Q1230)+1,"")</f>
        <v/>
      </c>
      <c r="R1231" t="str">
        <f t="shared" si="39"/>
        <v/>
      </c>
    </row>
    <row r="1232" spans="16:18" ht="22.95" customHeight="1">
      <c r="P1232">
        <f t="shared" si="38"/>
        <v>0</v>
      </c>
      <c r="Q1232" t="str">
        <f>IF(AND(P1232&gt;1,COUNTIF($E$6:E1232,E1232)=1),MAX($Q$5:Q1231)+1,"")</f>
        <v/>
      </c>
      <c r="R1232" t="str">
        <f t="shared" si="39"/>
        <v/>
      </c>
    </row>
    <row r="1233" spans="16:18" ht="22.95" customHeight="1">
      <c r="P1233">
        <f t="shared" si="38"/>
        <v>0</v>
      </c>
      <c r="Q1233" t="str">
        <f>IF(AND(P1233&gt;1,COUNTIF($E$6:E1233,E1233)=1),MAX($Q$5:Q1232)+1,"")</f>
        <v/>
      </c>
      <c r="R1233" t="str">
        <f t="shared" si="39"/>
        <v/>
      </c>
    </row>
    <row r="1234" spans="16:18" ht="22.95" customHeight="1">
      <c r="P1234">
        <f t="shared" si="38"/>
        <v>0</v>
      </c>
      <c r="Q1234" t="str">
        <f>IF(AND(P1234&gt;1,COUNTIF($E$6:E1234,E1234)=1),MAX($Q$5:Q1233)+1,"")</f>
        <v/>
      </c>
      <c r="R1234" t="str">
        <f t="shared" si="39"/>
        <v/>
      </c>
    </row>
    <row r="1235" spans="16:18" ht="22.95" customHeight="1">
      <c r="P1235">
        <f t="shared" si="38"/>
        <v>0</v>
      </c>
      <c r="Q1235" t="str">
        <f>IF(AND(P1235&gt;1,COUNTIF($E$6:E1235,E1235)=1),MAX($Q$5:Q1234)+1,"")</f>
        <v/>
      </c>
      <c r="R1235" t="str">
        <f t="shared" si="39"/>
        <v/>
      </c>
    </row>
    <row r="1236" spans="16:18" ht="22.95" customHeight="1">
      <c r="P1236">
        <f t="shared" si="38"/>
        <v>0</v>
      </c>
      <c r="Q1236" t="str">
        <f>IF(AND(P1236&gt;1,COUNTIF($E$6:E1236,E1236)=1),MAX($Q$5:Q1235)+1,"")</f>
        <v/>
      </c>
      <c r="R1236" t="str">
        <f t="shared" si="39"/>
        <v/>
      </c>
    </row>
    <row r="1237" spans="16:18" ht="22.95" customHeight="1">
      <c r="P1237">
        <f t="shared" si="38"/>
        <v>0</v>
      </c>
      <c r="Q1237" t="str">
        <f>IF(AND(P1237&gt;1,COUNTIF($E$6:E1237,E1237)=1),MAX($Q$5:Q1236)+1,"")</f>
        <v/>
      </c>
      <c r="R1237" t="str">
        <f t="shared" si="39"/>
        <v/>
      </c>
    </row>
    <row r="1238" spans="16:18" ht="22.95" customHeight="1">
      <c r="P1238">
        <f t="shared" si="38"/>
        <v>0</v>
      </c>
      <c r="Q1238" t="str">
        <f>IF(AND(P1238&gt;1,COUNTIF($E$6:E1238,E1238)=1),MAX($Q$5:Q1237)+1,"")</f>
        <v/>
      </c>
      <c r="R1238" t="str">
        <f t="shared" si="39"/>
        <v/>
      </c>
    </row>
    <row r="1239" spans="16:18" ht="22.95" customHeight="1">
      <c r="P1239">
        <f t="shared" si="38"/>
        <v>0</v>
      </c>
      <c r="Q1239" t="str">
        <f>IF(AND(P1239&gt;1,COUNTIF($E$6:E1239,E1239)=1),MAX($Q$5:Q1238)+1,"")</f>
        <v/>
      </c>
      <c r="R1239" t="str">
        <f t="shared" si="39"/>
        <v/>
      </c>
    </row>
    <row r="1240" spans="16:18" ht="22.95" customHeight="1">
      <c r="P1240">
        <f t="shared" si="38"/>
        <v>0</v>
      </c>
      <c r="Q1240" t="str">
        <f>IF(AND(P1240&gt;1,COUNTIF($E$6:E1240,E1240)=1),MAX($Q$5:Q1239)+1,"")</f>
        <v/>
      </c>
      <c r="R1240" t="str">
        <f t="shared" si="39"/>
        <v/>
      </c>
    </row>
    <row r="1241" spans="16:18" ht="22.95" customHeight="1">
      <c r="P1241">
        <f t="shared" si="38"/>
        <v>0</v>
      </c>
      <c r="Q1241" t="str">
        <f>IF(AND(P1241&gt;1,COUNTIF($E$6:E1241,E1241)=1),MAX($Q$5:Q1240)+1,"")</f>
        <v/>
      </c>
      <c r="R1241" t="str">
        <f t="shared" si="39"/>
        <v/>
      </c>
    </row>
    <row r="1242" spans="16:18" ht="22.95" customHeight="1">
      <c r="P1242">
        <f t="shared" si="38"/>
        <v>0</v>
      </c>
      <c r="Q1242" t="str">
        <f>IF(AND(P1242&gt;1,COUNTIF($E$6:E1242,E1242)=1),MAX($Q$5:Q1241)+1,"")</f>
        <v/>
      </c>
      <c r="R1242" t="str">
        <f t="shared" si="39"/>
        <v/>
      </c>
    </row>
    <row r="1243" spans="16:18" ht="22.95" customHeight="1">
      <c r="P1243">
        <f t="shared" si="38"/>
        <v>0</v>
      </c>
      <c r="Q1243" t="str">
        <f>IF(AND(P1243&gt;1,COUNTIF($E$6:E1243,E1243)=1),MAX($Q$5:Q1242)+1,"")</f>
        <v/>
      </c>
      <c r="R1243" t="str">
        <f t="shared" si="39"/>
        <v/>
      </c>
    </row>
    <row r="1244" spans="16:18" ht="22.95" customHeight="1">
      <c r="P1244">
        <f t="shared" si="38"/>
        <v>0</v>
      </c>
      <c r="Q1244" t="str">
        <f>IF(AND(P1244&gt;1,COUNTIF($E$6:E1244,E1244)=1),MAX($Q$5:Q1243)+1,"")</f>
        <v/>
      </c>
      <c r="R1244" t="str">
        <f t="shared" si="39"/>
        <v/>
      </c>
    </row>
    <row r="1245" spans="16:18" ht="22.95" customHeight="1">
      <c r="P1245">
        <f t="shared" si="38"/>
        <v>0</v>
      </c>
      <c r="Q1245" t="str">
        <f>IF(AND(P1245&gt;1,COUNTIF($E$6:E1245,E1245)=1),MAX($Q$5:Q1244)+1,"")</f>
        <v/>
      </c>
      <c r="R1245" t="str">
        <f t="shared" si="39"/>
        <v/>
      </c>
    </row>
    <row r="1246" spans="16:18" ht="22.95" customHeight="1">
      <c r="P1246">
        <f t="shared" si="38"/>
        <v>0</v>
      </c>
      <c r="Q1246" t="str">
        <f>IF(AND(P1246&gt;1,COUNTIF($E$6:E1246,E1246)=1),MAX($Q$5:Q1245)+1,"")</f>
        <v/>
      </c>
      <c r="R1246" t="str">
        <f t="shared" si="39"/>
        <v/>
      </c>
    </row>
    <row r="1247" spans="16:18" ht="22.95" customHeight="1">
      <c r="P1247">
        <f t="shared" si="38"/>
        <v>0</v>
      </c>
      <c r="Q1247" t="str">
        <f>IF(AND(P1247&gt;1,COUNTIF($E$6:E1247,E1247)=1),MAX($Q$5:Q1246)+1,"")</f>
        <v/>
      </c>
      <c r="R1247" t="str">
        <f t="shared" si="39"/>
        <v/>
      </c>
    </row>
    <row r="1248" spans="16:18" ht="22.95" customHeight="1">
      <c r="P1248">
        <f t="shared" si="38"/>
        <v>0</v>
      </c>
      <c r="Q1248" t="str">
        <f>IF(AND(P1248&gt;1,COUNTIF($E$6:E1248,E1248)=1),MAX($Q$5:Q1247)+1,"")</f>
        <v/>
      </c>
      <c r="R1248" t="str">
        <f t="shared" si="39"/>
        <v/>
      </c>
    </row>
    <row r="1249" spans="16:18" ht="22.95" customHeight="1">
      <c r="P1249">
        <f t="shared" si="38"/>
        <v>0</v>
      </c>
      <c r="Q1249" t="str">
        <f>IF(AND(P1249&gt;1,COUNTIF($E$6:E1249,E1249)=1),MAX($Q$5:Q1248)+1,"")</f>
        <v/>
      </c>
      <c r="R1249" t="str">
        <f t="shared" si="39"/>
        <v/>
      </c>
    </row>
    <row r="1250" spans="16:18" ht="22.95" customHeight="1">
      <c r="P1250">
        <f t="shared" si="38"/>
        <v>0</v>
      </c>
      <c r="Q1250" t="str">
        <f>IF(AND(P1250&gt;1,COUNTIF($E$6:E1250,E1250)=1),MAX($Q$5:Q1249)+1,"")</f>
        <v/>
      </c>
      <c r="R1250" t="str">
        <f t="shared" si="39"/>
        <v/>
      </c>
    </row>
    <row r="1251" spans="16:18" ht="22.95" customHeight="1">
      <c r="P1251">
        <f t="shared" si="38"/>
        <v>0</v>
      </c>
      <c r="Q1251" t="str">
        <f>IF(AND(P1251&gt;1,COUNTIF($E$6:E1251,E1251)=1),MAX($Q$5:Q1250)+1,"")</f>
        <v/>
      </c>
      <c r="R1251" t="str">
        <f t="shared" si="39"/>
        <v/>
      </c>
    </row>
    <row r="1252" spans="16:18" ht="22.95" customHeight="1">
      <c r="P1252">
        <f t="shared" si="38"/>
        <v>0</v>
      </c>
      <c r="Q1252" t="str">
        <f>IF(AND(P1252&gt;1,COUNTIF($E$6:E1252,E1252)=1),MAX($Q$5:Q1251)+1,"")</f>
        <v/>
      </c>
      <c r="R1252" t="str">
        <f t="shared" si="39"/>
        <v/>
      </c>
    </row>
    <row r="1253" spans="16:18" ht="22.95" customHeight="1">
      <c r="P1253">
        <f t="shared" si="38"/>
        <v>0</v>
      </c>
      <c r="Q1253" t="str">
        <f>IF(AND(P1253&gt;1,COUNTIF($E$6:E1253,E1253)=1),MAX($Q$5:Q1252)+1,"")</f>
        <v/>
      </c>
      <c r="R1253" t="str">
        <f t="shared" si="39"/>
        <v/>
      </c>
    </row>
    <row r="1254" spans="16:18" ht="22.95" customHeight="1">
      <c r="P1254">
        <f t="shared" si="38"/>
        <v>0</v>
      </c>
      <c r="Q1254" t="str">
        <f>IF(AND(P1254&gt;1,COUNTIF($E$6:E1254,E1254)=1),MAX($Q$5:Q1253)+1,"")</f>
        <v/>
      </c>
      <c r="R1254" t="str">
        <f t="shared" si="39"/>
        <v/>
      </c>
    </row>
    <row r="1255" spans="16:18" ht="22.95" customHeight="1">
      <c r="P1255">
        <f t="shared" si="38"/>
        <v>0</v>
      </c>
      <c r="Q1255" t="str">
        <f>IF(AND(P1255&gt;1,COUNTIF($E$6:E1255,E1255)=1),MAX($Q$5:Q1254)+1,"")</f>
        <v/>
      </c>
      <c r="R1255" t="str">
        <f t="shared" si="39"/>
        <v/>
      </c>
    </row>
    <row r="1256" spans="16:18" ht="22.95" customHeight="1">
      <c r="P1256">
        <f t="shared" si="38"/>
        <v>0</v>
      </c>
      <c r="Q1256" t="str">
        <f>IF(AND(P1256&gt;1,COUNTIF($E$6:E1256,E1256)=1),MAX($Q$5:Q1255)+1,"")</f>
        <v/>
      </c>
      <c r="R1256" t="str">
        <f t="shared" si="39"/>
        <v/>
      </c>
    </row>
    <row r="1257" spans="16:18" ht="22.95" customHeight="1">
      <c r="P1257">
        <f t="shared" si="38"/>
        <v>0</v>
      </c>
      <c r="Q1257" t="str">
        <f>IF(AND(P1257&gt;1,COUNTIF($E$6:E1257,E1257)=1),MAX($Q$5:Q1256)+1,"")</f>
        <v/>
      </c>
      <c r="R1257" t="str">
        <f t="shared" si="39"/>
        <v/>
      </c>
    </row>
    <row r="1258" spans="16:18" ht="22.95" customHeight="1">
      <c r="P1258">
        <f t="shared" si="38"/>
        <v>0</v>
      </c>
      <c r="Q1258" t="str">
        <f>IF(AND(P1258&gt;1,COUNTIF($E$6:E1258,E1258)=1),MAX($Q$5:Q1257)+1,"")</f>
        <v/>
      </c>
      <c r="R1258" t="str">
        <f t="shared" si="39"/>
        <v/>
      </c>
    </row>
    <row r="1259" spans="16:18" ht="22.95" customHeight="1">
      <c r="P1259">
        <f t="shared" si="38"/>
        <v>0</v>
      </c>
      <c r="Q1259" t="str">
        <f>IF(AND(P1259&gt;1,COUNTIF($E$6:E1259,E1259)=1),MAX($Q$5:Q1258)+1,"")</f>
        <v/>
      </c>
      <c r="R1259" t="str">
        <f t="shared" si="39"/>
        <v/>
      </c>
    </row>
    <row r="1260" spans="16:18" ht="22.95" customHeight="1">
      <c r="P1260">
        <f t="shared" si="38"/>
        <v>0</v>
      </c>
      <c r="Q1260" t="str">
        <f>IF(AND(P1260&gt;1,COUNTIF($E$6:E1260,E1260)=1),MAX($Q$5:Q1259)+1,"")</f>
        <v/>
      </c>
      <c r="R1260" t="str">
        <f t="shared" si="39"/>
        <v/>
      </c>
    </row>
    <row r="1261" spans="16:18" ht="22.95" customHeight="1">
      <c r="P1261">
        <f t="shared" si="38"/>
        <v>0</v>
      </c>
      <c r="Q1261" t="str">
        <f>IF(AND(P1261&gt;1,COUNTIF($E$6:E1261,E1261)=1),MAX($Q$5:Q1260)+1,"")</f>
        <v/>
      </c>
      <c r="R1261" t="str">
        <f t="shared" si="39"/>
        <v/>
      </c>
    </row>
    <row r="1262" spans="16:18" ht="22.95" customHeight="1">
      <c r="P1262">
        <f t="shared" si="38"/>
        <v>0</v>
      </c>
      <c r="Q1262" t="str">
        <f>IF(AND(P1262&gt;1,COUNTIF($E$6:E1262,E1262)=1),MAX($Q$5:Q1261)+1,"")</f>
        <v/>
      </c>
      <c r="R1262" t="str">
        <f t="shared" si="39"/>
        <v/>
      </c>
    </row>
    <row r="1263" spans="16:18" ht="22.95" customHeight="1">
      <c r="P1263">
        <f t="shared" si="38"/>
        <v>0</v>
      </c>
      <c r="Q1263" t="str">
        <f>IF(AND(P1263&gt;1,COUNTIF($E$6:E1263,E1263)=1),MAX($Q$5:Q1262)+1,"")</f>
        <v/>
      </c>
      <c r="R1263" t="str">
        <f t="shared" si="39"/>
        <v/>
      </c>
    </row>
    <row r="1264" spans="16:18" ht="22.95" customHeight="1">
      <c r="P1264">
        <f t="shared" si="38"/>
        <v>0</v>
      </c>
      <c r="Q1264" t="str">
        <f>IF(AND(P1264&gt;1,COUNTIF($E$6:E1264,E1264)=1),MAX($Q$5:Q1263)+1,"")</f>
        <v/>
      </c>
      <c r="R1264" t="str">
        <f t="shared" si="39"/>
        <v/>
      </c>
    </row>
    <row r="1265" spans="16:18" ht="22.95" customHeight="1">
      <c r="P1265">
        <f t="shared" si="38"/>
        <v>0</v>
      </c>
      <c r="Q1265" t="str">
        <f>IF(AND(P1265&gt;1,COUNTIF($E$6:E1265,E1265)=1),MAX($Q$5:Q1264)+1,"")</f>
        <v/>
      </c>
      <c r="R1265" t="str">
        <f t="shared" si="39"/>
        <v/>
      </c>
    </row>
    <row r="1266" spans="16:18" ht="22.95" customHeight="1">
      <c r="P1266">
        <f t="shared" si="38"/>
        <v>0</v>
      </c>
      <c r="Q1266" t="str">
        <f>IF(AND(P1266&gt;1,COUNTIF($E$6:E1266,E1266)=1),MAX($Q$5:Q1265)+1,"")</f>
        <v/>
      </c>
      <c r="R1266" t="str">
        <f t="shared" si="39"/>
        <v/>
      </c>
    </row>
    <row r="1267" spans="16:18" ht="22.95" customHeight="1">
      <c r="P1267">
        <f t="shared" si="38"/>
        <v>0</v>
      </c>
      <c r="Q1267" t="str">
        <f>IF(AND(P1267&gt;1,COUNTIF($E$6:E1267,E1267)=1),MAX($Q$5:Q1266)+1,"")</f>
        <v/>
      </c>
      <c r="R1267" t="str">
        <f t="shared" si="39"/>
        <v/>
      </c>
    </row>
    <row r="1268" spans="16:18" ht="22.95" customHeight="1">
      <c r="P1268">
        <f t="shared" si="38"/>
        <v>0</v>
      </c>
      <c r="Q1268" t="str">
        <f>IF(AND(P1268&gt;1,COUNTIF($E$6:E1268,E1268)=1),MAX($Q$5:Q1267)+1,"")</f>
        <v/>
      </c>
      <c r="R1268" t="str">
        <f t="shared" si="39"/>
        <v/>
      </c>
    </row>
    <row r="1269" spans="16:18" ht="22.95" customHeight="1">
      <c r="P1269">
        <f t="shared" si="38"/>
        <v>0</v>
      </c>
      <c r="Q1269" t="str">
        <f>IF(AND(P1269&gt;1,COUNTIF($E$6:E1269,E1269)=1),MAX($Q$5:Q1268)+1,"")</f>
        <v/>
      </c>
      <c r="R1269" t="str">
        <f t="shared" si="39"/>
        <v/>
      </c>
    </row>
    <row r="1270" spans="16:18" ht="22.95" customHeight="1">
      <c r="P1270">
        <f t="shared" si="38"/>
        <v>0</v>
      </c>
      <c r="Q1270" t="str">
        <f>IF(AND(P1270&gt;1,COUNTIF($E$6:E1270,E1270)=1),MAX($Q$5:Q1269)+1,"")</f>
        <v/>
      </c>
      <c r="R1270" t="str">
        <f t="shared" si="39"/>
        <v/>
      </c>
    </row>
    <row r="1271" spans="16:18" ht="22.95" customHeight="1">
      <c r="P1271">
        <f t="shared" si="38"/>
        <v>0</v>
      </c>
      <c r="Q1271" t="str">
        <f>IF(AND(P1271&gt;1,COUNTIF($E$6:E1271,E1271)=1),MAX($Q$5:Q1270)+1,"")</f>
        <v/>
      </c>
      <c r="R1271" t="str">
        <f t="shared" si="39"/>
        <v/>
      </c>
    </row>
    <row r="1272" spans="16:18" ht="22.95" customHeight="1">
      <c r="P1272">
        <f t="shared" si="38"/>
        <v>0</v>
      </c>
      <c r="Q1272" t="str">
        <f>IF(AND(P1272&gt;1,COUNTIF($E$6:E1272,E1272)=1),MAX($Q$5:Q1271)+1,"")</f>
        <v/>
      </c>
      <c r="R1272" t="str">
        <f t="shared" si="39"/>
        <v/>
      </c>
    </row>
    <row r="1273" spans="16:18" ht="22.95" customHeight="1">
      <c r="P1273">
        <f t="shared" si="38"/>
        <v>0</v>
      </c>
      <c r="Q1273" t="str">
        <f>IF(AND(P1273&gt;1,COUNTIF($E$6:E1273,E1273)=1),MAX($Q$5:Q1272)+1,"")</f>
        <v/>
      </c>
      <c r="R1273" t="str">
        <f t="shared" si="39"/>
        <v/>
      </c>
    </row>
    <row r="1274" spans="16:18" ht="22.95" customHeight="1">
      <c r="P1274">
        <f t="shared" si="38"/>
        <v>0</v>
      </c>
      <c r="Q1274" t="str">
        <f>IF(AND(P1274&gt;1,COUNTIF($E$6:E1274,E1274)=1),MAX($Q$5:Q1273)+1,"")</f>
        <v/>
      </c>
      <c r="R1274" t="str">
        <f t="shared" si="39"/>
        <v/>
      </c>
    </row>
    <row r="1275" spans="16:18" ht="22.95" customHeight="1">
      <c r="P1275">
        <f t="shared" si="38"/>
        <v>0</v>
      </c>
      <c r="Q1275" t="str">
        <f>IF(AND(P1275&gt;1,COUNTIF($E$6:E1275,E1275)=1),MAX($Q$5:Q1274)+1,"")</f>
        <v/>
      </c>
      <c r="R1275" t="str">
        <f t="shared" si="39"/>
        <v/>
      </c>
    </row>
    <row r="1276" spans="16:18" ht="22.95" customHeight="1">
      <c r="P1276">
        <f t="shared" si="38"/>
        <v>0</v>
      </c>
      <c r="Q1276" t="str">
        <f>IF(AND(P1276&gt;1,COUNTIF($E$6:E1276,E1276)=1),MAX($Q$5:Q1275)+1,"")</f>
        <v/>
      </c>
      <c r="R1276" t="str">
        <f t="shared" si="39"/>
        <v/>
      </c>
    </row>
    <row r="1277" spans="16:18" ht="22.95" customHeight="1">
      <c r="P1277">
        <f t="shared" si="38"/>
        <v>0</v>
      </c>
      <c r="Q1277" t="str">
        <f>IF(AND(P1277&gt;1,COUNTIF($E$6:E1277,E1277)=1),MAX($Q$5:Q1276)+1,"")</f>
        <v/>
      </c>
      <c r="R1277" t="str">
        <f t="shared" si="39"/>
        <v/>
      </c>
    </row>
    <row r="1278" spans="16:18" ht="22.95" customHeight="1">
      <c r="P1278">
        <f t="shared" si="38"/>
        <v>0</v>
      </c>
      <c r="Q1278" t="str">
        <f>IF(AND(P1278&gt;1,COUNTIF($E$6:E1278,E1278)=1),MAX($Q$5:Q1277)+1,"")</f>
        <v/>
      </c>
      <c r="R1278" t="str">
        <f t="shared" si="39"/>
        <v/>
      </c>
    </row>
    <row r="1279" spans="16:18" ht="22.95" customHeight="1">
      <c r="P1279">
        <f t="shared" si="38"/>
        <v>0</v>
      </c>
      <c r="Q1279" t="str">
        <f>IF(AND(P1279&gt;1,COUNTIF($E$6:E1279,E1279)=1),MAX($Q$5:Q1278)+1,"")</f>
        <v/>
      </c>
      <c r="R1279" t="str">
        <f t="shared" si="39"/>
        <v/>
      </c>
    </row>
    <row r="1280" spans="16:18" ht="22.95" customHeight="1">
      <c r="P1280">
        <f t="shared" si="38"/>
        <v>0</v>
      </c>
      <c r="Q1280" t="str">
        <f>IF(AND(P1280&gt;1,COUNTIF($E$6:E1280,E1280)=1),MAX($Q$5:Q1279)+1,"")</f>
        <v/>
      </c>
      <c r="R1280" t="str">
        <f t="shared" si="39"/>
        <v/>
      </c>
    </row>
    <row r="1281" spans="16:18" ht="22.95" customHeight="1">
      <c r="P1281">
        <f t="shared" si="38"/>
        <v>0</v>
      </c>
      <c r="Q1281" t="str">
        <f>IF(AND(P1281&gt;1,COUNTIF($E$6:E1281,E1281)=1),MAX($Q$5:Q1280)+1,"")</f>
        <v/>
      </c>
      <c r="R1281" t="str">
        <f t="shared" si="39"/>
        <v/>
      </c>
    </row>
    <row r="1282" spans="16:18" ht="22.95" customHeight="1">
      <c r="P1282">
        <f t="shared" si="38"/>
        <v>0</v>
      </c>
      <c r="Q1282" t="str">
        <f>IF(AND(P1282&gt;1,COUNTIF($E$6:E1282,E1282)=1),MAX($Q$5:Q1281)+1,"")</f>
        <v/>
      </c>
      <c r="R1282" t="str">
        <f t="shared" si="39"/>
        <v/>
      </c>
    </row>
    <row r="1283" spans="16:18" ht="22.95" customHeight="1">
      <c r="P1283">
        <f t="shared" si="38"/>
        <v>0</v>
      </c>
      <c r="Q1283" t="str">
        <f>IF(AND(P1283&gt;1,COUNTIF($E$6:E1283,E1283)=1),MAX($Q$5:Q1282)+1,"")</f>
        <v/>
      </c>
      <c r="R1283" t="str">
        <f t="shared" si="39"/>
        <v/>
      </c>
    </row>
    <row r="1284" spans="16:18" ht="22.95" customHeight="1">
      <c r="P1284">
        <f t="shared" si="38"/>
        <v>0</v>
      </c>
      <c r="Q1284" t="str">
        <f>IF(AND(P1284&gt;1,COUNTIF($E$6:E1284,E1284)=1),MAX($Q$5:Q1283)+1,"")</f>
        <v/>
      </c>
      <c r="R1284" t="str">
        <f t="shared" si="39"/>
        <v/>
      </c>
    </row>
    <row r="1285" spans="16:18" ht="22.95" customHeight="1">
      <c r="P1285">
        <f t="shared" si="38"/>
        <v>0</v>
      </c>
      <c r="Q1285" t="str">
        <f>IF(AND(P1285&gt;1,COUNTIF($E$6:E1285,E1285)=1),MAX($Q$5:Q1284)+1,"")</f>
        <v/>
      </c>
      <c r="R1285" t="str">
        <f t="shared" si="39"/>
        <v/>
      </c>
    </row>
    <row r="1286" spans="16:18" ht="22.95" customHeight="1">
      <c r="P1286">
        <f t="shared" ref="P1286:P1349" si="40">COUNTIF($E$6:$E$1740,E1286)</f>
        <v>0</v>
      </c>
      <c r="Q1286" t="str">
        <f>IF(AND(P1286&gt;1,COUNTIF($E$6:E1286,E1286)=1),MAX($Q$5:Q1285)+1,"")</f>
        <v/>
      </c>
      <c r="R1286" t="str">
        <f t="shared" ref="R1286:R1349" si="41">IF(Q1286="","",IF(COUNTIFS($E$6:$E$1740,E1286,$A$6:$A$1740,A1286,$C$6:$C$1740,C1286)&lt;P1286,"LÉGITIME",IF(COUNTIFS($E$6:$E$1740,E1286,$A$6:$A$1740,A1286,$C$6:$C$1740,C1286,$M$6:$M$1740,M1286)&lt;P1286,"STATUT DIFFÉRENT","VRAI DOUBLON")))</f>
        <v/>
      </c>
    </row>
    <row r="1287" spans="16:18" ht="22.95" customHeight="1">
      <c r="P1287">
        <f t="shared" si="40"/>
        <v>0</v>
      </c>
      <c r="Q1287" t="str">
        <f>IF(AND(P1287&gt;1,COUNTIF($E$6:E1287,E1287)=1),MAX($Q$5:Q1286)+1,"")</f>
        <v/>
      </c>
      <c r="R1287" t="str">
        <f t="shared" si="41"/>
        <v/>
      </c>
    </row>
    <row r="1288" spans="16:18" ht="22.95" customHeight="1">
      <c r="P1288">
        <f t="shared" si="40"/>
        <v>0</v>
      </c>
      <c r="Q1288" t="str">
        <f>IF(AND(P1288&gt;1,COUNTIF($E$6:E1288,E1288)=1),MAX($Q$5:Q1287)+1,"")</f>
        <v/>
      </c>
      <c r="R1288" t="str">
        <f t="shared" si="41"/>
        <v/>
      </c>
    </row>
    <row r="1289" spans="16:18" ht="22.95" customHeight="1">
      <c r="P1289">
        <f t="shared" si="40"/>
        <v>0</v>
      </c>
      <c r="Q1289" t="str">
        <f>IF(AND(P1289&gt;1,COUNTIF($E$6:E1289,E1289)=1),MAX($Q$5:Q1288)+1,"")</f>
        <v/>
      </c>
      <c r="R1289" t="str">
        <f t="shared" si="41"/>
        <v/>
      </c>
    </row>
    <row r="1290" spans="16:18" ht="22.95" customHeight="1">
      <c r="P1290">
        <f t="shared" si="40"/>
        <v>0</v>
      </c>
      <c r="Q1290" t="str">
        <f>IF(AND(P1290&gt;1,COUNTIF($E$6:E1290,E1290)=1),MAX($Q$5:Q1289)+1,"")</f>
        <v/>
      </c>
      <c r="R1290" t="str">
        <f t="shared" si="41"/>
        <v/>
      </c>
    </row>
    <row r="1291" spans="16:18" ht="22.95" customHeight="1">
      <c r="P1291">
        <f t="shared" si="40"/>
        <v>0</v>
      </c>
      <c r="Q1291" t="str">
        <f>IF(AND(P1291&gt;1,COUNTIF($E$6:E1291,E1291)=1),MAX($Q$5:Q1290)+1,"")</f>
        <v/>
      </c>
      <c r="R1291" t="str">
        <f t="shared" si="41"/>
        <v/>
      </c>
    </row>
    <row r="1292" spans="16:18" ht="22.95" customHeight="1">
      <c r="P1292">
        <f t="shared" si="40"/>
        <v>0</v>
      </c>
      <c r="Q1292" t="str">
        <f>IF(AND(P1292&gt;1,COUNTIF($E$6:E1292,E1292)=1),MAX($Q$5:Q1291)+1,"")</f>
        <v/>
      </c>
      <c r="R1292" t="str">
        <f t="shared" si="41"/>
        <v/>
      </c>
    </row>
    <row r="1293" spans="16:18" ht="22.95" customHeight="1">
      <c r="P1293">
        <f t="shared" si="40"/>
        <v>0</v>
      </c>
      <c r="Q1293" t="str">
        <f>IF(AND(P1293&gt;1,COUNTIF($E$6:E1293,E1293)=1),MAX($Q$5:Q1292)+1,"")</f>
        <v/>
      </c>
      <c r="R1293" t="str">
        <f t="shared" si="41"/>
        <v/>
      </c>
    </row>
    <row r="1294" spans="16:18" ht="22.95" customHeight="1">
      <c r="P1294">
        <f t="shared" si="40"/>
        <v>0</v>
      </c>
      <c r="Q1294" t="str">
        <f>IF(AND(P1294&gt;1,COUNTIF($E$6:E1294,E1294)=1),MAX($Q$5:Q1293)+1,"")</f>
        <v/>
      </c>
      <c r="R1294" t="str">
        <f t="shared" si="41"/>
        <v/>
      </c>
    </row>
    <row r="1295" spans="16:18" ht="22.95" customHeight="1">
      <c r="P1295">
        <f t="shared" si="40"/>
        <v>0</v>
      </c>
      <c r="Q1295" t="str">
        <f>IF(AND(P1295&gt;1,COUNTIF($E$6:E1295,E1295)=1),MAX($Q$5:Q1294)+1,"")</f>
        <v/>
      </c>
      <c r="R1295" t="str">
        <f t="shared" si="41"/>
        <v/>
      </c>
    </row>
    <row r="1296" spans="16:18" ht="22.95" customHeight="1">
      <c r="P1296">
        <f t="shared" si="40"/>
        <v>0</v>
      </c>
      <c r="Q1296" t="str">
        <f>IF(AND(P1296&gt;1,COUNTIF($E$6:E1296,E1296)=1),MAX($Q$5:Q1295)+1,"")</f>
        <v/>
      </c>
      <c r="R1296" t="str">
        <f t="shared" si="41"/>
        <v/>
      </c>
    </row>
    <row r="1297" spans="16:18" ht="22.95" customHeight="1">
      <c r="P1297">
        <f t="shared" si="40"/>
        <v>0</v>
      </c>
      <c r="Q1297" t="str">
        <f>IF(AND(P1297&gt;1,COUNTIF($E$6:E1297,E1297)=1),MAX($Q$5:Q1296)+1,"")</f>
        <v/>
      </c>
      <c r="R1297" t="str">
        <f t="shared" si="41"/>
        <v/>
      </c>
    </row>
    <row r="1298" spans="16:18" ht="22.95" customHeight="1">
      <c r="P1298">
        <f t="shared" si="40"/>
        <v>0</v>
      </c>
      <c r="Q1298" t="str">
        <f>IF(AND(P1298&gt;1,COUNTIF($E$6:E1298,E1298)=1),MAX($Q$5:Q1297)+1,"")</f>
        <v/>
      </c>
      <c r="R1298" t="str">
        <f t="shared" si="41"/>
        <v/>
      </c>
    </row>
    <row r="1299" spans="16:18" ht="22.95" customHeight="1">
      <c r="P1299">
        <f t="shared" si="40"/>
        <v>0</v>
      </c>
      <c r="Q1299" t="str">
        <f>IF(AND(P1299&gt;1,COUNTIF($E$6:E1299,E1299)=1),MAX($Q$5:Q1298)+1,"")</f>
        <v/>
      </c>
      <c r="R1299" t="str">
        <f t="shared" si="41"/>
        <v/>
      </c>
    </row>
    <row r="1300" spans="16:18" ht="22.95" customHeight="1">
      <c r="P1300">
        <f t="shared" si="40"/>
        <v>0</v>
      </c>
      <c r="Q1300" t="str">
        <f>IF(AND(P1300&gt;1,COUNTIF($E$6:E1300,E1300)=1),MAX($Q$5:Q1299)+1,"")</f>
        <v/>
      </c>
      <c r="R1300" t="str">
        <f t="shared" si="41"/>
        <v/>
      </c>
    </row>
    <row r="1301" spans="16:18" ht="22.95" customHeight="1">
      <c r="P1301">
        <f t="shared" si="40"/>
        <v>0</v>
      </c>
      <c r="Q1301" t="str">
        <f>IF(AND(P1301&gt;1,COUNTIF($E$6:E1301,E1301)=1),MAX($Q$5:Q1300)+1,"")</f>
        <v/>
      </c>
      <c r="R1301" t="str">
        <f t="shared" si="41"/>
        <v/>
      </c>
    </row>
    <row r="1302" spans="16:18" ht="22.95" customHeight="1">
      <c r="P1302">
        <f t="shared" si="40"/>
        <v>0</v>
      </c>
      <c r="Q1302" t="str">
        <f>IF(AND(P1302&gt;1,COUNTIF($E$6:E1302,E1302)=1),MAX($Q$5:Q1301)+1,"")</f>
        <v/>
      </c>
      <c r="R1302" t="str">
        <f t="shared" si="41"/>
        <v/>
      </c>
    </row>
    <row r="1303" spans="16:18" ht="22.95" customHeight="1">
      <c r="P1303">
        <f t="shared" si="40"/>
        <v>0</v>
      </c>
      <c r="Q1303" t="str">
        <f>IF(AND(P1303&gt;1,COUNTIF($E$6:E1303,E1303)=1),MAX($Q$5:Q1302)+1,"")</f>
        <v/>
      </c>
      <c r="R1303" t="str">
        <f t="shared" si="41"/>
        <v/>
      </c>
    </row>
    <row r="1304" spans="16:18" ht="22.95" customHeight="1">
      <c r="P1304">
        <f t="shared" si="40"/>
        <v>0</v>
      </c>
      <c r="Q1304" t="str">
        <f>IF(AND(P1304&gt;1,COUNTIF($E$6:E1304,E1304)=1),MAX($Q$5:Q1303)+1,"")</f>
        <v/>
      </c>
      <c r="R1304" t="str">
        <f t="shared" si="41"/>
        <v/>
      </c>
    </row>
    <row r="1305" spans="16:18" ht="22.95" customHeight="1">
      <c r="P1305">
        <f t="shared" si="40"/>
        <v>0</v>
      </c>
      <c r="Q1305" t="str">
        <f>IF(AND(P1305&gt;1,COUNTIF($E$6:E1305,E1305)=1),MAX($Q$5:Q1304)+1,"")</f>
        <v/>
      </c>
      <c r="R1305" t="str">
        <f t="shared" si="41"/>
        <v/>
      </c>
    </row>
    <row r="1306" spans="16:18" ht="22.95" customHeight="1">
      <c r="P1306">
        <f t="shared" si="40"/>
        <v>0</v>
      </c>
      <c r="Q1306" t="str">
        <f>IF(AND(P1306&gt;1,COUNTIF($E$6:E1306,E1306)=1),MAX($Q$5:Q1305)+1,"")</f>
        <v/>
      </c>
      <c r="R1306" t="str">
        <f t="shared" si="41"/>
        <v/>
      </c>
    </row>
    <row r="1307" spans="16:18" ht="22.95" customHeight="1">
      <c r="P1307">
        <f t="shared" si="40"/>
        <v>0</v>
      </c>
      <c r="Q1307" t="str">
        <f>IF(AND(P1307&gt;1,COUNTIF($E$6:E1307,E1307)=1),MAX($Q$5:Q1306)+1,"")</f>
        <v/>
      </c>
      <c r="R1307" t="str">
        <f t="shared" si="41"/>
        <v/>
      </c>
    </row>
    <row r="1308" spans="16:18" ht="22.95" customHeight="1">
      <c r="P1308">
        <f t="shared" si="40"/>
        <v>0</v>
      </c>
      <c r="Q1308" t="str">
        <f>IF(AND(P1308&gt;1,COUNTIF($E$6:E1308,E1308)=1),MAX($Q$5:Q1307)+1,"")</f>
        <v/>
      </c>
      <c r="R1308" t="str">
        <f t="shared" si="41"/>
        <v/>
      </c>
    </row>
    <row r="1309" spans="16:18" ht="22.95" customHeight="1">
      <c r="P1309">
        <f t="shared" si="40"/>
        <v>0</v>
      </c>
      <c r="Q1309" t="str">
        <f>IF(AND(P1309&gt;1,COUNTIF($E$6:E1309,E1309)=1),MAX($Q$5:Q1308)+1,"")</f>
        <v/>
      </c>
      <c r="R1309" t="str">
        <f t="shared" si="41"/>
        <v/>
      </c>
    </row>
    <row r="1310" spans="16:18" ht="22.95" customHeight="1">
      <c r="P1310">
        <f t="shared" si="40"/>
        <v>0</v>
      </c>
      <c r="Q1310" t="str">
        <f>IF(AND(P1310&gt;1,COUNTIF($E$6:E1310,E1310)=1),MAX($Q$5:Q1309)+1,"")</f>
        <v/>
      </c>
      <c r="R1310" t="str">
        <f t="shared" si="41"/>
        <v/>
      </c>
    </row>
    <row r="1311" spans="16:18" ht="22.95" customHeight="1">
      <c r="P1311">
        <f t="shared" si="40"/>
        <v>0</v>
      </c>
      <c r="Q1311" t="str">
        <f>IF(AND(P1311&gt;1,COUNTIF($E$6:E1311,E1311)=1),MAX($Q$5:Q1310)+1,"")</f>
        <v/>
      </c>
      <c r="R1311" t="str">
        <f t="shared" si="41"/>
        <v/>
      </c>
    </row>
    <row r="1312" spans="16:18" ht="22.95" customHeight="1">
      <c r="P1312">
        <f t="shared" si="40"/>
        <v>0</v>
      </c>
      <c r="Q1312" t="str">
        <f>IF(AND(P1312&gt;1,COUNTIF($E$6:E1312,E1312)=1),MAX($Q$5:Q1311)+1,"")</f>
        <v/>
      </c>
      <c r="R1312" t="str">
        <f t="shared" si="41"/>
        <v/>
      </c>
    </row>
    <row r="1313" spans="16:18" ht="22.95" customHeight="1">
      <c r="P1313">
        <f t="shared" si="40"/>
        <v>0</v>
      </c>
      <c r="Q1313" t="str">
        <f>IF(AND(P1313&gt;1,COUNTIF($E$6:E1313,E1313)=1),MAX($Q$5:Q1312)+1,"")</f>
        <v/>
      </c>
      <c r="R1313" t="str">
        <f t="shared" si="41"/>
        <v/>
      </c>
    </row>
    <row r="1314" spans="16:18" ht="22.95" customHeight="1">
      <c r="P1314">
        <f t="shared" si="40"/>
        <v>0</v>
      </c>
      <c r="Q1314" t="str">
        <f>IF(AND(P1314&gt;1,COUNTIF($E$6:E1314,E1314)=1),MAX($Q$5:Q1313)+1,"")</f>
        <v/>
      </c>
      <c r="R1314" t="str">
        <f t="shared" si="41"/>
        <v/>
      </c>
    </row>
    <row r="1315" spans="16:18" ht="22.95" customHeight="1">
      <c r="P1315">
        <f t="shared" si="40"/>
        <v>0</v>
      </c>
      <c r="Q1315" t="str">
        <f>IF(AND(P1315&gt;1,COUNTIF($E$6:E1315,E1315)=1),MAX($Q$5:Q1314)+1,"")</f>
        <v/>
      </c>
      <c r="R1315" t="str">
        <f t="shared" si="41"/>
        <v/>
      </c>
    </row>
    <row r="1316" spans="16:18" ht="22.95" customHeight="1">
      <c r="P1316">
        <f t="shared" si="40"/>
        <v>0</v>
      </c>
      <c r="Q1316" t="str">
        <f>IF(AND(P1316&gt;1,COUNTIF($E$6:E1316,E1316)=1),MAX($Q$5:Q1315)+1,"")</f>
        <v/>
      </c>
      <c r="R1316" t="str">
        <f t="shared" si="41"/>
        <v/>
      </c>
    </row>
    <row r="1317" spans="16:18" ht="22.95" customHeight="1">
      <c r="P1317">
        <f t="shared" si="40"/>
        <v>0</v>
      </c>
      <c r="Q1317" t="str">
        <f>IF(AND(P1317&gt;1,COUNTIF($E$6:E1317,E1317)=1),MAX($Q$5:Q1316)+1,"")</f>
        <v/>
      </c>
      <c r="R1317" t="str">
        <f t="shared" si="41"/>
        <v/>
      </c>
    </row>
    <row r="1318" spans="16:18" ht="22.95" customHeight="1">
      <c r="P1318">
        <f t="shared" si="40"/>
        <v>0</v>
      </c>
      <c r="Q1318" t="str">
        <f>IF(AND(P1318&gt;1,COUNTIF($E$6:E1318,E1318)=1),MAX($Q$5:Q1317)+1,"")</f>
        <v/>
      </c>
      <c r="R1318" t="str">
        <f t="shared" si="41"/>
        <v/>
      </c>
    </row>
    <row r="1319" spans="16:18" ht="22.95" customHeight="1">
      <c r="P1319">
        <f t="shared" si="40"/>
        <v>0</v>
      </c>
      <c r="Q1319" t="str">
        <f>IF(AND(P1319&gt;1,COUNTIF($E$6:E1319,E1319)=1),MAX($Q$5:Q1318)+1,"")</f>
        <v/>
      </c>
      <c r="R1319" t="str">
        <f t="shared" si="41"/>
        <v/>
      </c>
    </row>
    <row r="1320" spans="16:18" ht="22.95" customHeight="1">
      <c r="P1320">
        <f t="shared" si="40"/>
        <v>0</v>
      </c>
      <c r="Q1320" t="str">
        <f>IF(AND(P1320&gt;1,COUNTIF($E$6:E1320,E1320)=1),MAX($Q$5:Q1319)+1,"")</f>
        <v/>
      </c>
      <c r="R1320" t="str">
        <f t="shared" si="41"/>
        <v/>
      </c>
    </row>
    <row r="1321" spans="16:18" ht="22.95" customHeight="1">
      <c r="P1321">
        <f t="shared" si="40"/>
        <v>0</v>
      </c>
      <c r="Q1321" t="str">
        <f>IF(AND(P1321&gt;1,COUNTIF($E$6:E1321,E1321)=1),MAX($Q$5:Q1320)+1,"")</f>
        <v/>
      </c>
      <c r="R1321" t="str">
        <f t="shared" si="41"/>
        <v/>
      </c>
    </row>
    <row r="1322" spans="16:18" ht="22.95" customHeight="1">
      <c r="P1322">
        <f t="shared" si="40"/>
        <v>0</v>
      </c>
      <c r="Q1322" t="str">
        <f>IF(AND(P1322&gt;1,COUNTIF($E$6:E1322,E1322)=1),MAX($Q$5:Q1321)+1,"")</f>
        <v/>
      </c>
      <c r="R1322" t="str">
        <f t="shared" si="41"/>
        <v/>
      </c>
    </row>
    <row r="1323" spans="16:18" ht="22.95" customHeight="1">
      <c r="P1323">
        <f t="shared" si="40"/>
        <v>0</v>
      </c>
      <c r="Q1323" t="str">
        <f>IF(AND(P1323&gt;1,COUNTIF($E$6:E1323,E1323)=1),MAX($Q$5:Q1322)+1,"")</f>
        <v/>
      </c>
      <c r="R1323" t="str">
        <f t="shared" si="41"/>
        <v/>
      </c>
    </row>
    <row r="1324" spans="16:18" ht="22.95" customHeight="1">
      <c r="P1324">
        <f t="shared" si="40"/>
        <v>0</v>
      </c>
      <c r="Q1324" t="str">
        <f>IF(AND(P1324&gt;1,COUNTIF($E$6:E1324,E1324)=1),MAX($Q$5:Q1323)+1,"")</f>
        <v/>
      </c>
      <c r="R1324" t="str">
        <f t="shared" si="41"/>
        <v/>
      </c>
    </row>
    <row r="1325" spans="16:18" ht="22.95" customHeight="1">
      <c r="P1325">
        <f t="shared" si="40"/>
        <v>0</v>
      </c>
      <c r="Q1325" t="str">
        <f>IF(AND(P1325&gt;1,COUNTIF($E$6:E1325,E1325)=1),MAX($Q$5:Q1324)+1,"")</f>
        <v/>
      </c>
      <c r="R1325" t="str">
        <f t="shared" si="41"/>
        <v/>
      </c>
    </row>
    <row r="1326" spans="16:18" ht="22.95" customHeight="1">
      <c r="P1326">
        <f t="shared" si="40"/>
        <v>0</v>
      </c>
      <c r="Q1326" t="str">
        <f>IF(AND(P1326&gt;1,COUNTIF($E$6:E1326,E1326)=1),MAX($Q$5:Q1325)+1,"")</f>
        <v/>
      </c>
      <c r="R1326" t="str">
        <f t="shared" si="41"/>
        <v/>
      </c>
    </row>
    <row r="1327" spans="16:18" ht="22.95" customHeight="1">
      <c r="P1327">
        <f t="shared" si="40"/>
        <v>0</v>
      </c>
      <c r="Q1327" t="str">
        <f>IF(AND(P1327&gt;1,COUNTIF($E$6:E1327,E1327)=1),MAX($Q$5:Q1326)+1,"")</f>
        <v/>
      </c>
      <c r="R1327" t="str">
        <f t="shared" si="41"/>
        <v/>
      </c>
    </row>
    <row r="1328" spans="16:18" ht="22.95" customHeight="1">
      <c r="P1328">
        <f t="shared" si="40"/>
        <v>0</v>
      </c>
      <c r="Q1328" t="str">
        <f>IF(AND(P1328&gt;1,COUNTIF($E$6:E1328,E1328)=1),MAX($Q$5:Q1327)+1,"")</f>
        <v/>
      </c>
      <c r="R1328" t="str">
        <f t="shared" si="41"/>
        <v/>
      </c>
    </row>
    <row r="1329" spans="16:18" ht="22.95" customHeight="1">
      <c r="P1329">
        <f t="shared" si="40"/>
        <v>0</v>
      </c>
      <c r="Q1329" t="str">
        <f>IF(AND(P1329&gt;1,COUNTIF($E$6:E1329,E1329)=1),MAX($Q$5:Q1328)+1,"")</f>
        <v/>
      </c>
      <c r="R1329" t="str">
        <f t="shared" si="41"/>
        <v/>
      </c>
    </row>
    <row r="1330" spans="16:18" ht="22.95" customHeight="1">
      <c r="P1330">
        <f t="shared" si="40"/>
        <v>0</v>
      </c>
      <c r="Q1330" t="str">
        <f>IF(AND(P1330&gt;1,COUNTIF($E$6:E1330,E1330)=1),MAX($Q$5:Q1329)+1,"")</f>
        <v/>
      </c>
      <c r="R1330" t="str">
        <f t="shared" si="41"/>
        <v/>
      </c>
    </row>
    <row r="1331" spans="16:18" ht="22.95" customHeight="1">
      <c r="P1331">
        <f t="shared" si="40"/>
        <v>0</v>
      </c>
      <c r="Q1331" t="str">
        <f>IF(AND(P1331&gt;1,COUNTIF($E$6:E1331,E1331)=1),MAX($Q$5:Q1330)+1,"")</f>
        <v/>
      </c>
      <c r="R1331" t="str">
        <f t="shared" si="41"/>
        <v/>
      </c>
    </row>
    <row r="1332" spans="16:18" ht="22.95" customHeight="1">
      <c r="P1332">
        <f t="shared" si="40"/>
        <v>0</v>
      </c>
      <c r="Q1332" t="str">
        <f>IF(AND(P1332&gt;1,COUNTIF($E$6:E1332,E1332)=1),MAX($Q$5:Q1331)+1,"")</f>
        <v/>
      </c>
      <c r="R1332" t="str">
        <f t="shared" si="41"/>
        <v/>
      </c>
    </row>
    <row r="1333" spans="16:18" ht="22.95" customHeight="1">
      <c r="P1333">
        <f t="shared" si="40"/>
        <v>0</v>
      </c>
      <c r="Q1333" t="str">
        <f>IF(AND(P1333&gt;1,COUNTIF($E$6:E1333,E1333)=1),MAX($Q$5:Q1332)+1,"")</f>
        <v/>
      </c>
      <c r="R1333" t="str">
        <f t="shared" si="41"/>
        <v/>
      </c>
    </row>
    <row r="1334" spans="16:18" ht="22.95" customHeight="1">
      <c r="P1334">
        <f t="shared" si="40"/>
        <v>0</v>
      </c>
      <c r="Q1334" t="str">
        <f>IF(AND(P1334&gt;1,COUNTIF($E$6:E1334,E1334)=1),MAX($Q$5:Q1333)+1,"")</f>
        <v/>
      </c>
      <c r="R1334" t="str">
        <f t="shared" si="41"/>
        <v/>
      </c>
    </row>
    <row r="1335" spans="16:18" ht="22.95" customHeight="1">
      <c r="P1335">
        <f t="shared" si="40"/>
        <v>0</v>
      </c>
      <c r="Q1335" t="str">
        <f>IF(AND(P1335&gt;1,COUNTIF($E$6:E1335,E1335)=1),MAX($Q$5:Q1334)+1,"")</f>
        <v/>
      </c>
      <c r="R1335" t="str">
        <f t="shared" si="41"/>
        <v/>
      </c>
    </row>
    <row r="1336" spans="16:18" ht="22.95" customHeight="1">
      <c r="P1336">
        <f t="shared" si="40"/>
        <v>0</v>
      </c>
      <c r="Q1336" t="str">
        <f>IF(AND(P1336&gt;1,COUNTIF($E$6:E1336,E1336)=1),MAX($Q$5:Q1335)+1,"")</f>
        <v/>
      </c>
      <c r="R1336" t="str">
        <f t="shared" si="41"/>
        <v/>
      </c>
    </row>
    <row r="1337" spans="16:18" ht="22.95" customHeight="1">
      <c r="P1337">
        <f t="shared" si="40"/>
        <v>0</v>
      </c>
      <c r="Q1337" t="str">
        <f>IF(AND(P1337&gt;1,COUNTIF($E$6:E1337,E1337)=1),MAX($Q$5:Q1336)+1,"")</f>
        <v/>
      </c>
      <c r="R1337" t="str">
        <f t="shared" si="41"/>
        <v/>
      </c>
    </row>
    <row r="1338" spans="16:18" ht="22.95" customHeight="1">
      <c r="P1338">
        <f t="shared" si="40"/>
        <v>0</v>
      </c>
      <c r="Q1338" t="str">
        <f>IF(AND(P1338&gt;1,COUNTIF($E$6:E1338,E1338)=1),MAX($Q$5:Q1337)+1,"")</f>
        <v/>
      </c>
      <c r="R1338" t="str">
        <f t="shared" si="41"/>
        <v/>
      </c>
    </row>
    <row r="1339" spans="16:18" ht="22.95" customHeight="1">
      <c r="P1339">
        <f t="shared" si="40"/>
        <v>0</v>
      </c>
      <c r="Q1339" t="str">
        <f>IF(AND(P1339&gt;1,COUNTIF($E$6:E1339,E1339)=1),MAX($Q$5:Q1338)+1,"")</f>
        <v/>
      </c>
      <c r="R1339" t="str">
        <f t="shared" si="41"/>
        <v/>
      </c>
    </row>
    <row r="1340" spans="16:18" ht="22.95" customHeight="1">
      <c r="P1340">
        <f t="shared" si="40"/>
        <v>0</v>
      </c>
      <c r="Q1340" t="str">
        <f>IF(AND(P1340&gt;1,COUNTIF($E$6:E1340,E1340)=1),MAX($Q$5:Q1339)+1,"")</f>
        <v/>
      </c>
      <c r="R1340" t="str">
        <f t="shared" si="41"/>
        <v/>
      </c>
    </row>
    <row r="1341" spans="16:18" ht="22.95" customHeight="1">
      <c r="P1341">
        <f t="shared" si="40"/>
        <v>0</v>
      </c>
      <c r="Q1341" t="str">
        <f>IF(AND(P1341&gt;1,COUNTIF($E$6:E1341,E1341)=1),MAX($Q$5:Q1340)+1,"")</f>
        <v/>
      </c>
      <c r="R1341" t="str">
        <f t="shared" si="41"/>
        <v/>
      </c>
    </row>
    <row r="1342" spans="16:18" ht="22.95" customHeight="1">
      <c r="P1342">
        <f t="shared" si="40"/>
        <v>0</v>
      </c>
      <c r="Q1342" t="str">
        <f>IF(AND(P1342&gt;1,COUNTIF($E$6:E1342,E1342)=1),MAX($Q$5:Q1341)+1,"")</f>
        <v/>
      </c>
      <c r="R1342" t="str">
        <f t="shared" si="41"/>
        <v/>
      </c>
    </row>
    <row r="1343" spans="16:18" ht="22.95" customHeight="1">
      <c r="P1343">
        <f t="shared" si="40"/>
        <v>0</v>
      </c>
      <c r="Q1343" t="str">
        <f>IF(AND(P1343&gt;1,COUNTIF($E$6:E1343,E1343)=1),MAX($Q$5:Q1342)+1,"")</f>
        <v/>
      </c>
      <c r="R1343" t="str">
        <f t="shared" si="41"/>
        <v/>
      </c>
    </row>
    <row r="1344" spans="16:18" ht="22.95" customHeight="1">
      <c r="P1344">
        <f t="shared" si="40"/>
        <v>0</v>
      </c>
      <c r="Q1344" t="str">
        <f>IF(AND(P1344&gt;1,COUNTIF($E$6:E1344,E1344)=1),MAX($Q$5:Q1343)+1,"")</f>
        <v/>
      </c>
      <c r="R1344" t="str">
        <f t="shared" si="41"/>
        <v/>
      </c>
    </row>
    <row r="1345" spans="16:18" ht="22.95" customHeight="1">
      <c r="P1345">
        <f t="shared" si="40"/>
        <v>0</v>
      </c>
      <c r="Q1345" t="str">
        <f>IF(AND(P1345&gt;1,COUNTIF($E$6:E1345,E1345)=1),MAX($Q$5:Q1344)+1,"")</f>
        <v/>
      </c>
      <c r="R1345" t="str">
        <f t="shared" si="41"/>
        <v/>
      </c>
    </row>
    <row r="1346" spans="16:18" ht="22.95" customHeight="1">
      <c r="P1346">
        <f t="shared" si="40"/>
        <v>0</v>
      </c>
      <c r="Q1346" t="str">
        <f>IF(AND(P1346&gt;1,COUNTIF($E$6:E1346,E1346)=1),MAX($Q$5:Q1345)+1,"")</f>
        <v/>
      </c>
      <c r="R1346" t="str">
        <f t="shared" si="41"/>
        <v/>
      </c>
    </row>
    <row r="1347" spans="16:18" ht="22.95" customHeight="1">
      <c r="P1347">
        <f t="shared" si="40"/>
        <v>0</v>
      </c>
      <c r="Q1347" t="str">
        <f>IF(AND(P1347&gt;1,COUNTIF($E$6:E1347,E1347)=1),MAX($Q$5:Q1346)+1,"")</f>
        <v/>
      </c>
      <c r="R1347" t="str">
        <f t="shared" si="41"/>
        <v/>
      </c>
    </row>
    <row r="1348" spans="16:18" ht="22.95" customHeight="1">
      <c r="P1348">
        <f t="shared" si="40"/>
        <v>0</v>
      </c>
      <c r="Q1348" t="str">
        <f>IF(AND(P1348&gt;1,COUNTIF($E$6:E1348,E1348)=1),MAX($Q$5:Q1347)+1,"")</f>
        <v/>
      </c>
      <c r="R1348" t="str">
        <f t="shared" si="41"/>
        <v/>
      </c>
    </row>
    <row r="1349" spans="16:18" ht="22.95" customHeight="1">
      <c r="P1349">
        <f t="shared" si="40"/>
        <v>0</v>
      </c>
      <c r="Q1349" t="str">
        <f>IF(AND(P1349&gt;1,COUNTIF($E$6:E1349,E1349)=1),MAX($Q$5:Q1348)+1,"")</f>
        <v/>
      </c>
      <c r="R1349" t="str">
        <f t="shared" si="41"/>
        <v/>
      </c>
    </row>
    <row r="1350" spans="16:18" ht="22.95" customHeight="1">
      <c r="P1350">
        <f t="shared" ref="P1350:P1413" si="42">COUNTIF($E$6:$E$1740,E1350)</f>
        <v>0</v>
      </c>
      <c r="Q1350" t="str">
        <f>IF(AND(P1350&gt;1,COUNTIF($E$6:E1350,E1350)=1),MAX($Q$5:Q1349)+1,"")</f>
        <v/>
      </c>
      <c r="R1350" t="str">
        <f t="shared" ref="R1350:R1413" si="43">IF(Q1350="","",IF(COUNTIFS($E$6:$E$1740,E1350,$A$6:$A$1740,A1350,$C$6:$C$1740,C1350)&lt;P1350,"LÉGITIME",IF(COUNTIFS($E$6:$E$1740,E1350,$A$6:$A$1740,A1350,$C$6:$C$1740,C1350,$M$6:$M$1740,M1350)&lt;P1350,"STATUT DIFFÉRENT","VRAI DOUBLON")))</f>
        <v/>
      </c>
    </row>
    <row r="1351" spans="16:18" ht="22.95" customHeight="1">
      <c r="P1351">
        <f t="shared" si="42"/>
        <v>0</v>
      </c>
      <c r="Q1351" t="str">
        <f>IF(AND(P1351&gt;1,COUNTIF($E$6:E1351,E1351)=1),MAX($Q$5:Q1350)+1,"")</f>
        <v/>
      </c>
      <c r="R1351" t="str">
        <f t="shared" si="43"/>
        <v/>
      </c>
    </row>
    <row r="1352" spans="16:18" ht="22.95" customHeight="1">
      <c r="P1352">
        <f t="shared" si="42"/>
        <v>0</v>
      </c>
      <c r="Q1352" t="str">
        <f>IF(AND(P1352&gt;1,COUNTIF($E$6:E1352,E1352)=1),MAX($Q$5:Q1351)+1,"")</f>
        <v/>
      </c>
      <c r="R1352" t="str">
        <f t="shared" si="43"/>
        <v/>
      </c>
    </row>
    <row r="1353" spans="16:18" ht="22.95" customHeight="1">
      <c r="P1353">
        <f t="shared" si="42"/>
        <v>0</v>
      </c>
      <c r="Q1353" t="str">
        <f>IF(AND(P1353&gt;1,COUNTIF($E$6:E1353,E1353)=1),MAX($Q$5:Q1352)+1,"")</f>
        <v/>
      </c>
      <c r="R1353" t="str">
        <f t="shared" si="43"/>
        <v/>
      </c>
    </row>
    <row r="1354" spans="16:18" ht="22.95" customHeight="1">
      <c r="P1354">
        <f t="shared" si="42"/>
        <v>0</v>
      </c>
      <c r="Q1354" t="str">
        <f>IF(AND(P1354&gt;1,COUNTIF($E$6:E1354,E1354)=1),MAX($Q$5:Q1353)+1,"")</f>
        <v/>
      </c>
      <c r="R1354" t="str">
        <f t="shared" si="43"/>
        <v/>
      </c>
    </row>
    <row r="1355" spans="16:18" ht="22.95" customHeight="1">
      <c r="P1355">
        <f t="shared" si="42"/>
        <v>0</v>
      </c>
      <c r="Q1355" t="str">
        <f>IF(AND(P1355&gt;1,COUNTIF($E$6:E1355,E1355)=1),MAX($Q$5:Q1354)+1,"")</f>
        <v/>
      </c>
      <c r="R1355" t="str">
        <f t="shared" si="43"/>
        <v/>
      </c>
    </row>
    <row r="1356" spans="16:18" ht="22.95" customHeight="1">
      <c r="P1356">
        <f t="shared" si="42"/>
        <v>0</v>
      </c>
      <c r="Q1356" t="str">
        <f>IF(AND(P1356&gt;1,COUNTIF($E$6:E1356,E1356)=1),MAX($Q$5:Q1355)+1,"")</f>
        <v/>
      </c>
      <c r="R1356" t="str">
        <f t="shared" si="43"/>
        <v/>
      </c>
    </row>
    <row r="1357" spans="16:18" ht="22.95" customHeight="1">
      <c r="P1357">
        <f t="shared" si="42"/>
        <v>0</v>
      </c>
      <c r="Q1357" t="str">
        <f>IF(AND(P1357&gt;1,COUNTIF($E$6:E1357,E1357)=1),MAX($Q$5:Q1356)+1,"")</f>
        <v/>
      </c>
      <c r="R1357" t="str">
        <f t="shared" si="43"/>
        <v/>
      </c>
    </row>
    <row r="1358" spans="16:18" ht="22.95" customHeight="1">
      <c r="P1358">
        <f t="shared" si="42"/>
        <v>0</v>
      </c>
      <c r="Q1358" t="str">
        <f>IF(AND(P1358&gt;1,COUNTIF($E$6:E1358,E1358)=1),MAX($Q$5:Q1357)+1,"")</f>
        <v/>
      </c>
      <c r="R1358" t="str">
        <f t="shared" si="43"/>
        <v/>
      </c>
    </row>
    <row r="1359" spans="16:18" ht="22.95" customHeight="1">
      <c r="P1359">
        <f t="shared" si="42"/>
        <v>0</v>
      </c>
      <c r="Q1359" t="str">
        <f>IF(AND(P1359&gt;1,COUNTIF($E$6:E1359,E1359)=1),MAX($Q$5:Q1358)+1,"")</f>
        <v/>
      </c>
      <c r="R1359" t="str">
        <f t="shared" si="43"/>
        <v/>
      </c>
    </row>
    <row r="1360" spans="16:18" ht="22.95" customHeight="1">
      <c r="P1360">
        <f t="shared" si="42"/>
        <v>0</v>
      </c>
      <c r="Q1360" t="str">
        <f>IF(AND(P1360&gt;1,COUNTIF($E$6:E1360,E1360)=1),MAX($Q$5:Q1359)+1,"")</f>
        <v/>
      </c>
      <c r="R1360" t="str">
        <f t="shared" si="43"/>
        <v/>
      </c>
    </row>
    <row r="1361" spans="16:18" ht="22.95" customHeight="1">
      <c r="P1361">
        <f t="shared" si="42"/>
        <v>0</v>
      </c>
      <c r="Q1361" t="str">
        <f>IF(AND(P1361&gt;1,COUNTIF($E$6:E1361,E1361)=1),MAX($Q$5:Q1360)+1,"")</f>
        <v/>
      </c>
      <c r="R1361" t="str">
        <f t="shared" si="43"/>
        <v/>
      </c>
    </row>
    <row r="1362" spans="16:18" ht="22.95" customHeight="1">
      <c r="P1362">
        <f t="shared" si="42"/>
        <v>0</v>
      </c>
      <c r="Q1362" t="str">
        <f>IF(AND(P1362&gt;1,COUNTIF($E$6:E1362,E1362)=1),MAX($Q$5:Q1361)+1,"")</f>
        <v/>
      </c>
      <c r="R1362" t="str">
        <f t="shared" si="43"/>
        <v/>
      </c>
    </row>
    <row r="1363" spans="16:18" ht="22.95" customHeight="1">
      <c r="P1363">
        <f t="shared" si="42"/>
        <v>0</v>
      </c>
      <c r="Q1363" t="str">
        <f>IF(AND(P1363&gt;1,COUNTIF($E$6:E1363,E1363)=1),MAX($Q$5:Q1362)+1,"")</f>
        <v/>
      </c>
      <c r="R1363" t="str">
        <f t="shared" si="43"/>
        <v/>
      </c>
    </row>
    <row r="1364" spans="16:18" ht="22.95" customHeight="1">
      <c r="P1364">
        <f t="shared" si="42"/>
        <v>0</v>
      </c>
      <c r="Q1364" t="str">
        <f>IF(AND(P1364&gt;1,COUNTIF($E$6:E1364,E1364)=1),MAX($Q$5:Q1363)+1,"")</f>
        <v/>
      </c>
      <c r="R1364" t="str">
        <f t="shared" si="43"/>
        <v/>
      </c>
    </row>
    <row r="1365" spans="16:18" ht="22.95" customHeight="1">
      <c r="P1365">
        <f t="shared" si="42"/>
        <v>0</v>
      </c>
      <c r="Q1365" t="str">
        <f>IF(AND(P1365&gt;1,COUNTIF($E$6:E1365,E1365)=1),MAX($Q$5:Q1364)+1,"")</f>
        <v/>
      </c>
      <c r="R1365" t="str">
        <f t="shared" si="43"/>
        <v/>
      </c>
    </row>
    <row r="1366" spans="16:18" ht="22.95" customHeight="1">
      <c r="P1366">
        <f t="shared" si="42"/>
        <v>0</v>
      </c>
      <c r="Q1366" t="str">
        <f>IF(AND(P1366&gt;1,COUNTIF($E$6:E1366,E1366)=1),MAX($Q$5:Q1365)+1,"")</f>
        <v/>
      </c>
      <c r="R1366" t="str">
        <f t="shared" si="43"/>
        <v/>
      </c>
    </row>
    <row r="1367" spans="16:18" ht="22.95" customHeight="1">
      <c r="P1367">
        <f t="shared" si="42"/>
        <v>0</v>
      </c>
      <c r="Q1367" t="str">
        <f>IF(AND(P1367&gt;1,COUNTIF($E$6:E1367,E1367)=1),MAX($Q$5:Q1366)+1,"")</f>
        <v/>
      </c>
      <c r="R1367" t="str">
        <f t="shared" si="43"/>
        <v/>
      </c>
    </row>
    <row r="1368" spans="16:18" ht="22.95" customHeight="1">
      <c r="P1368">
        <f t="shared" si="42"/>
        <v>0</v>
      </c>
      <c r="Q1368" t="str">
        <f>IF(AND(P1368&gt;1,COUNTIF($E$6:E1368,E1368)=1),MAX($Q$5:Q1367)+1,"")</f>
        <v/>
      </c>
      <c r="R1368" t="str">
        <f t="shared" si="43"/>
        <v/>
      </c>
    </row>
    <row r="1369" spans="16:18" ht="22.95" customHeight="1">
      <c r="P1369">
        <f t="shared" si="42"/>
        <v>0</v>
      </c>
      <c r="Q1369" t="str">
        <f>IF(AND(P1369&gt;1,COUNTIF($E$6:E1369,E1369)=1),MAX($Q$5:Q1368)+1,"")</f>
        <v/>
      </c>
      <c r="R1369" t="str">
        <f t="shared" si="43"/>
        <v/>
      </c>
    </row>
    <row r="1370" spans="16:18" ht="22.95" customHeight="1">
      <c r="P1370">
        <f t="shared" si="42"/>
        <v>0</v>
      </c>
      <c r="Q1370" t="str">
        <f>IF(AND(P1370&gt;1,COUNTIF($E$6:E1370,E1370)=1),MAX($Q$5:Q1369)+1,"")</f>
        <v/>
      </c>
      <c r="R1370" t="str">
        <f t="shared" si="43"/>
        <v/>
      </c>
    </row>
    <row r="1371" spans="16:18" ht="22.95" customHeight="1">
      <c r="P1371">
        <f t="shared" si="42"/>
        <v>0</v>
      </c>
      <c r="Q1371" t="str">
        <f>IF(AND(P1371&gt;1,COUNTIF($E$6:E1371,E1371)=1),MAX($Q$5:Q1370)+1,"")</f>
        <v/>
      </c>
      <c r="R1371" t="str">
        <f t="shared" si="43"/>
        <v/>
      </c>
    </row>
    <row r="1372" spans="16:18" ht="22.95" customHeight="1">
      <c r="P1372">
        <f t="shared" si="42"/>
        <v>0</v>
      </c>
      <c r="Q1372" t="str">
        <f>IF(AND(P1372&gt;1,COUNTIF($E$6:E1372,E1372)=1),MAX($Q$5:Q1371)+1,"")</f>
        <v/>
      </c>
      <c r="R1372" t="str">
        <f t="shared" si="43"/>
        <v/>
      </c>
    </row>
    <row r="1373" spans="16:18" ht="22.95" customHeight="1">
      <c r="P1373">
        <f t="shared" si="42"/>
        <v>0</v>
      </c>
      <c r="Q1373" t="str">
        <f>IF(AND(P1373&gt;1,COUNTIF($E$6:E1373,E1373)=1),MAX($Q$5:Q1372)+1,"")</f>
        <v/>
      </c>
      <c r="R1373" t="str">
        <f t="shared" si="43"/>
        <v/>
      </c>
    </row>
    <row r="1374" spans="16:18" ht="22.95" customHeight="1">
      <c r="P1374">
        <f t="shared" si="42"/>
        <v>0</v>
      </c>
      <c r="Q1374" t="str">
        <f>IF(AND(P1374&gt;1,COUNTIF($E$6:E1374,E1374)=1),MAX($Q$5:Q1373)+1,"")</f>
        <v/>
      </c>
      <c r="R1374" t="str">
        <f t="shared" si="43"/>
        <v/>
      </c>
    </row>
    <row r="1375" spans="16:18" ht="22.95" customHeight="1">
      <c r="P1375">
        <f t="shared" si="42"/>
        <v>0</v>
      </c>
      <c r="Q1375" t="str">
        <f>IF(AND(P1375&gt;1,COUNTIF($E$6:E1375,E1375)=1),MAX($Q$5:Q1374)+1,"")</f>
        <v/>
      </c>
      <c r="R1375" t="str">
        <f t="shared" si="43"/>
        <v/>
      </c>
    </row>
    <row r="1376" spans="16:18" ht="22.95" customHeight="1">
      <c r="P1376">
        <f t="shared" si="42"/>
        <v>0</v>
      </c>
      <c r="Q1376" t="str">
        <f>IF(AND(P1376&gt;1,COUNTIF($E$6:E1376,E1376)=1),MAX($Q$5:Q1375)+1,"")</f>
        <v/>
      </c>
      <c r="R1376" t="str">
        <f t="shared" si="43"/>
        <v/>
      </c>
    </row>
    <row r="1377" spans="16:18" ht="22.95" customHeight="1">
      <c r="P1377">
        <f t="shared" si="42"/>
        <v>0</v>
      </c>
      <c r="Q1377" t="str">
        <f>IF(AND(P1377&gt;1,COUNTIF($E$6:E1377,E1377)=1),MAX($Q$5:Q1376)+1,"")</f>
        <v/>
      </c>
      <c r="R1377" t="str">
        <f t="shared" si="43"/>
        <v/>
      </c>
    </row>
    <row r="1378" spans="16:18" ht="22.95" customHeight="1">
      <c r="P1378">
        <f t="shared" si="42"/>
        <v>0</v>
      </c>
      <c r="Q1378" t="str">
        <f>IF(AND(P1378&gt;1,COUNTIF($E$6:E1378,E1378)=1),MAX($Q$5:Q1377)+1,"")</f>
        <v/>
      </c>
      <c r="R1378" t="str">
        <f t="shared" si="43"/>
        <v/>
      </c>
    </row>
    <row r="1379" spans="16:18" ht="22.95" customHeight="1">
      <c r="P1379">
        <f t="shared" si="42"/>
        <v>0</v>
      </c>
      <c r="Q1379" t="str">
        <f>IF(AND(P1379&gt;1,COUNTIF($E$6:E1379,E1379)=1),MAX($Q$5:Q1378)+1,"")</f>
        <v/>
      </c>
      <c r="R1379" t="str">
        <f t="shared" si="43"/>
        <v/>
      </c>
    </row>
    <row r="1380" spans="16:18" ht="22.95" customHeight="1">
      <c r="P1380">
        <f t="shared" si="42"/>
        <v>0</v>
      </c>
      <c r="Q1380" t="str">
        <f>IF(AND(P1380&gt;1,COUNTIF($E$6:E1380,E1380)=1),MAX($Q$5:Q1379)+1,"")</f>
        <v/>
      </c>
      <c r="R1380" t="str">
        <f t="shared" si="43"/>
        <v/>
      </c>
    </row>
    <row r="1381" spans="16:18" ht="22.95" customHeight="1">
      <c r="P1381">
        <f t="shared" si="42"/>
        <v>0</v>
      </c>
      <c r="Q1381" t="str">
        <f>IF(AND(P1381&gt;1,COUNTIF($E$6:E1381,E1381)=1),MAX($Q$5:Q1380)+1,"")</f>
        <v/>
      </c>
      <c r="R1381" t="str">
        <f t="shared" si="43"/>
        <v/>
      </c>
    </row>
    <row r="1382" spans="16:18" ht="22.95" customHeight="1">
      <c r="P1382">
        <f t="shared" si="42"/>
        <v>0</v>
      </c>
      <c r="Q1382" t="str">
        <f>IF(AND(P1382&gt;1,COUNTIF($E$6:E1382,E1382)=1),MAX($Q$5:Q1381)+1,"")</f>
        <v/>
      </c>
      <c r="R1382" t="str">
        <f t="shared" si="43"/>
        <v/>
      </c>
    </row>
    <row r="1383" spans="16:18" ht="22.95" customHeight="1">
      <c r="P1383">
        <f t="shared" si="42"/>
        <v>0</v>
      </c>
      <c r="Q1383" t="str">
        <f>IF(AND(P1383&gt;1,COUNTIF($E$6:E1383,E1383)=1),MAX($Q$5:Q1382)+1,"")</f>
        <v/>
      </c>
      <c r="R1383" t="str">
        <f t="shared" si="43"/>
        <v/>
      </c>
    </row>
    <row r="1384" spans="16:18" ht="22.95" customHeight="1">
      <c r="P1384">
        <f t="shared" si="42"/>
        <v>0</v>
      </c>
      <c r="Q1384" t="str">
        <f>IF(AND(P1384&gt;1,COUNTIF($E$6:E1384,E1384)=1),MAX($Q$5:Q1383)+1,"")</f>
        <v/>
      </c>
      <c r="R1384" t="str">
        <f t="shared" si="43"/>
        <v/>
      </c>
    </row>
    <row r="1385" spans="16:18" ht="22.95" customHeight="1">
      <c r="P1385">
        <f t="shared" si="42"/>
        <v>0</v>
      </c>
      <c r="Q1385" t="str">
        <f>IF(AND(P1385&gt;1,COUNTIF($E$6:E1385,E1385)=1),MAX($Q$5:Q1384)+1,"")</f>
        <v/>
      </c>
      <c r="R1385" t="str">
        <f t="shared" si="43"/>
        <v/>
      </c>
    </row>
    <row r="1386" spans="16:18" ht="22.95" customHeight="1">
      <c r="P1386">
        <f t="shared" si="42"/>
        <v>0</v>
      </c>
      <c r="Q1386" t="str">
        <f>IF(AND(P1386&gt;1,COUNTIF($E$6:E1386,E1386)=1),MAX($Q$5:Q1385)+1,"")</f>
        <v/>
      </c>
      <c r="R1386" t="str">
        <f t="shared" si="43"/>
        <v/>
      </c>
    </row>
    <row r="1387" spans="16:18" ht="22.95" customHeight="1">
      <c r="P1387">
        <f t="shared" si="42"/>
        <v>0</v>
      </c>
      <c r="Q1387" t="str">
        <f>IF(AND(P1387&gt;1,COUNTIF($E$6:E1387,E1387)=1),MAX($Q$5:Q1386)+1,"")</f>
        <v/>
      </c>
      <c r="R1387" t="str">
        <f t="shared" si="43"/>
        <v/>
      </c>
    </row>
    <row r="1388" spans="16:18" ht="22.95" customHeight="1">
      <c r="P1388">
        <f t="shared" si="42"/>
        <v>0</v>
      </c>
      <c r="Q1388" t="str">
        <f>IF(AND(P1388&gt;1,COUNTIF($E$6:E1388,E1388)=1),MAX($Q$5:Q1387)+1,"")</f>
        <v/>
      </c>
      <c r="R1388" t="str">
        <f t="shared" si="43"/>
        <v/>
      </c>
    </row>
    <row r="1389" spans="16:18" ht="22.95" customHeight="1">
      <c r="P1389">
        <f t="shared" si="42"/>
        <v>0</v>
      </c>
      <c r="Q1389" t="str">
        <f>IF(AND(P1389&gt;1,COUNTIF($E$6:E1389,E1389)=1),MAX($Q$5:Q1388)+1,"")</f>
        <v/>
      </c>
      <c r="R1389" t="str">
        <f t="shared" si="43"/>
        <v/>
      </c>
    </row>
    <row r="1390" spans="16:18" ht="22.95" customHeight="1">
      <c r="P1390">
        <f t="shared" si="42"/>
        <v>0</v>
      </c>
      <c r="Q1390" t="str">
        <f>IF(AND(P1390&gt;1,COUNTIF($E$6:E1390,E1390)=1),MAX($Q$5:Q1389)+1,"")</f>
        <v/>
      </c>
      <c r="R1390" t="str">
        <f t="shared" si="43"/>
        <v/>
      </c>
    </row>
    <row r="1391" spans="16:18" ht="22.95" customHeight="1">
      <c r="P1391">
        <f t="shared" si="42"/>
        <v>0</v>
      </c>
      <c r="Q1391" t="str">
        <f>IF(AND(P1391&gt;1,COUNTIF($E$6:E1391,E1391)=1),MAX($Q$5:Q1390)+1,"")</f>
        <v/>
      </c>
      <c r="R1391" t="str">
        <f t="shared" si="43"/>
        <v/>
      </c>
    </row>
    <row r="1392" spans="16:18" ht="22.95" customHeight="1">
      <c r="P1392">
        <f t="shared" si="42"/>
        <v>0</v>
      </c>
      <c r="Q1392" t="str">
        <f>IF(AND(P1392&gt;1,COUNTIF($E$6:E1392,E1392)=1),MAX($Q$5:Q1391)+1,"")</f>
        <v/>
      </c>
      <c r="R1392" t="str">
        <f t="shared" si="43"/>
        <v/>
      </c>
    </row>
    <row r="1393" spans="16:18" ht="22.95" customHeight="1">
      <c r="P1393">
        <f t="shared" si="42"/>
        <v>0</v>
      </c>
      <c r="Q1393" t="str">
        <f>IF(AND(P1393&gt;1,COUNTIF($E$6:E1393,E1393)=1),MAX($Q$5:Q1392)+1,"")</f>
        <v/>
      </c>
      <c r="R1393" t="str">
        <f t="shared" si="43"/>
        <v/>
      </c>
    </row>
    <row r="1394" spans="16:18" ht="22.95" customHeight="1">
      <c r="P1394">
        <f t="shared" si="42"/>
        <v>0</v>
      </c>
      <c r="Q1394" t="str">
        <f>IF(AND(P1394&gt;1,COUNTIF($E$6:E1394,E1394)=1),MAX($Q$5:Q1393)+1,"")</f>
        <v/>
      </c>
      <c r="R1394" t="str">
        <f t="shared" si="43"/>
        <v/>
      </c>
    </row>
    <row r="1395" spans="16:18" ht="22.95" customHeight="1">
      <c r="P1395">
        <f t="shared" si="42"/>
        <v>0</v>
      </c>
      <c r="Q1395" t="str">
        <f>IF(AND(P1395&gt;1,COUNTIF($E$6:E1395,E1395)=1),MAX($Q$5:Q1394)+1,"")</f>
        <v/>
      </c>
      <c r="R1395" t="str">
        <f t="shared" si="43"/>
        <v/>
      </c>
    </row>
    <row r="1396" spans="16:18" ht="22.95" customHeight="1">
      <c r="P1396">
        <f t="shared" si="42"/>
        <v>0</v>
      </c>
      <c r="Q1396" t="str">
        <f>IF(AND(P1396&gt;1,COUNTIF($E$6:E1396,E1396)=1),MAX($Q$5:Q1395)+1,"")</f>
        <v/>
      </c>
      <c r="R1396" t="str">
        <f t="shared" si="43"/>
        <v/>
      </c>
    </row>
    <row r="1397" spans="16:18" ht="22.95" customHeight="1">
      <c r="P1397">
        <f t="shared" si="42"/>
        <v>0</v>
      </c>
      <c r="Q1397" t="str">
        <f>IF(AND(P1397&gt;1,COUNTIF($E$6:E1397,E1397)=1),MAX($Q$5:Q1396)+1,"")</f>
        <v/>
      </c>
      <c r="R1397" t="str">
        <f t="shared" si="43"/>
        <v/>
      </c>
    </row>
    <row r="1398" spans="16:18" ht="22.95" customHeight="1">
      <c r="P1398">
        <f t="shared" si="42"/>
        <v>0</v>
      </c>
      <c r="Q1398" t="str">
        <f>IF(AND(P1398&gt;1,COUNTIF($E$6:E1398,E1398)=1),MAX($Q$5:Q1397)+1,"")</f>
        <v/>
      </c>
      <c r="R1398" t="str">
        <f t="shared" si="43"/>
        <v/>
      </c>
    </row>
    <row r="1399" spans="16:18" ht="22.95" customHeight="1">
      <c r="P1399">
        <f t="shared" si="42"/>
        <v>0</v>
      </c>
      <c r="Q1399" t="str">
        <f>IF(AND(P1399&gt;1,COUNTIF($E$6:E1399,E1399)=1),MAX($Q$5:Q1398)+1,"")</f>
        <v/>
      </c>
      <c r="R1399" t="str">
        <f t="shared" si="43"/>
        <v/>
      </c>
    </row>
    <row r="1400" spans="16:18" ht="22.95" customHeight="1">
      <c r="P1400">
        <f t="shared" si="42"/>
        <v>0</v>
      </c>
      <c r="Q1400" t="str">
        <f>IF(AND(P1400&gt;1,COUNTIF($E$6:E1400,E1400)=1),MAX($Q$5:Q1399)+1,"")</f>
        <v/>
      </c>
      <c r="R1400" t="str">
        <f t="shared" si="43"/>
        <v/>
      </c>
    </row>
    <row r="1401" spans="16:18" ht="22.95" customHeight="1">
      <c r="P1401">
        <f t="shared" si="42"/>
        <v>0</v>
      </c>
      <c r="Q1401" t="str">
        <f>IF(AND(P1401&gt;1,COUNTIF($E$6:E1401,E1401)=1),MAX($Q$5:Q1400)+1,"")</f>
        <v/>
      </c>
      <c r="R1401" t="str">
        <f t="shared" si="43"/>
        <v/>
      </c>
    </row>
    <row r="1402" spans="16:18" ht="22.95" customHeight="1">
      <c r="P1402">
        <f t="shared" si="42"/>
        <v>0</v>
      </c>
      <c r="Q1402" t="str">
        <f>IF(AND(P1402&gt;1,COUNTIF($E$6:E1402,E1402)=1),MAX($Q$5:Q1401)+1,"")</f>
        <v/>
      </c>
      <c r="R1402" t="str">
        <f t="shared" si="43"/>
        <v/>
      </c>
    </row>
    <row r="1403" spans="16:18" ht="22.95" customHeight="1">
      <c r="P1403">
        <f t="shared" si="42"/>
        <v>0</v>
      </c>
      <c r="Q1403" t="str">
        <f>IF(AND(P1403&gt;1,COUNTIF($E$6:E1403,E1403)=1),MAX($Q$5:Q1402)+1,"")</f>
        <v/>
      </c>
      <c r="R1403" t="str">
        <f t="shared" si="43"/>
        <v/>
      </c>
    </row>
    <row r="1404" spans="16:18" ht="22.95" customHeight="1">
      <c r="P1404">
        <f t="shared" si="42"/>
        <v>0</v>
      </c>
      <c r="Q1404" t="str">
        <f>IF(AND(P1404&gt;1,COUNTIF($E$6:E1404,E1404)=1),MAX($Q$5:Q1403)+1,"")</f>
        <v/>
      </c>
      <c r="R1404" t="str">
        <f t="shared" si="43"/>
        <v/>
      </c>
    </row>
    <row r="1405" spans="16:18" ht="22.95" customHeight="1">
      <c r="P1405">
        <f t="shared" si="42"/>
        <v>0</v>
      </c>
      <c r="Q1405" t="str">
        <f>IF(AND(P1405&gt;1,COUNTIF($E$6:E1405,E1405)=1),MAX($Q$5:Q1404)+1,"")</f>
        <v/>
      </c>
      <c r="R1405" t="str">
        <f t="shared" si="43"/>
        <v/>
      </c>
    </row>
    <row r="1406" spans="16:18" ht="22.95" customHeight="1">
      <c r="P1406">
        <f t="shared" si="42"/>
        <v>0</v>
      </c>
      <c r="Q1406" t="str">
        <f>IF(AND(P1406&gt;1,COUNTIF($E$6:E1406,E1406)=1),MAX($Q$5:Q1405)+1,"")</f>
        <v/>
      </c>
      <c r="R1406" t="str">
        <f t="shared" si="43"/>
        <v/>
      </c>
    </row>
    <row r="1407" spans="16:18" ht="22.95" customHeight="1">
      <c r="P1407">
        <f t="shared" si="42"/>
        <v>0</v>
      </c>
      <c r="Q1407" t="str">
        <f>IF(AND(P1407&gt;1,COUNTIF($E$6:E1407,E1407)=1),MAX($Q$5:Q1406)+1,"")</f>
        <v/>
      </c>
      <c r="R1407" t="str">
        <f t="shared" si="43"/>
        <v/>
      </c>
    </row>
    <row r="1408" spans="16:18" ht="22.95" customHeight="1">
      <c r="P1408">
        <f t="shared" si="42"/>
        <v>0</v>
      </c>
      <c r="Q1408" t="str">
        <f>IF(AND(P1408&gt;1,COUNTIF($E$6:E1408,E1408)=1),MAX($Q$5:Q1407)+1,"")</f>
        <v/>
      </c>
      <c r="R1408" t="str">
        <f t="shared" si="43"/>
        <v/>
      </c>
    </row>
    <row r="1409" spans="16:18" ht="22.95" customHeight="1">
      <c r="P1409">
        <f t="shared" si="42"/>
        <v>0</v>
      </c>
      <c r="Q1409" t="str">
        <f>IF(AND(P1409&gt;1,COUNTIF($E$6:E1409,E1409)=1),MAX($Q$5:Q1408)+1,"")</f>
        <v/>
      </c>
      <c r="R1409" t="str">
        <f t="shared" si="43"/>
        <v/>
      </c>
    </row>
    <row r="1410" spans="16:18" ht="22.95" customHeight="1">
      <c r="P1410">
        <f t="shared" si="42"/>
        <v>0</v>
      </c>
      <c r="Q1410" t="str">
        <f>IF(AND(P1410&gt;1,COUNTIF($E$6:E1410,E1410)=1),MAX($Q$5:Q1409)+1,"")</f>
        <v/>
      </c>
      <c r="R1410" t="str">
        <f t="shared" si="43"/>
        <v/>
      </c>
    </row>
    <row r="1411" spans="16:18" ht="22.95" customHeight="1">
      <c r="P1411">
        <f t="shared" si="42"/>
        <v>0</v>
      </c>
      <c r="Q1411" t="str">
        <f>IF(AND(P1411&gt;1,COUNTIF($E$6:E1411,E1411)=1),MAX($Q$5:Q1410)+1,"")</f>
        <v/>
      </c>
      <c r="R1411" t="str">
        <f t="shared" si="43"/>
        <v/>
      </c>
    </row>
    <row r="1412" spans="16:18" ht="22.95" customHeight="1">
      <c r="P1412">
        <f t="shared" si="42"/>
        <v>0</v>
      </c>
      <c r="Q1412" t="str">
        <f>IF(AND(P1412&gt;1,COUNTIF($E$6:E1412,E1412)=1),MAX($Q$5:Q1411)+1,"")</f>
        <v/>
      </c>
      <c r="R1412" t="str">
        <f t="shared" si="43"/>
        <v/>
      </c>
    </row>
    <row r="1413" spans="16:18" ht="22.95" customHeight="1">
      <c r="P1413">
        <f t="shared" si="42"/>
        <v>0</v>
      </c>
      <c r="Q1413" t="str">
        <f>IF(AND(P1413&gt;1,COUNTIF($E$6:E1413,E1413)=1),MAX($Q$5:Q1412)+1,"")</f>
        <v/>
      </c>
      <c r="R1413" t="str">
        <f t="shared" si="43"/>
        <v/>
      </c>
    </row>
    <row r="1414" spans="16:18" ht="22.95" customHeight="1">
      <c r="P1414">
        <f t="shared" ref="P1414:P1477" si="44">COUNTIF($E$6:$E$1740,E1414)</f>
        <v>0</v>
      </c>
      <c r="Q1414" t="str">
        <f>IF(AND(P1414&gt;1,COUNTIF($E$6:E1414,E1414)=1),MAX($Q$5:Q1413)+1,"")</f>
        <v/>
      </c>
      <c r="R1414" t="str">
        <f t="shared" ref="R1414:R1477" si="45">IF(Q1414="","",IF(COUNTIFS($E$6:$E$1740,E1414,$A$6:$A$1740,A1414,$C$6:$C$1740,C1414)&lt;P1414,"LÉGITIME",IF(COUNTIFS($E$6:$E$1740,E1414,$A$6:$A$1740,A1414,$C$6:$C$1740,C1414,$M$6:$M$1740,M1414)&lt;P1414,"STATUT DIFFÉRENT","VRAI DOUBLON")))</f>
        <v/>
      </c>
    </row>
    <row r="1415" spans="16:18" ht="22.95" customHeight="1">
      <c r="P1415">
        <f t="shared" si="44"/>
        <v>0</v>
      </c>
      <c r="Q1415" t="str">
        <f>IF(AND(P1415&gt;1,COUNTIF($E$6:E1415,E1415)=1),MAX($Q$5:Q1414)+1,"")</f>
        <v/>
      </c>
      <c r="R1415" t="str">
        <f t="shared" si="45"/>
        <v/>
      </c>
    </row>
    <row r="1416" spans="16:18" ht="22.95" customHeight="1">
      <c r="P1416">
        <f t="shared" si="44"/>
        <v>0</v>
      </c>
      <c r="Q1416" t="str">
        <f>IF(AND(P1416&gt;1,COUNTIF($E$6:E1416,E1416)=1),MAX($Q$5:Q1415)+1,"")</f>
        <v/>
      </c>
      <c r="R1416" t="str">
        <f t="shared" si="45"/>
        <v/>
      </c>
    </row>
    <row r="1417" spans="16:18" ht="22.95" customHeight="1">
      <c r="P1417">
        <f t="shared" si="44"/>
        <v>0</v>
      </c>
      <c r="Q1417" t="str">
        <f>IF(AND(P1417&gt;1,COUNTIF($E$6:E1417,E1417)=1),MAX($Q$5:Q1416)+1,"")</f>
        <v/>
      </c>
      <c r="R1417" t="str">
        <f t="shared" si="45"/>
        <v/>
      </c>
    </row>
    <row r="1418" spans="16:18" ht="22.95" customHeight="1">
      <c r="P1418">
        <f t="shared" si="44"/>
        <v>0</v>
      </c>
      <c r="Q1418" t="str">
        <f>IF(AND(P1418&gt;1,COUNTIF($E$6:E1418,E1418)=1),MAX($Q$5:Q1417)+1,"")</f>
        <v/>
      </c>
      <c r="R1418" t="str">
        <f t="shared" si="45"/>
        <v/>
      </c>
    </row>
    <row r="1419" spans="16:18" ht="22.95" customHeight="1">
      <c r="P1419">
        <f t="shared" si="44"/>
        <v>0</v>
      </c>
      <c r="Q1419" t="str">
        <f>IF(AND(P1419&gt;1,COUNTIF($E$6:E1419,E1419)=1),MAX($Q$5:Q1418)+1,"")</f>
        <v/>
      </c>
      <c r="R1419" t="str">
        <f t="shared" si="45"/>
        <v/>
      </c>
    </row>
    <row r="1420" spans="16:18" ht="22.95" customHeight="1">
      <c r="P1420">
        <f t="shared" si="44"/>
        <v>0</v>
      </c>
      <c r="Q1420" t="str">
        <f>IF(AND(P1420&gt;1,COUNTIF($E$6:E1420,E1420)=1),MAX($Q$5:Q1419)+1,"")</f>
        <v/>
      </c>
      <c r="R1420" t="str">
        <f t="shared" si="45"/>
        <v/>
      </c>
    </row>
    <row r="1421" spans="16:18" ht="22.95" customHeight="1">
      <c r="P1421">
        <f t="shared" si="44"/>
        <v>0</v>
      </c>
      <c r="Q1421" t="str">
        <f>IF(AND(P1421&gt;1,COUNTIF($E$6:E1421,E1421)=1),MAX($Q$5:Q1420)+1,"")</f>
        <v/>
      </c>
      <c r="R1421" t="str">
        <f t="shared" si="45"/>
        <v/>
      </c>
    </row>
    <row r="1422" spans="16:18" ht="22.95" customHeight="1">
      <c r="P1422">
        <f t="shared" si="44"/>
        <v>0</v>
      </c>
      <c r="Q1422" t="str">
        <f>IF(AND(P1422&gt;1,COUNTIF($E$6:E1422,E1422)=1),MAX($Q$5:Q1421)+1,"")</f>
        <v/>
      </c>
      <c r="R1422" t="str">
        <f t="shared" si="45"/>
        <v/>
      </c>
    </row>
    <row r="1423" spans="16:18" ht="22.95" customHeight="1">
      <c r="P1423">
        <f t="shared" si="44"/>
        <v>0</v>
      </c>
      <c r="Q1423" t="str">
        <f>IF(AND(P1423&gt;1,COUNTIF($E$6:E1423,E1423)=1),MAX($Q$5:Q1422)+1,"")</f>
        <v/>
      </c>
      <c r="R1423" t="str">
        <f t="shared" si="45"/>
        <v/>
      </c>
    </row>
    <row r="1424" spans="16:18" ht="22.95" customHeight="1">
      <c r="P1424">
        <f t="shared" si="44"/>
        <v>0</v>
      </c>
      <c r="Q1424" t="str">
        <f>IF(AND(P1424&gt;1,COUNTIF($E$6:E1424,E1424)=1),MAX($Q$5:Q1423)+1,"")</f>
        <v/>
      </c>
      <c r="R1424" t="str">
        <f t="shared" si="45"/>
        <v/>
      </c>
    </row>
    <row r="1425" spans="16:18" ht="22.95" customHeight="1">
      <c r="P1425">
        <f t="shared" si="44"/>
        <v>0</v>
      </c>
      <c r="Q1425" t="str">
        <f>IF(AND(P1425&gt;1,COUNTIF($E$6:E1425,E1425)=1),MAX($Q$5:Q1424)+1,"")</f>
        <v/>
      </c>
      <c r="R1425" t="str">
        <f t="shared" si="45"/>
        <v/>
      </c>
    </row>
    <row r="1426" spans="16:18" ht="22.95" customHeight="1">
      <c r="P1426">
        <f t="shared" si="44"/>
        <v>0</v>
      </c>
      <c r="Q1426" t="str">
        <f>IF(AND(P1426&gt;1,COUNTIF($E$6:E1426,E1426)=1),MAX($Q$5:Q1425)+1,"")</f>
        <v/>
      </c>
      <c r="R1426" t="str">
        <f t="shared" si="45"/>
        <v/>
      </c>
    </row>
    <row r="1427" spans="16:18" ht="22.95" customHeight="1">
      <c r="P1427">
        <f t="shared" si="44"/>
        <v>0</v>
      </c>
      <c r="Q1427" t="str">
        <f>IF(AND(P1427&gt;1,COUNTIF($E$6:E1427,E1427)=1),MAX($Q$5:Q1426)+1,"")</f>
        <v/>
      </c>
      <c r="R1427" t="str">
        <f t="shared" si="45"/>
        <v/>
      </c>
    </row>
    <row r="1428" spans="16:18" ht="22.95" customHeight="1">
      <c r="P1428">
        <f t="shared" si="44"/>
        <v>0</v>
      </c>
      <c r="Q1428" t="str">
        <f>IF(AND(P1428&gt;1,COUNTIF($E$6:E1428,E1428)=1),MAX($Q$5:Q1427)+1,"")</f>
        <v/>
      </c>
      <c r="R1428" t="str">
        <f t="shared" si="45"/>
        <v/>
      </c>
    </row>
    <row r="1429" spans="16:18" ht="22.95" customHeight="1">
      <c r="P1429">
        <f t="shared" si="44"/>
        <v>0</v>
      </c>
      <c r="Q1429" t="str">
        <f>IF(AND(P1429&gt;1,COUNTIF($E$6:E1429,E1429)=1),MAX($Q$5:Q1428)+1,"")</f>
        <v/>
      </c>
      <c r="R1429" t="str">
        <f t="shared" si="45"/>
        <v/>
      </c>
    </row>
    <row r="1430" spans="16:18" ht="22.95" customHeight="1">
      <c r="P1430">
        <f t="shared" si="44"/>
        <v>0</v>
      </c>
      <c r="Q1430" t="str">
        <f>IF(AND(P1430&gt;1,COUNTIF($E$6:E1430,E1430)=1),MAX($Q$5:Q1429)+1,"")</f>
        <v/>
      </c>
      <c r="R1430" t="str">
        <f t="shared" si="45"/>
        <v/>
      </c>
    </row>
    <row r="1431" spans="16:18" ht="22.95" customHeight="1">
      <c r="P1431">
        <f t="shared" si="44"/>
        <v>0</v>
      </c>
      <c r="Q1431" t="str">
        <f>IF(AND(P1431&gt;1,COUNTIF($E$6:E1431,E1431)=1),MAX($Q$5:Q1430)+1,"")</f>
        <v/>
      </c>
      <c r="R1431" t="str">
        <f t="shared" si="45"/>
        <v/>
      </c>
    </row>
    <row r="1432" spans="16:18" ht="22.95" customHeight="1">
      <c r="P1432">
        <f t="shared" si="44"/>
        <v>0</v>
      </c>
      <c r="Q1432" t="str">
        <f>IF(AND(P1432&gt;1,COUNTIF($E$6:E1432,E1432)=1),MAX($Q$5:Q1431)+1,"")</f>
        <v/>
      </c>
      <c r="R1432" t="str">
        <f t="shared" si="45"/>
        <v/>
      </c>
    </row>
    <row r="1433" spans="16:18" ht="22.95" customHeight="1">
      <c r="P1433">
        <f t="shared" si="44"/>
        <v>0</v>
      </c>
      <c r="Q1433" t="str">
        <f>IF(AND(P1433&gt;1,COUNTIF($E$6:E1433,E1433)=1),MAX($Q$5:Q1432)+1,"")</f>
        <v/>
      </c>
      <c r="R1433" t="str">
        <f t="shared" si="45"/>
        <v/>
      </c>
    </row>
    <row r="1434" spans="16:18" ht="22.95" customHeight="1">
      <c r="P1434">
        <f t="shared" si="44"/>
        <v>0</v>
      </c>
      <c r="Q1434" t="str">
        <f>IF(AND(P1434&gt;1,COUNTIF($E$6:E1434,E1434)=1),MAX($Q$5:Q1433)+1,"")</f>
        <v/>
      </c>
      <c r="R1434" t="str">
        <f t="shared" si="45"/>
        <v/>
      </c>
    </row>
    <row r="1435" spans="16:18" ht="22.95" customHeight="1">
      <c r="P1435">
        <f t="shared" si="44"/>
        <v>0</v>
      </c>
      <c r="Q1435" t="str">
        <f>IF(AND(P1435&gt;1,COUNTIF($E$6:E1435,E1435)=1),MAX($Q$5:Q1434)+1,"")</f>
        <v/>
      </c>
      <c r="R1435" t="str">
        <f t="shared" si="45"/>
        <v/>
      </c>
    </row>
    <row r="1436" spans="16:18" ht="22.95" customHeight="1">
      <c r="P1436">
        <f t="shared" si="44"/>
        <v>0</v>
      </c>
      <c r="Q1436" t="str">
        <f>IF(AND(P1436&gt;1,COUNTIF($E$6:E1436,E1436)=1),MAX($Q$5:Q1435)+1,"")</f>
        <v/>
      </c>
      <c r="R1436" t="str">
        <f t="shared" si="45"/>
        <v/>
      </c>
    </row>
    <row r="1437" spans="16:18" ht="22.95" customHeight="1">
      <c r="P1437">
        <f t="shared" si="44"/>
        <v>0</v>
      </c>
      <c r="Q1437" t="str">
        <f>IF(AND(P1437&gt;1,COUNTIF($E$6:E1437,E1437)=1),MAX($Q$5:Q1436)+1,"")</f>
        <v/>
      </c>
      <c r="R1437" t="str">
        <f t="shared" si="45"/>
        <v/>
      </c>
    </row>
    <row r="1438" spans="16:18" ht="22.95" customHeight="1">
      <c r="P1438">
        <f t="shared" si="44"/>
        <v>0</v>
      </c>
      <c r="Q1438" t="str">
        <f>IF(AND(P1438&gt;1,COUNTIF($E$6:E1438,E1438)=1),MAX($Q$5:Q1437)+1,"")</f>
        <v/>
      </c>
      <c r="R1438" t="str">
        <f t="shared" si="45"/>
        <v/>
      </c>
    </row>
    <row r="1439" spans="16:18" ht="22.95" customHeight="1">
      <c r="P1439">
        <f t="shared" si="44"/>
        <v>0</v>
      </c>
      <c r="Q1439" t="str">
        <f>IF(AND(P1439&gt;1,COUNTIF($E$6:E1439,E1439)=1),MAX($Q$5:Q1438)+1,"")</f>
        <v/>
      </c>
      <c r="R1439" t="str">
        <f t="shared" si="45"/>
        <v/>
      </c>
    </row>
    <row r="1440" spans="16:18" ht="22.95" customHeight="1">
      <c r="P1440">
        <f t="shared" si="44"/>
        <v>0</v>
      </c>
      <c r="Q1440" t="str">
        <f>IF(AND(P1440&gt;1,COUNTIF($E$6:E1440,E1440)=1),MAX($Q$5:Q1439)+1,"")</f>
        <v/>
      </c>
      <c r="R1440" t="str">
        <f t="shared" si="45"/>
        <v/>
      </c>
    </row>
    <row r="1441" spans="16:18" ht="22.95" customHeight="1">
      <c r="P1441">
        <f t="shared" si="44"/>
        <v>0</v>
      </c>
      <c r="Q1441" t="str">
        <f>IF(AND(P1441&gt;1,COUNTIF($E$6:E1441,E1441)=1),MAX($Q$5:Q1440)+1,"")</f>
        <v/>
      </c>
      <c r="R1441" t="str">
        <f t="shared" si="45"/>
        <v/>
      </c>
    </row>
    <row r="1442" spans="16:18" ht="22.95" customHeight="1">
      <c r="P1442">
        <f t="shared" si="44"/>
        <v>0</v>
      </c>
      <c r="Q1442" t="str">
        <f>IF(AND(P1442&gt;1,COUNTIF($E$6:E1442,E1442)=1),MAX($Q$5:Q1441)+1,"")</f>
        <v/>
      </c>
      <c r="R1442" t="str">
        <f t="shared" si="45"/>
        <v/>
      </c>
    </row>
    <row r="1443" spans="16:18" ht="22.95" customHeight="1">
      <c r="P1443">
        <f t="shared" si="44"/>
        <v>0</v>
      </c>
      <c r="Q1443" t="str">
        <f>IF(AND(P1443&gt;1,COUNTIF($E$6:E1443,E1443)=1),MAX($Q$5:Q1442)+1,"")</f>
        <v/>
      </c>
      <c r="R1443" t="str">
        <f t="shared" si="45"/>
        <v/>
      </c>
    </row>
    <row r="1444" spans="16:18" ht="22.95" customHeight="1">
      <c r="P1444">
        <f t="shared" si="44"/>
        <v>0</v>
      </c>
      <c r="Q1444" t="str">
        <f>IF(AND(P1444&gt;1,COUNTIF($E$6:E1444,E1444)=1),MAX($Q$5:Q1443)+1,"")</f>
        <v/>
      </c>
      <c r="R1444" t="str">
        <f t="shared" si="45"/>
        <v/>
      </c>
    </row>
    <row r="1445" spans="16:18" ht="22.95" customHeight="1">
      <c r="P1445">
        <f t="shared" si="44"/>
        <v>0</v>
      </c>
      <c r="Q1445" t="str">
        <f>IF(AND(P1445&gt;1,COUNTIF($E$6:E1445,E1445)=1),MAX($Q$5:Q1444)+1,"")</f>
        <v/>
      </c>
      <c r="R1445" t="str">
        <f t="shared" si="45"/>
        <v/>
      </c>
    </row>
    <row r="1446" spans="16:18" ht="22.95" customHeight="1">
      <c r="P1446">
        <f t="shared" si="44"/>
        <v>0</v>
      </c>
      <c r="Q1446" t="str">
        <f>IF(AND(P1446&gt;1,COUNTIF($E$6:E1446,E1446)=1),MAX($Q$5:Q1445)+1,"")</f>
        <v/>
      </c>
      <c r="R1446" t="str">
        <f t="shared" si="45"/>
        <v/>
      </c>
    </row>
    <row r="1447" spans="16:18" ht="22.95" customHeight="1">
      <c r="P1447">
        <f t="shared" si="44"/>
        <v>0</v>
      </c>
      <c r="Q1447" t="str">
        <f>IF(AND(P1447&gt;1,COUNTIF($E$6:E1447,E1447)=1),MAX($Q$5:Q1446)+1,"")</f>
        <v/>
      </c>
      <c r="R1447" t="str">
        <f t="shared" si="45"/>
        <v/>
      </c>
    </row>
    <row r="1448" spans="16:18" ht="22.95" customHeight="1">
      <c r="P1448">
        <f t="shared" si="44"/>
        <v>0</v>
      </c>
      <c r="Q1448" t="str">
        <f>IF(AND(P1448&gt;1,COUNTIF($E$6:E1448,E1448)=1),MAX($Q$5:Q1447)+1,"")</f>
        <v/>
      </c>
      <c r="R1448" t="str">
        <f t="shared" si="45"/>
        <v/>
      </c>
    </row>
    <row r="1449" spans="16:18" ht="22.95" customHeight="1">
      <c r="P1449">
        <f t="shared" si="44"/>
        <v>0</v>
      </c>
      <c r="Q1449" t="str">
        <f>IF(AND(P1449&gt;1,COUNTIF($E$6:E1449,E1449)=1),MAX($Q$5:Q1448)+1,"")</f>
        <v/>
      </c>
      <c r="R1449" t="str">
        <f t="shared" si="45"/>
        <v/>
      </c>
    </row>
    <row r="1450" spans="16:18" ht="22.95" customHeight="1">
      <c r="P1450">
        <f t="shared" si="44"/>
        <v>0</v>
      </c>
      <c r="Q1450" t="str">
        <f>IF(AND(P1450&gt;1,COUNTIF($E$6:E1450,E1450)=1),MAX($Q$5:Q1449)+1,"")</f>
        <v/>
      </c>
      <c r="R1450" t="str">
        <f t="shared" si="45"/>
        <v/>
      </c>
    </row>
    <row r="1451" spans="16:18" ht="22.95" customHeight="1">
      <c r="P1451">
        <f t="shared" si="44"/>
        <v>0</v>
      </c>
      <c r="Q1451" t="str">
        <f>IF(AND(P1451&gt;1,COUNTIF($E$6:E1451,E1451)=1),MAX($Q$5:Q1450)+1,"")</f>
        <v/>
      </c>
      <c r="R1451" t="str">
        <f t="shared" si="45"/>
        <v/>
      </c>
    </row>
    <row r="1452" spans="16:18" ht="22.95" customHeight="1">
      <c r="P1452">
        <f t="shared" si="44"/>
        <v>0</v>
      </c>
      <c r="Q1452" t="str">
        <f>IF(AND(P1452&gt;1,COUNTIF($E$6:E1452,E1452)=1),MAX($Q$5:Q1451)+1,"")</f>
        <v/>
      </c>
      <c r="R1452" t="str">
        <f t="shared" si="45"/>
        <v/>
      </c>
    </row>
    <row r="1453" spans="16:18" ht="22.95" customHeight="1">
      <c r="P1453">
        <f t="shared" si="44"/>
        <v>0</v>
      </c>
      <c r="Q1453" t="str">
        <f>IF(AND(P1453&gt;1,COUNTIF($E$6:E1453,E1453)=1),MAX($Q$5:Q1452)+1,"")</f>
        <v/>
      </c>
      <c r="R1453" t="str">
        <f t="shared" si="45"/>
        <v/>
      </c>
    </row>
    <row r="1454" spans="16:18" ht="22.95" customHeight="1">
      <c r="P1454">
        <f t="shared" si="44"/>
        <v>0</v>
      </c>
      <c r="Q1454" t="str">
        <f>IF(AND(P1454&gt;1,COUNTIF($E$6:E1454,E1454)=1),MAX($Q$5:Q1453)+1,"")</f>
        <v/>
      </c>
      <c r="R1454" t="str">
        <f t="shared" si="45"/>
        <v/>
      </c>
    </row>
    <row r="1455" spans="16:18" ht="22.95" customHeight="1">
      <c r="P1455">
        <f t="shared" si="44"/>
        <v>0</v>
      </c>
      <c r="Q1455" t="str">
        <f>IF(AND(P1455&gt;1,COUNTIF($E$6:E1455,E1455)=1),MAX($Q$5:Q1454)+1,"")</f>
        <v/>
      </c>
      <c r="R1455" t="str">
        <f t="shared" si="45"/>
        <v/>
      </c>
    </row>
    <row r="1456" spans="16:18" ht="22.95" customHeight="1">
      <c r="P1456">
        <f t="shared" si="44"/>
        <v>0</v>
      </c>
      <c r="Q1456" t="str">
        <f>IF(AND(P1456&gt;1,COUNTIF($E$6:E1456,E1456)=1),MAX($Q$5:Q1455)+1,"")</f>
        <v/>
      </c>
      <c r="R1456" t="str">
        <f t="shared" si="45"/>
        <v/>
      </c>
    </row>
    <row r="1457" spans="16:18" ht="22.95" customHeight="1">
      <c r="P1457">
        <f t="shared" si="44"/>
        <v>0</v>
      </c>
      <c r="Q1457" t="str">
        <f>IF(AND(P1457&gt;1,COUNTIF($E$6:E1457,E1457)=1),MAX($Q$5:Q1456)+1,"")</f>
        <v/>
      </c>
      <c r="R1457" t="str">
        <f t="shared" si="45"/>
        <v/>
      </c>
    </row>
    <row r="1458" spans="16:18" ht="22.95" customHeight="1">
      <c r="P1458">
        <f t="shared" si="44"/>
        <v>0</v>
      </c>
      <c r="Q1458" t="str">
        <f>IF(AND(P1458&gt;1,COUNTIF($E$6:E1458,E1458)=1),MAX($Q$5:Q1457)+1,"")</f>
        <v/>
      </c>
      <c r="R1458" t="str">
        <f t="shared" si="45"/>
        <v/>
      </c>
    </row>
    <row r="1459" spans="16:18" ht="22.95" customHeight="1">
      <c r="P1459">
        <f t="shared" si="44"/>
        <v>0</v>
      </c>
      <c r="Q1459" t="str">
        <f>IF(AND(P1459&gt;1,COUNTIF($E$6:E1459,E1459)=1),MAX($Q$5:Q1458)+1,"")</f>
        <v/>
      </c>
      <c r="R1459" t="str">
        <f t="shared" si="45"/>
        <v/>
      </c>
    </row>
    <row r="1460" spans="16:18" ht="22.95" customHeight="1">
      <c r="P1460">
        <f t="shared" si="44"/>
        <v>0</v>
      </c>
      <c r="Q1460" t="str">
        <f>IF(AND(P1460&gt;1,COUNTIF($E$6:E1460,E1460)=1),MAX($Q$5:Q1459)+1,"")</f>
        <v/>
      </c>
      <c r="R1460" t="str">
        <f t="shared" si="45"/>
        <v/>
      </c>
    </row>
    <row r="1461" spans="16:18" ht="22.95" customHeight="1">
      <c r="P1461">
        <f t="shared" si="44"/>
        <v>0</v>
      </c>
      <c r="Q1461" t="str">
        <f>IF(AND(P1461&gt;1,COUNTIF($E$6:E1461,E1461)=1),MAX($Q$5:Q1460)+1,"")</f>
        <v/>
      </c>
      <c r="R1461" t="str">
        <f t="shared" si="45"/>
        <v/>
      </c>
    </row>
    <row r="1462" spans="16:18" ht="22.95" customHeight="1">
      <c r="P1462">
        <f t="shared" si="44"/>
        <v>0</v>
      </c>
      <c r="Q1462" t="str">
        <f>IF(AND(P1462&gt;1,COUNTIF($E$6:E1462,E1462)=1),MAX($Q$5:Q1461)+1,"")</f>
        <v/>
      </c>
      <c r="R1462" t="str">
        <f t="shared" si="45"/>
        <v/>
      </c>
    </row>
    <row r="1463" spans="16:18" ht="22.95" customHeight="1">
      <c r="P1463">
        <f t="shared" si="44"/>
        <v>0</v>
      </c>
      <c r="Q1463" t="str">
        <f>IF(AND(P1463&gt;1,COUNTIF($E$6:E1463,E1463)=1),MAX($Q$5:Q1462)+1,"")</f>
        <v/>
      </c>
      <c r="R1463" t="str">
        <f t="shared" si="45"/>
        <v/>
      </c>
    </row>
    <row r="1464" spans="16:18" ht="22.95" customHeight="1">
      <c r="P1464">
        <f t="shared" si="44"/>
        <v>0</v>
      </c>
      <c r="Q1464" t="str">
        <f>IF(AND(P1464&gt;1,COUNTIF($E$6:E1464,E1464)=1),MAX($Q$5:Q1463)+1,"")</f>
        <v/>
      </c>
      <c r="R1464" t="str">
        <f t="shared" si="45"/>
        <v/>
      </c>
    </row>
    <row r="1465" spans="16:18" ht="22.95" customHeight="1">
      <c r="P1465">
        <f t="shared" si="44"/>
        <v>0</v>
      </c>
      <c r="Q1465" t="str">
        <f>IF(AND(P1465&gt;1,COUNTIF($E$6:E1465,E1465)=1),MAX($Q$5:Q1464)+1,"")</f>
        <v/>
      </c>
      <c r="R1465" t="str">
        <f t="shared" si="45"/>
        <v/>
      </c>
    </row>
    <row r="1466" spans="16:18" ht="22.95" customHeight="1">
      <c r="P1466">
        <f t="shared" si="44"/>
        <v>0</v>
      </c>
      <c r="Q1466" t="str">
        <f>IF(AND(P1466&gt;1,COUNTIF($E$6:E1466,E1466)=1),MAX($Q$5:Q1465)+1,"")</f>
        <v/>
      </c>
      <c r="R1466" t="str">
        <f t="shared" si="45"/>
        <v/>
      </c>
    </row>
    <row r="1467" spans="16:18" ht="22.95" customHeight="1">
      <c r="P1467">
        <f t="shared" si="44"/>
        <v>0</v>
      </c>
      <c r="Q1467" t="str">
        <f>IF(AND(P1467&gt;1,COUNTIF($E$6:E1467,E1467)=1),MAX($Q$5:Q1466)+1,"")</f>
        <v/>
      </c>
      <c r="R1467" t="str">
        <f t="shared" si="45"/>
        <v/>
      </c>
    </row>
    <row r="1468" spans="16:18" ht="22.95" customHeight="1">
      <c r="P1468">
        <f t="shared" si="44"/>
        <v>0</v>
      </c>
      <c r="Q1468" t="str">
        <f>IF(AND(P1468&gt;1,COUNTIF($E$6:E1468,E1468)=1),MAX($Q$5:Q1467)+1,"")</f>
        <v/>
      </c>
      <c r="R1468" t="str">
        <f t="shared" si="45"/>
        <v/>
      </c>
    </row>
    <row r="1469" spans="16:18" ht="22.95" customHeight="1">
      <c r="P1469">
        <f t="shared" si="44"/>
        <v>0</v>
      </c>
      <c r="Q1469" t="str">
        <f>IF(AND(P1469&gt;1,COUNTIF($E$6:E1469,E1469)=1),MAX($Q$5:Q1468)+1,"")</f>
        <v/>
      </c>
      <c r="R1469" t="str">
        <f t="shared" si="45"/>
        <v/>
      </c>
    </row>
    <row r="1470" spans="16:18" ht="22.95" customHeight="1">
      <c r="P1470">
        <f t="shared" si="44"/>
        <v>0</v>
      </c>
      <c r="Q1470" t="str">
        <f>IF(AND(P1470&gt;1,COUNTIF($E$6:E1470,E1470)=1),MAX($Q$5:Q1469)+1,"")</f>
        <v/>
      </c>
      <c r="R1470" t="str">
        <f t="shared" si="45"/>
        <v/>
      </c>
    </row>
    <row r="1471" spans="16:18" ht="22.95" customHeight="1">
      <c r="P1471">
        <f t="shared" si="44"/>
        <v>0</v>
      </c>
      <c r="Q1471" t="str">
        <f>IF(AND(P1471&gt;1,COUNTIF($E$6:E1471,E1471)=1),MAX($Q$5:Q1470)+1,"")</f>
        <v/>
      </c>
      <c r="R1471" t="str">
        <f t="shared" si="45"/>
        <v/>
      </c>
    </row>
    <row r="1472" spans="16:18" ht="22.95" customHeight="1">
      <c r="P1472">
        <f t="shared" si="44"/>
        <v>0</v>
      </c>
      <c r="Q1472" t="str">
        <f>IF(AND(P1472&gt;1,COUNTIF($E$6:E1472,E1472)=1),MAX($Q$5:Q1471)+1,"")</f>
        <v/>
      </c>
      <c r="R1472" t="str">
        <f t="shared" si="45"/>
        <v/>
      </c>
    </row>
    <row r="1473" spans="16:18" ht="22.95" customHeight="1">
      <c r="P1473">
        <f t="shared" si="44"/>
        <v>0</v>
      </c>
      <c r="Q1473" t="str">
        <f>IF(AND(P1473&gt;1,COUNTIF($E$6:E1473,E1473)=1),MAX($Q$5:Q1472)+1,"")</f>
        <v/>
      </c>
      <c r="R1473" t="str">
        <f t="shared" si="45"/>
        <v/>
      </c>
    </row>
    <row r="1474" spans="16:18" ht="22.95" customHeight="1">
      <c r="P1474">
        <f t="shared" si="44"/>
        <v>0</v>
      </c>
      <c r="Q1474" t="str">
        <f>IF(AND(P1474&gt;1,COUNTIF($E$6:E1474,E1474)=1),MAX($Q$5:Q1473)+1,"")</f>
        <v/>
      </c>
      <c r="R1474" t="str">
        <f t="shared" si="45"/>
        <v/>
      </c>
    </row>
    <row r="1475" spans="16:18" ht="22.95" customHeight="1">
      <c r="P1475">
        <f t="shared" si="44"/>
        <v>0</v>
      </c>
      <c r="Q1475" t="str">
        <f>IF(AND(P1475&gt;1,COUNTIF($E$6:E1475,E1475)=1),MAX($Q$5:Q1474)+1,"")</f>
        <v/>
      </c>
      <c r="R1475" t="str">
        <f t="shared" si="45"/>
        <v/>
      </c>
    </row>
    <row r="1476" spans="16:18" ht="22.95" customHeight="1">
      <c r="P1476">
        <f t="shared" si="44"/>
        <v>0</v>
      </c>
      <c r="Q1476" t="str">
        <f>IF(AND(P1476&gt;1,COUNTIF($E$6:E1476,E1476)=1),MAX($Q$5:Q1475)+1,"")</f>
        <v/>
      </c>
      <c r="R1476" t="str">
        <f t="shared" si="45"/>
        <v/>
      </c>
    </row>
    <row r="1477" spans="16:18" ht="22.95" customHeight="1">
      <c r="P1477">
        <f t="shared" si="44"/>
        <v>0</v>
      </c>
      <c r="Q1477" t="str">
        <f>IF(AND(P1477&gt;1,COUNTIF($E$6:E1477,E1477)=1),MAX($Q$5:Q1476)+1,"")</f>
        <v/>
      </c>
      <c r="R1477" t="str">
        <f t="shared" si="45"/>
        <v/>
      </c>
    </row>
    <row r="1478" spans="16:18" ht="22.95" customHeight="1">
      <c r="P1478">
        <f t="shared" ref="P1478:P1541" si="46">COUNTIF($E$6:$E$1740,E1478)</f>
        <v>0</v>
      </c>
      <c r="Q1478" t="str">
        <f>IF(AND(P1478&gt;1,COUNTIF($E$6:E1478,E1478)=1),MAX($Q$5:Q1477)+1,"")</f>
        <v/>
      </c>
      <c r="R1478" t="str">
        <f t="shared" ref="R1478:R1541" si="47">IF(Q1478="","",IF(COUNTIFS($E$6:$E$1740,E1478,$A$6:$A$1740,A1478,$C$6:$C$1740,C1478)&lt;P1478,"LÉGITIME",IF(COUNTIFS($E$6:$E$1740,E1478,$A$6:$A$1740,A1478,$C$6:$C$1740,C1478,$M$6:$M$1740,M1478)&lt;P1478,"STATUT DIFFÉRENT","VRAI DOUBLON")))</f>
        <v/>
      </c>
    </row>
    <row r="1479" spans="16:18" ht="22.95" customHeight="1">
      <c r="P1479">
        <f t="shared" si="46"/>
        <v>0</v>
      </c>
      <c r="Q1479" t="str">
        <f>IF(AND(P1479&gt;1,COUNTIF($E$6:E1479,E1479)=1),MAX($Q$5:Q1478)+1,"")</f>
        <v/>
      </c>
      <c r="R1479" t="str">
        <f t="shared" si="47"/>
        <v/>
      </c>
    </row>
    <row r="1480" spans="16:18" ht="22.95" customHeight="1">
      <c r="P1480">
        <f t="shared" si="46"/>
        <v>0</v>
      </c>
      <c r="Q1480" t="str">
        <f>IF(AND(P1480&gt;1,COUNTIF($E$6:E1480,E1480)=1),MAX($Q$5:Q1479)+1,"")</f>
        <v/>
      </c>
      <c r="R1480" t="str">
        <f t="shared" si="47"/>
        <v/>
      </c>
    </row>
    <row r="1481" spans="16:18" ht="22.95" customHeight="1">
      <c r="P1481">
        <f t="shared" si="46"/>
        <v>0</v>
      </c>
      <c r="Q1481" t="str">
        <f>IF(AND(P1481&gt;1,COUNTIF($E$6:E1481,E1481)=1),MAX($Q$5:Q1480)+1,"")</f>
        <v/>
      </c>
      <c r="R1481" t="str">
        <f t="shared" si="47"/>
        <v/>
      </c>
    </row>
    <row r="1482" spans="16:18" ht="22.95" customHeight="1">
      <c r="P1482">
        <f t="shared" si="46"/>
        <v>0</v>
      </c>
      <c r="Q1482" t="str">
        <f>IF(AND(P1482&gt;1,COUNTIF($E$6:E1482,E1482)=1),MAX($Q$5:Q1481)+1,"")</f>
        <v/>
      </c>
      <c r="R1482" t="str">
        <f t="shared" si="47"/>
        <v/>
      </c>
    </row>
    <row r="1483" spans="16:18" ht="22.95" customHeight="1">
      <c r="P1483">
        <f t="shared" si="46"/>
        <v>0</v>
      </c>
      <c r="Q1483" t="str">
        <f>IF(AND(P1483&gt;1,COUNTIF($E$6:E1483,E1483)=1),MAX($Q$5:Q1482)+1,"")</f>
        <v/>
      </c>
      <c r="R1483" t="str">
        <f t="shared" si="47"/>
        <v/>
      </c>
    </row>
    <row r="1484" spans="16:18" ht="22.95" customHeight="1">
      <c r="P1484">
        <f t="shared" si="46"/>
        <v>0</v>
      </c>
      <c r="Q1484" t="str">
        <f>IF(AND(P1484&gt;1,COUNTIF($E$6:E1484,E1484)=1),MAX($Q$5:Q1483)+1,"")</f>
        <v/>
      </c>
      <c r="R1484" t="str">
        <f t="shared" si="47"/>
        <v/>
      </c>
    </row>
    <row r="1485" spans="16:18" ht="22.95" customHeight="1">
      <c r="P1485">
        <f t="shared" si="46"/>
        <v>0</v>
      </c>
      <c r="Q1485" t="str">
        <f>IF(AND(P1485&gt;1,COUNTIF($E$6:E1485,E1485)=1),MAX($Q$5:Q1484)+1,"")</f>
        <v/>
      </c>
      <c r="R1485" t="str">
        <f t="shared" si="47"/>
        <v/>
      </c>
    </row>
    <row r="1486" spans="16:18" ht="22.95" customHeight="1">
      <c r="P1486">
        <f t="shared" si="46"/>
        <v>0</v>
      </c>
      <c r="Q1486" t="str">
        <f>IF(AND(P1486&gt;1,COUNTIF($E$6:E1486,E1486)=1),MAX($Q$5:Q1485)+1,"")</f>
        <v/>
      </c>
      <c r="R1486" t="str">
        <f t="shared" si="47"/>
        <v/>
      </c>
    </row>
    <row r="1487" spans="16:18" ht="22.95" customHeight="1">
      <c r="P1487">
        <f t="shared" si="46"/>
        <v>0</v>
      </c>
      <c r="Q1487" t="str">
        <f>IF(AND(P1487&gt;1,COUNTIF($E$6:E1487,E1487)=1),MAX($Q$5:Q1486)+1,"")</f>
        <v/>
      </c>
      <c r="R1487" t="str">
        <f t="shared" si="47"/>
        <v/>
      </c>
    </row>
    <row r="1488" spans="16:18" ht="22.95" customHeight="1">
      <c r="P1488">
        <f t="shared" si="46"/>
        <v>0</v>
      </c>
      <c r="Q1488" t="str">
        <f>IF(AND(P1488&gt;1,COUNTIF($E$6:E1488,E1488)=1),MAX($Q$5:Q1487)+1,"")</f>
        <v/>
      </c>
      <c r="R1488" t="str">
        <f t="shared" si="47"/>
        <v/>
      </c>
    </row>
    <row r="1489" spans="16:18" ht="22.95" customHeight="1">
      <c r="P1489">
        <f t="shared" si="46"/>
        <v>0</v>
      </c>
      <c r="Q1489" t="str">
        <f>IF(AND(P1489&gt;1,COUNTIF($E$6:E1489,E1489)=1),MAX($Q$5:Q1488)+1,"")</f>
        <v/>
      </c>
      <c r="R1489" t="str">
        <f t="shared" si="47"/>
        <v/>
      </c>
    </row>
    <row r="1490" spans="16:18" ht="22.95" customHeight="1">
      <c r="P1490">
        <f t="shared" si="46"/>
        <v>0</v>
      </c>
      <c r="Q1490" t="str">
        <f>IF(AND(P1490&gt;1,COUNTIF($E$6:E1490,E1490)=1),MAX($Q$5:Q1489)+1,"")</f>
        <v/>
      </c>
      <c r="R1490" t="str">
        <f t="shared" si="47"/>
        <v/>
      </c>
    </row>
    <row r="1491" spans="16:18" ht="22.95" customHeight="1">
      <c r="P1491">
        <f t="shared" si="46"/>
        <v>0</v>
      </c>
      <c r="Q1491" t="str">
        <f>IF(AND(P1491&gt;1,COUNTIF($E$6:E1491,E1491)=1),MAX($Q$5:Q1490)+1,"")</f>
        <v/>
      </c>
      <c r="R1491" t="str">
        <f t="shared" si="47"/>
        <v/>
      </c>
    </row>
    <row r="1492" spans="16:18" ht="22.95" customHeight="1">
      <c r="P1492">
        <f t="shared" si="46"/>
        <v>0</v>
      </c>
      <c r="Q1492" t="str">
        <f>IF(AND(P1492&gt;1,COUNTIF($E$6:E1492,E1492)=1),MAX($Q$5:Q1491)+1,"")</f>
        <v/>
      </c>
      <c r="R1492" t="str">
        <f t="shared" si="47"/>
        <v/>
      </c>
    </row>
    <row r="1493" spans="16:18" ht="22.95" customHeight="1">
      <c r="P1493">
        <f t="shared" si="46"/>
        <v>0</v>
      </c>
      <c r="Q1493" t="str">
        <f>IF(AND(P1493&gt;1,COUNTIF($E$6:E1493,E1493)=1),MAX($Q$5:Q1492)+1,"")</f>
        <v/>
      </c>
      <c r="R1493" t="str">
        <f t="shared" si="47"/>
        <v/>
      </c>
    </row>
    <row r="1494" spans="16:18" ht="22.95" customHeight="1">
      <c r="P1494">
        <f t="shared" si="46"/>
        <v>0</v>
      </c>
      <c r="Q1494" t="str">
        <f>IF(AND(P1494&gt;1,COUNTIF($E$6:E1494,E1494)=1),MAX($Q$5:Q1493)+1,"")</f>
        <v/>
      </c>
      <c r="R1494" t="str">
        <f t="shared" si="47"/>
        <v/>
      </c>
    </row>
    <row r="1495" spans="16:18" ht="22.95" customHeight="1">
      <c r="P1495">
        <f t="shared" si="46"/>
        <v>0</v>
      </c>
      <c r="Q1495" t="str">
        <f>IF(AND(P1495&gt;1,COUNTIF($E$6:E1495,E1495)=1),MAX($Q$5:Q1494)+1,"")</f>
        <v/>
      </c>
      <c r="R1495" t="str">
        <f t="shared" si="47"/>
        <v/>
      </c>
    </row>
    <row r="1496" spans="16:18" ht="22.95" customHeight="1">
      <c r="P1496">
        <f t="shared" si="46"/>
        <v>0</v>
      </c>
      <c r="Q1496" t="str">
        <f>IF(AND(P1496&gt;1,COUNTIF($E$6:E1496,E1496)=1),MAX($Q$5:Q1495)+1,"")</f>
        <v/>
      </c>
      <c r="R1496" t="str">
        <f t="shared" si="47"/>
        <v/>
      </c>
    </row>
    <row r="1497" spans="16:18" ht="22.95" customHeight="1">
      <c r="P1497">
        <f t="shared" si="46"/>
        <v>0</v>
      </c>
      <c r="Q1497" t="str">
        <f>IF(AND(P1497&gt;1,COUNTIF($E$6:E1497,E1497)=1),MAX($Q$5:Q1496)+1,"")</f>
        <v/>
      </c>
      <c r="R1497" t="str">
        <f t="shared" si="47"/>
        <v/>
      </c>
    </row>
    <row r="1498" spans="16:18" ht="22.95" customHeight="1">
      <c r="P1498">
        <f t="shared" si="46"/>
        <v>0</v>
      </c>
      <c r="Q1498" t="str">
        <f>IF(AND(P1498&gt;1,COUNTIF($E$6:E1498,E1498)=1),MAX($Q$5:Q1497)+1,"")</f>
        <v/>
      </c>
      <c r="R1498" t="str">
        <f t="shared" si="47"/>
        <v/>
      </c>
    </row>
    <row r="1499" spans="16:18" ht="22.95" customHeight="1">
      <c r="P1499">
        <f t="shared" si="46"/>
        <v>0</v>
      </c>
      <c r="Q1499" t="str">
        <f>IF(AND(P1499&gt;1,COUNTIF($E$6:E1499,E1499)=1),MAX($Q$5:Q1498)+1,"")</f>
        <v/>
      </c>
      <c r="R1499" t="str">
        <f t="shared" si="47"/>
        <v/>
      </c>
    </row>
    <row r="1500" spans="16:18" ht="22.95" customHeight="1">
      <c r="P1500">
        <f t="shared" si="46"/>
        <v>0</v>
      </c>
      <c r="Q1500" t="str">
        <f>IF(AND(P1500&gt;1,COUNTIF($E$6:E1500,E1500)=1),MAX($Q$5:Q1499)+1,"")</f>
        <v/>
      </c>
      <c r="R1500" t="str">
        <f t="shared" si="47"/>
        <v/>
      </c>
    </row>
    <row r="1501" spans="16:18" ht="22.95" customHeight="1">
      <c r="P1501">
        <f t="shared" si="46"/>
        <v>0</v>
      </c>
      <c r="Q1501" t="str">
        <f>IF(AND(P1501&gt;1,COUNTIF($E$6:E1501,E1501)=1),MAX($Q$5:Q1500)+1,"")</f>
        <v/>
      </c>
      <c r="R1501" t="str">
        <f t="shared" si="47"/>
        <v/>
      </c>
    </row>
    <row r="1502" spans="16:18" ht="22.95" customHeight="1">
      <c r="P1502">
        <f t="shared" si="46"/>
        <v>0</v>
      </c>
      <c r="Q1502" t="str">
        <f>IF(AND(P1502&gt;1,COUNTIF($E$6:E1502,E1502)=1),MAX($Q$5:Q1501)+1,"")</f>
        <v/>
      </c>
      <c r="R1502" t="str">
        <f t="shared" si="47"/>
        <v/>
      </c>
    </row>
    <row r="1503" spans="16:18" ht="22.95" customHeight="1">
      <c r="P1503">
        <f t="shared" si="46"/>
        <v>0</v>
      </c>
      <c r="Q1503" t="str">
        <f>IF(AND(P1503&gt;1,COUNTIF($E$6:E1503,E1503)=1),MAX($Q$5:Q1502)+1,"")</f>
        <v/>
      </c>
      <c r="R1503" t="str">
        <f t="shared" si="47"/>
        <v/>
      </c>
    </row>
    <row r="1504" spans="16:18" ht="22.95" customHeight="1">
      <c r="P1504">
        <f t="shared" si="46"/>
        <v>0</v>
      </c>
      <c r="Q1504" t="str">
        <f>IF(AND(P1504&gt;1,COUNTIF($E$6:E1504,E1504)=1),MAX($Q$5:Q1503)+1,"")</f>
        <v/>
      </c>
      <c r="R1504" t="str">
        <f t="shared" si="47"/>
        <v/>
      </c>
    </row>
    <row r="1505" spans="16:18" ht="22.95" customHeight="1">
      <c r="P1505">
        <f t="shared" si="46"/>
        <v>0</v>
      </c>
      <c r="Q1505" t="str">
        <f>IF(AND(P1505&gt;1,COUNTIF($E$6:E1505,E1505)=1),MAX($Q$5:Q1504)+1,"")</f>
        <v/>
      </c>
      <c r="R1505" t="str">
        <f t="shared" si="47"/>
        <v/>
      </c>
    </row>
    <row r="1506" spans="16:18" ht="22.95" customHeight="1">
      <c r="P1506">
        <f t="shared" si="46"/>
        <v>0</v>
      </c>
      <c r="Q1506" t="str">
        <f>IF(AND(P1506&gt;1,COUNTIF($E$6:E1506,E1506)=1),MAX($Q$5:Q1505)+1,"")</f>
        <v/>
      </c>
      <c r="R1506" t="str">
        <f t="shared" si="47"/>
        <v/>
      </c>
    </row>
    <row r="1507" spans="16:18" ht="22.95" customHeight="1">
      <c r="P1507">
        <f t="shared" si="46"/>
        <v>0</v>
      </c>
      <c r="Q1507" t="str">
        <f>IF(AND(P1507&gt;1,COUNTIF($E$6:E1507,E1507)=1),MAX($Q$5:Q1506)+1,"")</f>
        <v/>
      </c>
      <c r="R1507" t="str">
        <f t="shared" si="47"/>
        <v/>
      </c>
    </row>
    <row r="1508" spans="16:18" ht="22.95" customHeight="1">
      <c r="P1508">
        <f t="shared" si="46"/>
        <v>0</v>
      </c>
      <c r="Q1508" t="str">
        <f>IF(AND(P1508&gt;1,COUNTIF($E$6:E1508,E1508)=1),MAX($Q$5:Q1507)+1,"")</f>
        <v/>
      </c>
      <c r="R1508" t="str">
        <f t="shared" si="47"/>
        <v/>
      </c>
    </row>
    <row r="1509" spans="16:18" ht="22.95" customHeight="1">
      <c r="P1509">
        <f t="shared" si="46"/>
        <v>0</v>
      </c>
      <c r="Q1509" t="str">
        <f>IF(AND(P1509&gt;1,COUNTIF($E$6:E1509,E1509)=1),MAX($Q$5:Q1508)+1,"")</f>
        <v/>
      </c>
      <c r="R1509" t="str">
        <f t="shared" si="47"/>
        <v/>
      </c>
    </row>
    <row r="1510" spans="16:18" ht="22.95" customHeight="1">
      <c r="P1510">
        <f t="shared" si="46"/>
        <v>0</v>
      </c>
      <c r="Q1510" t="str">
        <f>IF(AND(P1510&gt;1,COUNTIF($E$6:E1510,E1510)=1),MAX($Q$5:Q1509)+1,"")</f>
        <v/>
      </c>
      <c r="R1510" t="str">
        <f t="shared" si="47"/>
        <v/>
      </c>
    </row>
    <row r="1511" spans="16:18" ht="22.95" customHeight="1">
      <c r="P1511">
        <f t="shared" si="46"/>
        <v>0</v>
      </c>
      <c r="Q1511" t="str">
        <f>IF(AND(P1511&gt;1,COUNTIF($E$6:E1511,E1511)=1),MAX($Q$5:Q1510)+1,"")</f>
        <v/>
      </c>
      <c r="R1511" t="str">
        <f t="shared" si="47"/>
        <v/>
      </c>
    </row>
    <row r="1512" spans="16:18" ht="22.95" customHeight="1">
      <c r="P1512">
        <f t="shared" si="46"/>
        <v>0</v>
      </c>
      <c r="Q1512" t="str">
        <f>IF(AND(P1512&gt;1,COUNTIF($E$6:E1512,E1512)=1),MAX($Q$5:Q1511)+1,"")</f>
        <v/>
      </c>
      <c r="R1512" t="str">
        <f t="shared" si="47"/>
        <v/>
      </c>
    </row>
    <row r="1513" spans="16:18" ht="22.95" customHeight="1">
      <c r="P1513">
        <f t="shared" si="46"/>
        <v>0</v>
      </c>
      <c r="Q1513" t="str">
        <f>IF(AND(P1513&gt;1,COUNTIF($E$6:E1513,E1513)=1),MAX($Q$5:Q1512)+1,"")</f>
        <v/>
      </c>
      <c r="R1513" t="str">
        <f t="shared" si="47"/>
        <v/>
      </c>
    </row>
    <row r="1514" spans="16:18" ht="22.95" customHeight="1">
      <c r="P1514">
        <f t="shared" si="46"/>
        <v>0</v>
      </c>
      <c r="Q1514" t="str">
        <f>IF(AND(P1514&gt;1,COUNTIF($E$6:E1514,E1514)=1),MAX($Q$5:Q1513)+1,"")</f>
        <v/>
      </c>
      <c r="R1514" t="str">
        <f t="shared" si="47"/>
        <v/>
      </c>
    </row>
    <row r="1515" spans="16:18" ht="22.95" customHeight="1">
      <c r="P1515">
        <f t="shared" si="46"/>
        <v>0</v>
      </c>
      <c r="Q1515" t="str">
        <f>IF(AND(P1515&gt;1,COUNTIF($E$6:E1515,E1515)=1),MAX($Q$5:Q1514)+1,"")</f>
        <v/>
      </c>
      <c r="R1515" t="str">
        <f t="shared" si="47"/>
        <v/>
      </c>
    </row>
    <row r="1516" spans="16:18" ht="22.95" customHeight="1">
      <c r="P1516">
        <f t="shared" si="46"/>
        <v>0</v>
      </c>
      <c r="Q1516" t="str">
        <f>IF(AND(P1516&gt;1,COUNTIF($E$6:E1516,E1516)=1),MAX($Q$5:Q1515)+1,"")</f>
        <v/>
      </c>
      <c r="R1516" t="str">
        <f t="shared" si="47"/>
        <v/>
      </c>
    </row>
    <row r="1517" spans="16:18" ht="22.95" customHeight="1">
      <c r="P1517">
        <f t="shared" si="46"/>
        <v>0</v>
      </c>
      <c r="Q1517" t="str">
        <f>IF(AND(P1517&gt;1,COUNTIF($E$6:E1517,E1517)=1),MAX($Q$5:Q1516)+1,"")</f>
        <v/>
      </c>
      <c r="R1517" t="str">
        <f t="shared" si="47"/>
        <v/>
      </c>
    </row>
    <row r="1518" spans="16:18" ht="22.95" customHeight="1">
      <c r="P1518">
        <f t="shared" si="46"/>
        <v>0</v>
      </c>
      <c r="Q1518" t="str">
        <f>IF(AND(P1518&gt;1,COUNTIF($E$6:E1518,E1518)=1),MAX($Q$5:Q1517)+1,"")</f>
        <v/>
      </c>
      <c r="R1518" t="str">
        <f t="shared" si="47"/>
        <v/>
      </c>
    </row>
    <row r="1519" spans="16:18" ht="22.95" customHeight="1">
      <c r="P1519">
        <f t="shared" si="46"/>
        <v>0</v>
      </c>
      <c r="Q1519" t="str">
        <f>IF(AND(P1519&gt;1,COUNTIF($E$6:E1519,E1519)=1),MAX($Q$5:Q1518)+1,"")</f>
        <v/>
      </c>
      <c r="R1519" t="str">
        <f t="shared" si="47"/>
        <v/>
      </c>
    </row>
    <row r="1520" spans="16:18" ht="22.95" customHeight="1">
      <c r="P1520">
        <f t="shared" si="46"/>
        <v>0</v>
      </c>
      <c r="Q1520" t="str">
        <f>IF(AND(P1520&gt;1,COUNTIF($E$6:E1520,E1520)=1),MAX($Q$5:Q1519)+1,"")</f>
        <v/>
      </c>
      <c r="R1520" t="str">
        <f t="shared" si="47"/>
        <v/>
      </c>
    </row>
    <row r="1521" spans="16:18" ht="22.95" customHeight="1">
      <c r="P1521">
        <f t="shared" si="46"/>
        <v>0</v>
      </c>
      <c r="Q1521" t="str">
        <f>IF(AND(P1521&gt;1,COUNTIF($E$6:E1521,E1521)=1),MAX($Q$5:Q1520)+1,"")</f>
        <v/>
      </c>
      <c r="R1521" t="str">
        <f t="shared" si="47"/>
        <v/>
      </c>
    </row>
    <row r="1522" spans="16:18" ht="22.95" customHeight="1">
      <c r="P1522">
        <f t="shared" si="46"/>
        <v>0</v>
      </c>
      <c r="Q1522" t="str">
        <f>IF(AND(P1522&gt;1,COUNTIF($E$6:E1522,E1522)=1),MAX($Q$5:Q1521)+1,"")</f>
        <v/>
      </c>
      <c r="R1522" t="str">
        <f t="shared" si="47"/>
        <v/>
      </c>
    </row>
    <row r="1523" spans="16:18" ht="22.95" customHeight="1">
      <c r="P1523">
        <f t="shared" si="46"/>
        <v>0</v>
      </c>
      <c r="Q1523" t="str">
        <f>IF(AND(P1523&gt;1,COUNTIF($E$6:E1523,E1523)=1),MAX($Q$5:Q1522)+1,"")</f>
        <v/>
      </c>
      <c r="R1523" t="str">
        <f t="shared" si="47"/>
        <v/>
      </c>
    </row>
    <row r="1524" spans="16:18" ht="22.95" customHeight="1">
      <c r="P1524">
        <f t="shared" si="46"/>
        <v>0</v>
      </c>
      <c r="Q1524" t="str">
        <f>IF(AND(P1524&gt;1,COUNTIF($E$6:E1524,E1524)=1),MAX($Q$5:Q1523)+1,"")</f>
        <v/>
      </c>
      <c r="R1524" t="str">
        <f t="shared" si="47"/>
        <v/>
      </c>
    </row>
    <row r="1525" spans="16:18" ht="22.95" customHeight="1">
      <c r="P1525">
        <f t="shared" si="46"/>
        <v>0</v>
      </c>
      <c r="Q1525" t="str">
        <f>IF(AND(P1525&gt;1,COUNTIF($E$6:E1525,E1525)=1),MAX($Q$5:Q1524)+1,"")</f>
        <v/>
      </c>
      <c r="R1525" t="str">
        <f t="shared" si="47"/>
        <v/>
      </c>
    </row>
    <row r="1526" spans="16:18" ht="22.95" customHeight="1">
      <c r="P1526">
        <f t="shared" si="46"/>
        <v>0</v>
      </c>
      <c r="Q1526" t="str">
        <f>IF(AND(P1526&gt;1,COUNTIF($E$6:E1526,E1526)=1),MAX($Q$5:Q1525)+1,"")</f>
        <v/>
      </c>
      <c r="R1526" t="str">
        <f t="shared" si="47"/>
        <v/>
      </c>
    </row>
    <row r="1527" spans="16:18" ht="22.95" customHeight="1">
      <c r="P1527">
        <f t="shared" si="46"/>
        <v>0</v>
      </c>
      <c r="Q1527" t="str">
        <f>IF(AND(P1527&gt;1,COUNTIF($E$6:E1527,E1527)=1),MAX($Q$5:Q1526)+1,"")</f>
        <v/>
      </c>
      <c r="R1527" t="str">
        <f t="shared" si="47"/>
        <v/>
      </c>
    </row>
    <row r="1528" spans="16:18" ht="22.95" customHeight="1">
      <c r="P1528">
        <f t="shared" si="46"/>
        <v>0</v>
      </c>
      <c r="Q1528" t="str">
        <f>IF(AND(P1528&gt;1,COUNTIF($E$6:E1528,E1528)=1),MAX($Q$5:Q1527)+1,"")</f>
        <v/>
      </c>
      <c r="R1528" t="str">
        <f t="shared" si="47"/>
        <v/>
      </c>
    </row>
    <row r="1529" spans="16:18" ht="22.95" customHeight="1">
      <c r="P1529">
        <f t="shared" si="46"/>
        <v>0</v>
      </c>
      <c r="Q1529" t="str">
        <f>IF(AND(P1529&gt;1,COUNTIF($E$6:E1529,E1529)=1),MAX($Q$5:Q1528)+1,"")</f>
        <v/>
      </c>
      <c r="R1529" t="str">
        <f t="shared" si="47"/>
        <v/>
      </c>
    </row>
    <row r="1530" spans="16:18" ht="22.95" customHeight="1">
      <c r="P1530">
        <f t="shared" si="46"/>
        <v>0</v>
      </c>
      <c r="Q1530" t="str">
        <f>IF(AND(P1530&gt;1,COUNTIF($E$6:E1530,E1530)=1),MAX($Q$5:Q1529)+1,"")</f>
        <v/>
      </c>
      <c r="R1530" t="str">
        <f t="shared" si="47"/>
        <v/>
      </c>
    </row>
    <row r="1531" spans="16:18" ht="22.95" customHeight="1">
      <c r="P1531">
        <f t="shared" si="46"/>
        <v>0</v>
      </c>
      <c r="Q1531" t="str">
        <f>IF(AND(P1531&gt;1,COUNTIF($E$6:E1531,E1531)=1),MAX($Q$5:Q1530)+1,"")</f>
        <v/>
      </c>
      <c r="R1531" t="str">
        <f t="shared" si="47"/>
        <v/>
      </c>
    </row>
    <row r="1532" spans="16:18" ht="22.95" customHeight="1">
      <c r="P1532">
        <f t="shared" si="46"/>
        <v>0</v>
      </c>
      <c r="Q1532" t="str">
        <f>IF(AND(P1532&gt;1,COUNTIF($E$6:E1532,E1532)=1),MAX($Q$5:Q1531)+1,"")</f>
        <v/>
      </c>
      <c r="R1532" t="str">
        <f t="shared" si="47"/>
        <v/>
      </c>
    </row>
    <row r="1533" spans="16:18" ht="22.95" customHeight="1">
      <c r="P1533">
        <f t="shared" si="46"/>
        <v>0</v>
      </c>
      <c r="Q1533" t="str">
        <f>IF(AND(P1533&gt;1,COUNTIF($E$6:E1533,E1533)=1),MAX($Q$5:Q1532)+1,"")</f>
        <v/>
      </c>
      <c r="R1533" t="str">
        <f t="shared" si="47"/>
        <v/>
      </c>
    </row>
    <row r="1534" spans="16:18" ht="22.95" customHeight="1">
      <c r="P1534">
        <f t="shared" si="46"/>
        <v>0</v>
      </c>
      <c r="Q1534" t="str">
        <f>IF(AND(P1534&gt;1,COUNTIF($E$6:E1534,E1534)=1),MAX($Q$5:Q1533)+1,"")</f>
        <v/>
      </c>
      <c r="R1534" t="str">
        <f t="shared" si="47"/>
        <v/>
      </c>
    </row>
    <row r="1535" spans="16:18" ht="22.95" customHeight="1">
      <c r="P1535">
        <f t="shared" si="46"/>
        <v>0</v>
      </c>
      <c r="Q1535" t="str">
        <f>IF(AND(P1535&gt;1,COUNTIF($E$6:E1535,E1535)=1),MAX($Q$5:Q1534)+1,"")</f>
        <v/>
      </c>
      <c r="R1535" t="str">
        <f t="shared" si="47"/>
        <v/>
      </c>
    </row>
    <row r="1536" spans="16:18" ht="22.95" customHeight="1">
      <c r="P1536">
        <f t="shared" si="46"/>
        <v>0</v>
      </c>
      <c r="Q1536" t="str">
        <f>IF(AND(P1536&gt;1,COUNTIF($E$6:E1536,E1536)=1),MAX($Q$5:Q1535)+1,"")</f>
        <v/>
      </c>
      <c r="R1536" t="str">
        <f t="shared" si="47"/>
        <v/>
      </c>
    </row>
    <row r="1537" spans="16:18" ht="22.95" customHeight="1">
      <c r="P1537">
        <f t="shared" si="46"/>
        <v>0</v>
      </c>
      <c r="Q1537" t="str">
        <f>IF(AND(P1537&gt;1,COUNTIF($E$6:E1537,E1537)=1),MAX($Q$5:Q1536)+1,"")</f>
        <v/>
      </c>
      <c r="R1537" t="str">
        <f t="shared" si="47"/>
        <v/>
      </c>
    </row>
    <row r="1538" spans="16:18" ht="22.95" customHeight="1">
      <c r="P1538">
        <f t="shared" si="46"/>
        <v>0</v>
      </c>
      <c r="Q1538" t="str">
        <f>IF(AND(P1538&gt;1,COUNTIF($E$6:E1538,E1538)=1),MAX($Q$5:Q1537)+1,"")</f>
        <v/>
      </c>
      <c r="R1538" t="str">
        <f t="shared" si="47"/>
        <v/>
      </c>
    </row>
    <row r="1539" spans="16:18" ht="22.95" customHeight="1">
      <c r="P1539">
        <f t="shared" si="46"/>
        <v>0</v>
      </c>
      <c r="Q1539" t="str">
        <f>IF(AND(P1539&gt;1,COUNTIF($E$6:E1539,E1539)=1),MAX($Q$5:Q1538)+1,"")</f>
        <v/>
      </c>
      <c r="R1539" t="str">
        <f t="shared" si="47"/>
        <v/>
      </c>
    </row>
    <row r="1540" spans="16:18" ht="22.95" customHeight="1">
      <c r="P1540">
        <f t="shared" si="46"/>
        <v>0</v>
      </c>
      <c r="Q1540" t="str">
        <f>IF(AND(P1540&gt;1,COUNTIF($E$6:E1540,E1540)=1),MAX($Q$5:Q1539)+1,"")</f>
        <v/>
      </c>
      <c r="R1540" t="str">
        <f t="shared" si="47"/>
        <v/>
      </c>
    </row>
    <row r="1541" spans="16:18" ht="22.95" customHeight="1">
      <c r="P1541">
        <f t="shared" si="46"/>
        <v>0</v>
      </c>
      <c r="Q1541" t="str">
        <f>IF(AND(P1541&gt;1,COUNTIF($E$6:E1541,E1541)=1),MAX($Q$5:Q1540)+1,"")</f>
        <v/>
      </c>
      <c r="R1541" t="str">
        <f t="shared" si="47"/>
        <v/>
      </c>
    </row>
    <row r="1542" spans="16:18" ht="22.95" customHeight="1">
      <c r="P1542">
        <f t="shared" ref="P1542:P1605" si="48">COUNTIF($E$6:$E$1740,E1542)</f>
        <v>0</v>
      </c>
      <c r="Q1542" t="str">
        <f>IF(AND(P1542&gt;1,COUNTIF($E$6:E1542,E1542)=1),MAX($Q$5:Q1541)+1,"")</f>
        <v/>
      </c>
      <c r="R1542" t="str">
        <f t="shared" ref="R1542:R1605" si="49">IF(Q1542="","",IF(COUNTIFS($E$6:$E$1740,E1542,$A$6:$A$1740,A1542,$C$6:$C$1740,C1542)&lt;P1542,"LÉGITIME",IF(COUNTIFS($E$6:$E$1740,E1542,$A$6:$A$1740,A1542,$C$6:$C$1740,C1542,$M$6:$M$1740,M1542)&lt;P1542,"STATUT DIFFÉRENT","VRAI DOUBLON")))</f>
        <v/>
      </c>
    </row>
    <row r="1543" spans="16:18" ht="22.95" customHeight="1">
      <c r="P1543">
        <f t="shared" si="48"/>
        <v>0</v>
      </c>
      <c r="Q1543" t="str">
        <f>IF(AND(P1543&gt;1,COUNTIF($E$6:E1543,E1543)=1),MAX($Q$5:Q1542)+1,"")</f>
        <v/>
      </c>
      <c r="R1543" t="str">
        <f t="shared" si="49"/>
        <v/>
      </c>
    </row>
    <row r="1544" spans="16:18" ht="22.95" customHeight="1">
      <c r="P1544">
        <f t="shared" si="48"/>
        <v>0</v>
      </c>
      <c r="Q1544" t="str">
        <f>IF(AND(P1544&gt;1,COUNTIF($E$6:E1544,E1544)=1),MAX($Q$5:Q1543)+1,"")</f>
        <v/>
      </c>
      <c r="R1544" t="str">
        <f t="shared" si="49"/>
        <v/>
      </c>
    </row>
    <row r="1545" spans="16:18" ht="22.95" customHeight="1">
      <c r="P1545">
        <f t="shared" si="48"/>
        <v>0</v>
      </c>
      <c r="Q1545" t="str">
        <f>IF(AND(P1545&gt;1,COUNTIF($E$6:E1545,E1545)=1),MAX($Q$5:Q1544)+1,"")</f>
        <v/>
      </c>
      <c r="R1545" t="str">
        <f t="shared" si="49"/>
        <v/>
      </c>
    </row>
    <row r="1546" spans="16:18" ht="22.95" customHeight="1">
      <c r="P1546">
        <f t="shared" si="48"/>
        <v>0</v>
      </c>
      <c r="Q1546" t="str">
        <f>IF(AND(P1546&gt;1,COUNTIF($E$6:E1546,E1546)=1),MAX($Q$5:Q1545)+1,"")</f>
        <v/>
      </c>
      <c r="R1546" t="str">
        <f t="shared" si="49"/>
        <v/>
      </c>
    </row>
    <row r="1547" spans="16:18" ht="22.95" customHeight="1">
      <c r="P1547">
        <f t="shared" si="48"/>
        <v>0</v>
      </c>
      <c r="Q1547" t="str">
        <f>IF(AND(P1547&gt;1,COUNTIF($E$6:E1547,E1547)=1),MAX($Q$5:Q1546)+1,"")</f>
        <v/>
      </c>
      <c r="R1547" t="str">
        <f t="shared" si="49"/>
        <v/>
      </c>
    </row>
    <row r="1548" spans="16:18" ht="22.95" customHeight="1">
      <c r="P1548">
        <f t="shared" si="48"/>
        <v>0</v>
      </c>
      <c r="Q1548" t="str">
        <f>IF(AND(P1548&gt;1,COUNTIF($E$6:E1548,E1548)=1),MAX($Q$5:Q1547)+1,"")</f>
        <v/>
      </c>
      <c r="R1548" t="str">
        <f t="shared" si="49"/>
        <v/>
      </c>
    </row>
    <row r="1549" spans="16:18" ht="22.95" customHeight="1">
      <c r="P1549">
        <f t="shared" si="48"/>
        <v>0</v>
      </c>
      <c r="Q1549" t="str">
        <f>IF(AND(P1549&gt;1,COUNTIF($E$6:E1549,E1549)=1),MAX($Q$5:Q1548)+1,"")</f>
        <v/>
      </c>
      <c r="R1549" t="str">
        <f t="shared" si="49"/>
        <v/>
      </c>
    </row>
    <row r="1550" spans="16:18" ht="22.95" customHeight="1">
      <c r="P1550">
        <f t="shared" si="48"/>
        <v>0</v>
      </c>
      <c r="Q1550" t="str">
        <f>IF(AND(P1550&gt;1,COUNTIF($E$6:E1550,E1550)=1),MAX($Q$5:Q1549)+1,"")</f>
        <v/>
      </c>
      <c r="R1550" t="str">
        <f t="shared" si="49"/>
        <v/>
      </c>
    </row>
    <row r="1551" spans="16:18" ht="22.95" customHeight="1">
      <c r="P1551">
        <f t="shared" si="48"/>
        <v>0</v>
      </c>
      <c r="Q1551" t="str">
        <f>IF(AND(P1551&gt;1,COUNTIF($E$6:E1551,E1551)=1),MAX($Q$5:Q1550)+1,"")</f>
        <v/>
      </c>
      <c r="R1551" t="str">
        <f t="shared" si="49"/>
        <v/>
      </c>
    </row>
    <row r="1552" spans="16:18" ht="22.95" customHeight="1">
      <c r="P1552">
        <f t="shared" si="48"/>
        <v>0</v>
      </c>
      <c r="Q1552" t="str">
        <f>IF(AND(P1552&gt;1,COUNTIF($E$6:E1552,E1552)=1),MAX($Q$5:Q1551)+1,"")</f>
        <v/>
      </c>
      <c r="R1552" t="str">
        <f t="shared" si="49"/>
        <v/>
      </c>
    </row>
    <row r="1553" spans="16:18" ht="22.95" customHeight="1">
      <c r="P1553">
        <f t="shared" si="48"/>
        <v>0</v>
      </c>
      <c r="Q1553" t="str">
        <f>IF(AND(P1553&gt;1,COUNTIF($E$6:E1553,E1553)=1),MAX($Q$5:Q1552)+1,"")</f>
        <v/>
      </c>
      <c r="R1553" t="str">
        <f t="shared" si="49"/>
        <v/>
      </c>
    </row>
    <row r="1554" spans="16:18" ht="22.95" customHeight="1">
      <c r="P1554">
        <f t="shared" si="48"/>
        <v>0</v>
      </c>
      <c r="Q1554" t="str">
        <f>IF(AND(P1554&gt;1,COUNTIF($E$6:E1554,E1554)=1),MAX($Q$5:Q1553)+1,"")</f>
        <v/>
      </c>
      <c r="R1554" t="str">
        <f t="shared" si="49"/>
        <v/>
      </c>
    </row>
    <row r="1555" spans="16:18" ht="22.95" customHeight="1">
      <c r="P1555">
        <f t="shared" si="48"/>
        <v>0</v>
      </c>
      <c r="Q1555" t="str">
        <f>IF(AND(P1555&gt;1,COUNTIF($E$6:E1555,E1555)=1),MAX($Q$5:Q1554)+1,"")</f>
        <v/>
      </c>
      <c r="R1555" t="str">
        <f t="shared" si="49"/>
        <v/>
      </c>
    </row>
    <row r="1556" spans="16:18" ht="22.95" customHeight="1">
      <c r="P1556">
        <f t="shared" si="48"/>
        <v>0</v>
      </c>
      <c r="Q1556" t="str">
        <f>IF(AND(P1556&gt;1,COUNTIF($E$6:E1556,E1556)=1),MAX($Q$5:Q1555)+1,"")</f>
        <v/>
      </c>
      <c r="R1556" t="str">
        <f t="shared" si="49"/>
        <v/>
      </c>
    </row>
    <row r="1557" spans="16:18" ht="22.95" customHeight="1">
      <c r="P1557">
        <f t="shared" si="48"/>
        <v>0</v>
      </c>
      <c r="Q1557" t="str">
        <f>IF(AND(P1557&gt;1,COUNTIF($E$6:E1557,E1557)=1),MAX($Q$5:Q1556)+1,"")</f>
        <v/>
      </c>
      <c r="R1557" t="str">
        <f t="shared" si="49"/>
        <v/>
      </c>
    </row>
    <row r="1558" spans="16:18" ht="22.95" customHeight="1">
      <c r="P1558">
        <f t="shared" si="48"/>
        <v>0</v>
      </c>
      <c r="Q1558" t="str">
        <f>IF(AND(P1558&gt;1,COUNTIF($E$6:E1558,E1558)=1),MAX($Q$5:Q1557)+1,"")</f>
        <v/>
      </c>
      <c r="R1558" t="str">
        <f t="shared" si="49"/>
        <v/>
      </c>
    </row>
    <row r="1559" spans="16:18" ht="22.95" customHeight="1">
      <c r="P1559">
        <f t="shared" si="48"/>
        <v>0</v>
      </c>
      <c r="Q1559" t="str">
        <f>IF(AND(P1559&gt;1,COUNTIF($E$6:E1559,E1559)=1),MAX($Q$5:Q1558)+1,"")</f>
        <v/>
      </c>
      <c r="R1559" t="str">
        <f t="shared" si="49"/>
        <v/>
      </c>
    </row>
    <row r="1560" spans="16:18" ht="22.95" customHeight="1">
      <c r="P1560">
        <f t="shared" si="48"/>
        <v>0</v>
      </c>
      <c r="Q1560" t="str">
        <f>IF(AND(P1560&gt;1,COUNTIF($E$6:E1560,E1560)=1),MAX($Q$5:Q1559)+1,"")</f>
        <v/>
      </c>
      <c r="R1560" t="str">
        <f t="shared" si="49"/>
        <v/>
      </c>
    </row>
    <row r="1561" spans="16:18" ht="22.95" customHeight="1">
      <c r="P1561">
        <f t="shared" si="48"/>
        <v>0</v>
      </c>
      <c r="Q1561" t="str">
        <f>IF(AND(P1561&gt;1,COUNTIF($E$6:E1561,E1561)=1),MAX($Q$5:Q1560)+1,"")</f>
        <v/>
      </c>
      <c r="R1561" t="str">
        <f t="shared" si="49"/>
        <v/>
      </c>
    </row>
    <row r="1562" spans="16:18" ht="22.95" customHeight="1">
      <c r="P1562">
        <f t="shared" si="48"/>
        <v>0</v>
      </c>
      <c r="Q1562" t="str">
        <f>IF(AND(P1562&gt;1,COUNTIF($E$6:E1562,E1562)=1),MAX($Q$5:Q1561)+1,"")</f>
        <v/>
      </c>
      <c r="R1562" t="str">
        <f t="shared" si="49"/>
        <v/>
      </c>
    </row>
    <row r="1563" spans="16:18" ht="22.95" customHeight="1">
      <c r="P1563">
        <f t="shared" si="48"/>
        <v>0</v>
      </c>
      <c r="Q1563" t="str">
        <f>IF(AND(P1563&gt;1,COUNTIF($E$6:E1563,E1563)=1),MAX($Q$5:Q1562)+1,"")</f>
        <v/>
      </c>
      <c r="R1563" t="str">
        <f t="shared" si="49"/>
        <v/>
      </c>
    </row>
    <row r="1564" spans="16:18" ht="22.95" customHeight="1">
      <c r="P1564">
        <f t="shared" si="48"/>
        <v>0</v>
      </c>
      <c r="Q1564" t="str">
        <f>IF(AND(P1564&gt;1,COUNTIF($E$6:E1564,E1564)=1),MAX($Q$5:Q1563)+1,"")</f>
        <v/>
      </c>
      <c r="R1564" t="str">
        <f t="shared" si="49"/>
        <v/>
      </c>
    </row>
    <row r="1565" spans="16:18" ht="22.95" customHeight="1">
      <c r="P1565">
        <f t="shared" si="48"/>
        <v>0</v>
      </c>
      <c r="Q1565" t="str">
        <f>IF(AND(P1565&gt;1,COUNTIF($E$6:E1565,E1565)=1),MAX($Q$5:Q1564)+1,"")</f>
        <v/>
      </c>
      <c r="R1565" t="str">
        <f t="shared" si="49"/>
        <v/>
      </c>
    </row>
    <row r="1566" spans="16:18" ht="22.95" customHeight="1">
      <c r="P1566">
        <f t="shared" si="48"/>
        <v>0</v>
      </c>
      <c r="Q1566" t="str">
        <f>IF(AND(P1566&gt;1,COUNTIF($E$6:E1566,E1566)=1),MAX($Q$5:Q1565)+1,"")</f>
        <v/>
      </c>
      <c r="R1566" t="str">
        <f t="shared" si="49"/>
        <v/>
      </c>
    </row>
    <row r="1567" spans="16:18" ht="22.95" customHeight="1">
      <c r="P1567">
        <f t="shared" si="48"/>
        <v>0</v>
      </c>
      <c r="Q1567" t="str">
        <f>IF(AND(P1567&gt;1,COUNTIF($E$6:E1567,E1567)=1),MAX($Q$5:Q1566)+1,"")</f>
        <v/>
      </c>
      <c r="R1567" t="str">
        <f t="shared" si="49"/>
        <v/>
      </c>
    </row>
    <row r="1568" spans="16:18" ht="22.95" customHeight="1">
      <c r="P1568">
        <f t="shared" si="48"/>
        <v>0</v>
      </c>
      <c r="Q1568" t="str">
        <f>IF(AND(P1568&gt;1,COUNTIF($E$6:E1568,E1568)=1),MAX($Q$5:Q1567)+1,"")</f>
        <v/>
      </c>
      <c r="R1568" t="str">
        <f t="shared" si="49"/>
        <v/>
      </c>
    </row>
    <row r="1569" spans="16:18" ht="22.95" customHeight="1">
      <c r="P1569">
        <f t="shared" si="48"/>
        <v>0</v>
      </c>
      <c r="Q1569" t="str">
        <f>IF(AND(P1569&gt;1,COUNTIF($E$6:E1569,E1569)=1),MAX($Q$5:Q1568)+1,"")</f>
        <v/>
      </c>
      <c r="R1569" t="str">
        <f t="shared" si="49"/>
        <v/>
      </c>
    </row>
    <row r="1570" spans="16:18" ht="22.95" customHeight="1">
      <c r="P1570">
        <f t="shared" si="48"/>
        <v>0</v>
      </c>
      <c r="Q1570" t="str">
        <f>IF(AND(P1570&gt;1,COUNTIF($E$6:E1570,E1570)=1),MAX($Q$5:Q1569)+1,"")</f>
        <v/>
      </c>
      <c r="R1570" t="str">
        <f t="shared" si="49"/>
        <v/>
      </c>
    </row>
    <row r="1571" spans="16:18" ht="22.95" customHeight="1">
      <c r="P1571">
        <f t="shared" si="48"/>
        <v>0</v>
      </c>
      <c r="Q1571" t="str">
        <f>IF(AND(P1571&gt;1,COUNTIF($E$6:E1571,E1571)=1),MAX($Q$5:Q1570)+1,"")</f>
        <v/>
      </c>
      <c r="R1571" t="str">
        <f t="shared" si="49"/>
        <v/>
      </c>
    </row>
    <row r="1572" spans="16:18" ht="22.95" customHeight="1">
      <c r="P1572">
        <f t="shared" si="48"/>
        <v>0</v>
      </c>
      <c r="Q1572" t="str">
        <f>IF(AND(P1572&gt;1,COUNTIF($E$6:E1572,E1572)=1),MAX($Q$5:Q1571)+1,"")</f>
        <v/>
      </c>
      <c r="R1572" t="str">
        <f t="shared" si="49"/>
        <v/>
      </c>
    </row>
    <row r="1573" spans="16:18" ht="22.95" customHeight="1">
      <c r="P1573">
        <f t="shared" si="48"/>
        <v>0</v>
      </c>
      <c r="Q1573" t="str">
        <f>IF(AND(P1573&gt;1,COUNTIF($E$6:E1573,E1573)=1),MAX($Q$5:Q1572)+1,"")</f>
        <v/>
      </c>
      <c r="R1573" t="str">
        <f t="shared" si="49"/>
        <v/>
      </c>
    </row>
    <row r="1574" spans="16:18" ht="22.95" customHeight="1">
      <c r="P1574">
        <f t="shared" si="48"/>
        <v>0</v>
      </c>
      <c r="Q1574" t="str">
        <f>IF(AND(P1574&gt;1,COUNTIF($E$6:E1574,E1574)=1),MAX($Q$5:Q1573)+1,"")</f>
        <v/>
      </c>
      <c r="R1574" t="str">
        <f t="shared" si="49"/>
        <v/>
      </c>
    </row>
    <row r="1575" spans="16:18" ht="22.95" customHeight="1">
      <c r="P1575">
        <f t="shared" si="48"/>
        <v>0</v>
      </c>
      <c r="Q1575" t="str">
        <f>IF(AND(P1575&gt;1,COUNTIF($E$6:E1575,E1575)=1),MAX($Q$5:Q1574)+1,"")</f>
        <v/>
      </c>
      <c r="R1575" t="str">
        <f t="shared" si="49"/>
        <v/>
      </c>
    </row>
    <row r="1576" spans="16:18" ht="22.95" customHeight="1">
      <c r="P1576">
        <f t="shared" si="48"/>
        <v>0</v>
      </c>
      <c r="Q1576" t="str">
        <f>IF(AND(P1576&gt;1,COUNTIF($E$6:E1576,E1576)=1),MAX($Q$5:Q1575)+1,"")</f>
        <v/>
      </c>
      <c r="R1576" t="str">
        <f t="shared" si="49"/>
        <v/>
      </c>
    </row>
    <row r="1577" spans="16:18" ht="22.95" customHeight="1">
      <c r="P1577">
        <f t="shared" si="48"/>
        <v>0</v>
      </c>
      <c r="Q1577" t="str">
        <f>IF(AND(P1577&gt;1,COUNTIF($E$6:E1577,E1577)=1),MAX($Q$5:Q1576)+1,"")</f>
        <v/>
      </c>
      <c r="R1577" t="str">
        <f t="shared" si="49"/>
        <v/>
      </c>
    </row>
    <row r="1578" spans="16:18" ht="22.95" customHeight="1">
      <c r="P1578">
        <f t="shared" si="48"/>
        <v>0</v>
      </c>
      <c r="Q1578" t="str">
        <f>IF(AND(P1578&gt;1,COUNTIF($E$6:E1578,E1578)=1),MAX($Q$5:Q1577)+1,"")</f>
        <v/>
      </c>
      <c r="R1578" t="str">
        <f t="shared" si="49"/>
        <v/>
      </c>
    </row>
    <row r="1579" spans="16:18" ht="22.95" customHeight="1">
      <c r="P1579">
        <f t="shared" si="48"/>
        <v>0</v>
      </c>
      <c r="Q1579" t="str">
        <f>IF(AND(P1579&gt;1,COUNTIF($E$6:E1579,E1579)=1),MAX($Q$5:Q1578)+1,"")</f>
        <v/>
      </c>
      <c r="R1579" t="str">
        <f t="shared" si="49"/>
        <v/>
      </c>
    </row>
    <row r="1580" spans="16:18" ht="22.95" customHeight="1">
      <c r="P1580">
        <f t="shared" si="48"/>
        <v>0</v>
      </c>
      <c r="Q1580" t="str">
        <f>IF(AND(P1580&gt;1,COUNTIF($E$6:E1580,E1580)=1),MAX($Q$5:Q1579)+1,"")</f>
        <v/>
      </c>
      <c r="R1580" t="str">
        <f t="shared" si="49"/>
        <v/>
      </c>
    </row>
    <row r="1581" spans="16:18" ht="22.95" customHeight="1">
      <c r="P1581">
        <f t="shared" si="48"/>
        <v>0</v>
      </c>
      <c r="Q1581" t="str">
        <f>IF(AND(P1581&gt;1,COUNTIF($E$6:E1581,E1581)=1),MAX($Q$5:Q1580)+1,"")</f>
        <v/>
      </c>
      <c r="R1581" t="str">
        <f t="shared" si="49"/>
        <v/>
      </c>
    </row>
    <row r="1582" spans="16:18" ht="22.95" customHeight="1">
      <c r="P1582">
        <f t="shared" si="48"/>
        <v>0</v>
      </c>
      <c r="Q1582" t="str">
        <f>IF(AND(P1582&gt;1,COUNTIF($E$6:E1582,E1582)=1),MAX($Q$5:Q1581)+1,"")</f>
        <v/>
      </c>
      <c r="R1582" t="str">
        <f t="shared" si="49"/>
        <v/>
      </c>
    </row>
    <row r="1583" spans="16:18" ht="22.95" customHeight="1">
      <c r="P1583">
        <f t="shared" si="48"/>
        <v>0</v>
      </c>
      <c r="Q1583" t="str">
        <f>IF(AND(P1583&gt;1,COUNTIF($E$6:E1583,E1583)=1),MAX($Q$5:Q1582)+1,"")</f>
        <v/>
      </c>
      <c r="R1583" t="str">
        <f t="shared" si="49"/>
        <v/>
      </c>
    </row>
    <row r="1584" spans="16:18" ht="22.95" customHeight="1">
      <c r="P1584">
        <f t="shared" si="48"/>
        <v>0</v>
      </c>
      <c r="Q1584" t="str">
        <f>IF(AND(P1584&gt;1,COUNTIF($E$6:E1584,E1584)=1),MAX($Q$5:Q1583)+1,"")</f>
        <v/>
      </c>
      <c r="R1584" t="str">
        <f t="shared" si="49"/>
        <v/>
      </c>
    </row>
    <row r="1585" spans="16:18" ht="22.95" customHeight="1">
      <c r="P1585">
        <f t="shared" si="48"/>
        <v>0</v>
      </c>
      <c r="Q1585" t="str">
        <f>IF(AND(P1585&gt;1,COUNTIF($E$6:E1585,E1585)=1),MAX($Q$5:Q1584)+1,"")</f>
        <v/>
      </c>
      <c r="R1585" t="str">
        <f t="shared" si="49"/>
        <v/>
      </c>
    </row>
    <row r="1586" spans="16:18" ht="22.95" customHeight="1">
      <c r="P1586">
        <f t="shared" si="48"/>
        <v>0</v>
      </c>
      <c r="Q1586" t="str">
        <f>IF(AND(P1586&gt;1,COUNTIF($E$6:E1586,E1586)=1),MAX($Q$5:Q1585)+1,"")</f>
        <v/>
      </c>
      <c r="R1586" t="str">
        <f t="shared" si="49"/>
        <v/>
      </c>
    </row>
    <row r="1587" spans="16:18" ht="22.95" customHeight="1">
      <c r="P1587">
        <f t="shared" si="48"/>
        <v>0</v>
      </c>
      <c r="Q1587" t="str">
        <f>IF(AND(P1587&gt;1,COUNTIF($E$6:E1587,E1587)=1),MAX($Q$5:Q1586)+1,"")</f>
        <v/>
      </c>
      <c r="R1587" t="str">
        <f t="shared" si="49"/>
        <v/>
      </c>
    </row>
    <row r="1588" spans="16:18" ht="22.95" customHeight="1">
      <c r="P1588">
        <f t="shared" si="48"/>
        <v>0</v>
      </c>
      <c r="Q1588" t="str">
        <f>IF(AND(P1588&gt;1,COUNTIF($E$6:E1588,E1588)=1),MAX($Q$5:Q1587)+1,"")</f>
        <v/>
      </c>
      <c r="R1588" t="str">
        <f t="shared" si="49"/>
        <v/>
      </c>
    </row>
    <row r="1589" spans="16:18" ht="22.95" customHeight="1">
      <c r="P1589">
        <f t="shared" si="48"/>
        <v>0</v>
      </c>
      <c r="Q1589" t="str">
        <f>IF(AND(P1589&gt;1,COUNTIF($E$6:E1589,E1589)=1),MAX($Q$5:Q1588)+1,"")</f>
        <v/>
      </c>
      <c r="R1589" t="str">
        <f t="shared" si="49"/>
        <v/>
      </c>
    </row>
    <row r="1590" spans="16:18" ht="22.95" customHeight="1">
      <c r="P1590">
        <f t="shared" si="48"/>
        <v>0</v>
      </c>
      <c r="Q1590" t="str">
        <f>IF(AND(P1590&gt;1,COUNTIF($E$6:E1590,E1590)=1),MAX($Q$5:Q1589)+1,"")</f>
        <v/>
      </c>
      <c r="R1590" t="str">
        <f t="shared" si="49"/>
        <v/>
      </c>
    </row>
    <row r="1591" spans="16:18" ht="22.95" customHeight="1">
      <c r="P1591">
        <f t="shared" si="48"/>
        <v>0</v>
      </c>
      <c r="Q1591" t="str">
        <f>IF(AND(P1591&gt;1,COUNTIF($E$6:E1591,E1591)=1),MAX($Q$5:Q1590)+1,"")</f>
        <v/>
      </c>
      <c r="R1591" t="str">
        <f t="shared" si="49"/>
        <v/>
      </c>
    </row>
    <row r="1592" spans="16:18" ht="22.95" customHeight="1">
      <c r="P1592">
        <f t="shared" si="48"/>
        <v>0</v>
      </c>
      <c r="Q1592" t="str">
        <f>IF(AND(P1592&gt;1,COUNTIF($E$6:E1592,E1592)=1),MAX($Q$5:Q1591)+1,"")</f>
        <v/>
      </c>
      <c r="R1592" t="str">
        <f t="shared" si="49"/>
        <v/>
      </c>
    </row>
    <row r="1593" spans="16:18" ht="22.95" customHeight="1">
      <c r="P1593">
        <f t="shared" si="48"/>
        <v>0</v>
      </c>
      <c r="Q1593" t="str">
        <f>IF(AND(P1593&gt;1,COUNTIF($E$6:E1593,E1593)=1),MAX($Q$5:Q1592)+1,"")</f>
        <v/>
      </c>
      <c r="R1593" t="str">
        <f t="shared" si="49"/>
        <v/>
      </c>
    </row>
    <row r="1594" spans="16:18" ht="22.95" customHeight="1">
      <c r="P1594">
        <f t="shared" si="48"/>
        <v>0</v>
      </c>
      <c r="Q1594" t="str">
        <f>IF(AND(P1594&gt;1,COUNTIF($E$6:E1594,E1594)=1),MAX($Q$5:Q1593)+1,"")</f>
        <v/>
      </c>
      <c r="R1594" t="str">
        <f t="shared" si="49"/>
        <v/>
      </c>
    </row>
    <row r="1595" spans="16:18" ht="22.95" customHeight="1">
      <c r="P1595">
        <f t="shared" si="48"/>
        <v>0</v>
      </c>
      <c r="Q1595" t="str">
        <f>IF(AND(P1595&gt;1,COUNTIF($E$6:E1595,E1595)=1),MAX($Q$5:Q1594)+1,"")</f>
        <v/>
      </c>
      <c r="R1595" t="str">
        <f t="shared" si="49"/>
        <v/>
      </c>
    </row>
    <row r="1596" spans="16:18" ht="22.95" customHeight="1">
      <c r="P1596">
        <f t="shared" si="48"/>
        <v>0</v>
      </c>
      <c r="Q1596" t="str">
        <f>IF(AND(P1596&gt;1,COUNTIF($E$6:E1596,E1596)=1),MAX($Q$5:Q1595)+1,"")</f>
        <v/>
      </c>
      <c r="R1596" t="str">
        <f t="shared" si="49"/>
        <v/>
      </c>
    </row>
    <row r="1597" spans="16:18" ht="22.95" customHeight="1">
      <c r="P1597">
        <f t="shared" si="48"/>
        <v>0</v>
      </c>
      <c r="Q1597" t="str">
        <f>IF(AND(P1597&gt;1,COUNTIF($E$6:E1597,E1597)=1),MAX($Q$5:Q1596)+1,"")</f>
        <v/>
      </c>
      <c r="R1597" t="str">
        <f t="shared" si="49"/>
        <v/>
      </c>
    </row>
    <row r="1598" spans="16:18" ht="22.95" customHeight="1">
      <c r="P1598">
        <f t="shared" si="48"/>
        <v>0</v>
      </c>
      <c r="Q1598" t="str">
        <f>IF(AND(P1598&gt;1,COUNTIF($E$6:E1598,E1598)=1),MAX($Q$5:Q1597)+1,"")</f>
        <v/>
      </c>
      <c r="R1598" t="str">
        <f t="shared" si="49"/>
        <v/>
      </c>
    </row>
    <row r="1599" spans="16:18" ht="22.95" customHeight="1">
      <c r="P1599">
        <f t="shared" si="48"/>
        <v>0</v>
      </c>
      <c r="Q1599" t="str">
        <f>IF(AND(P1599&gt;1,COUNTIF($E$6:E1599,E1599)=1),MAX($Q$5:Q1598)+1,"")</f>
        <v/>
      </c>
      <c r="R1599" t="str">
        <f t="shared" si="49"/>
        <v/>
      </c>
    </row>
    <row r="1600" spans="16:18" ht="22.95" customHeight="1">
      <c r="P1600">
        <f t="shared" si="48"/>
        <v>0</v>
      </c>
      <c r="Q1600" t="str">
        <f>IF(AND(P1600&gt;1,COUNTIF($E$6:E1600,E1600)=1),MAX($Q$5:Q1599)+1,"")</f>
        <v/>
      </c>
      <c r="R1600" t="str">
        <f t="shared" si="49"/>
        <v/>
      </c>
    </row>
    <row r="1601" spans="16:18" ht="22.95" customHeight="1">
      <c r="P1601">
        <f t="shared" si="48"/>
        <v>0</v>
      </c>
      <c r="Q1601" t="str">
        <f>IF(AND(P1601&gt;1,COUNTIF($E$6:E1601,E1601)=1),MAX($Q$5:Q1600)+1,"")</f>
        <v/>
      </c>
      <c r="R1601" t="str">
        <f t="shared" si="49"/>
        <v/>
      </c>
    </row>
    <row r="1602" spans="16:18" ht="22.95" customHeight="1">
      <c r="P1602">
        <f t="shared" si="48"/>
        <v>0</v>
      </c>
      <c r="Q1602" t="str">
        <f>IF(AND(P1602&gt;1,COUNTIF($E$6:E1602,E1602)=1),MAX($Q$5:Q1601)+1,"")</f>
        <v/>
      </c>
      <c r="R1602" t="str">
        <f t="shared" si="49"/>
        <v/>
      </c>
    </row>
    <row r="1603" spans="16:18" ht="22.95" customHeight="1">
      <c r="P1603">
        <f t="shared" si="48"/>
        <v>0</v>
      </c>
      <c r="Q1603" t="str">
        <f>IF(AND(P1603&gt;1,COUNTIF($E$6:E1603,E1603)=1),MAX($Q$5:Q1602)+1,"")</f>
        <v/>
      </c>
      <c r="R1603" t="str">
        <f t="shared" si="49"/>
        <v/>
      </c>
    </row>
    <row r="1604" spans="16:18" ht="22.95" customHeight="1">
      <c r="P1604">
        <f t="shared" si="48"/>
        <v>0</v>
      </c>
      <c r="Q1604" t="str">
        <f>IF(AND(P1604&gt;1,COUNTIF($E$6:E1604,E1604)=1),MAX($Q$5:Q1603)+1,"")</f>
        <v/>
      </c>
      <c r="R1604" t="str">
        <f t="shared" si="49"/>
        <v/>
      </c>
    </row>
    <row r="1605" spans="16:18" ht="22.95" customHeight="1">
      <c r="P1605">
        <f t="shared" si="48"/>
        <v>0</v>
      </c>
      <c r="Q1605" t="str">
        <f>IF(AND(P1605&gt;1,COUNTIF($E$6:E1605,E1605)=1),MAX($Q$5:Q1604)+1,"")</f>
        <v/>
      </c>
      <c r="R1605" t="str">
        <f t="shared" si="49"/>
        <v/>
      </c>
    </row>
    <row r="1606" spans="16:18" ht="22.95" customHeight="1">
      <c r="P1606">
        <f t="shared" ref="P1606:P1669" si="50">COUNTIF($E$6:$E$1740,E1606)</f>
        <v>0</v>
      </c>
      <c r="Q1606" t="str">
        <f>IF(AND(P1606&gt;1,COUNTIF($E$6:E1606,E1606)=1),MAX($Q$5:Q1605)+1,"")</f>
        <v/>
      </c>
      <c r="R1606" t="str">
        <f t="shared" ref="R1606:R1669" si="51">IF(Q1606="","",IF(COUNTIFS($E$6:$E$1740,E1606,$A$6:$A$1740,A1606,$C$6:$C$1740,C1606)&lt;P1606,"LÉGITIME",IF(COUNTIFS($E$6:$E$1740,E1606,$A$6:$A$1740,A1606,$C$6:$C$1740,C1606,$M$6:$M$1740,M1606)&lt;P1606,"STATUT DIFFÉRENT","VRAI DOUBLON")))</f>
        <v/>
      </c>
    </row>
    <row r="1607" spans="16:18" ht="22.95" customHeight="1">
      <c r="P1607">
        <f t="shared" si="50"/>
        <v>0</v>
      </c>
      <c r="Q1607" t="str">
        <f>IF(AND(P1607&gt;1,COUNTIF($E$6:E1607,E1607)=1),MAX($Q$5:Q1606)+1,"")</f>
        <v/>
      </c>
      <c r="R1607" t="str">
        <f t="shared" si="51"/>
        <v/>
      </c>
    </row>
    <row r="1608" spans="16:18" ht="22.95" customHeight="1">
      <c r="P1608">
        <f t="shared" si="50"/>
        <v>0</v>
      </c>
      <c r="Q1608" t="str">
        <f>IF(AND(P1608&gt;1,COUNTIF($E$6:E1608,E1608)=1),MAX($Q$5:Q1607)+1,"")</f>
        <v/>
      </c>
      <c r="R1608" t="str">
        <f t="shared" si="51"/>
        <v/>
      </c>
    </row>
    <row r="1609" spans="16:18" ht="22.95" customHeight="1">
      <c r="P1609">
        <f t="shared" si="50"/>
        <v>0</v>
      </c>
      <c r="Q1609" t="str">
        <f>IF(AND(P1609&gt;1,COUNTIF($E$6:E1609,E1609)=1),MAX($Q$5:Q1608)+1,"")</f>
        <v/>
      </c>
      <c r="R1609" t="str">
        <f t="shared" si="51"/>
        <v/>
      </c>
    </row>
    <row r="1610" spans="16:18" ht="22.95" customHeight="1">
      <c r="P1610">
        <f t="shared" si="50"/>
        <v>0</v>
      </c>
      <c r="Q1610" t="str">
        <f>IF(AND(P1610&gt;1,COUNTIF($E$6:E1610,E1610)=1),MAX($Q$5:Q1609)+1,"")</f>
        <v/>
      </c>
      <c r="R1610" t="str">
        <f t="shared" si="51"/>
        <v/>
      </c>
    </row>
    <row r="1611" spans="16:18" ht="22.95" customHeight="1">
      <c r="P1611">
        <f t="shared" si="50"/>
        <v>0</v>
      </c>
      <c r="Q1611" t="str">
        <f>IF(AND(P1611&gt;1,COUNTIF($E$6:E1611,E1611)=1),MAX($Q$5:Q1610)+1,"")</f>
        <v/>
      </c>
      <c r="R1611" t="str">
        <f t="shared" si="51"/>
        <v/>
      </c>
    </row>
    <row r="1612" spans="16:18" ht="22.95" customHeight="1">
      <c r="P1612">
        <f t="shared" si="50"/>
        <v>0</v>
      </c>
      <c r="Q1612" t="str">
        <f>IF(AND(P1612&gt;1,COUNTIF($E$6:E1612,E1612)=1),MAX($Q$5:Q1611)+1,"")</f>
        <v/>
      </c>
      <c r="R1612" t="str">
        <f t="shared" si="51"/>
        <v/>
      </c>
    </row>
    <row r="1613" spans="16:18" ht="22.95" customHeight="1">
      <c r="P1613">
        <f t="shared" si="50"/>
        <v>0</v>
      </c>
      <c r="Q1613" t="str">
        <f>IF(AND(P1613&gt;1,COUNTIF($E$6:E1613,E1613)=1),MAX($Q$5:Q1612)+1,"")</f>
        <v/>
      </c>
      <c r="R1613" t="str">
        <f t="shared" si="51"/>
        <v/>
      </c>
    </row>
    <row r="1614" spans="16:18" ht="22.95" customHeight="1">
      <c r="P1614">
        <f t="shared" si="50"/>
        <v>0</v>
      </c>
      <c r="Q1614" t="str">
        <f>IF(AND(P1614&gt;1,COUNTIF($E$6:E1614,E1614)=1),MAX($Q$5:Q1613)+1,"")</f>
        <v/>
      </c>
      <c r="R1614" t="str">
        <f t="shared" si="51"/>
        <v/>
      </c>
    </row>
    <row r="1615" spans="16:18" ht="22.95" customHeight="1">
      <c r="P1615">
        <f t="shared" si="50"/>
        <v>0</v>
      </c>
      <c r="Q1615" t="str">
        <f>IF(AND(P1615&gt;1,COUNTIF($E$6:E1615,E1615)=1),MAX($Q$5:Q1614)+1,"")</f>
        <v/>
      </c>
      <c r="R1615" t="str">
        <f t="shared" si="51"/>
        <v/>
      </c>
    </row>
    <row r="1616" spans="16:18" ht="22.95" customHeight="1">
      <c r="P1616">
        <f t="shared" si="50"/>
        <v>0</v>
      </c>
      <c r="Q1616" t="str">
        <f>IF(AND(P1616&gt;1,COUNTIF($E$6:E1616,E1616)=1),MAX($Q$5:Q1615)+1,"")</f>
        <v/>
      </c>
      <c r="R1616" t="str">
        <f t="shared" si="51"/>
        <v/>
      </c>
    </row>
    <row r="1617" spans="16:18" ht="22.95" customHeight="1">
      <c r="P1617">
        <f t="shared" si="50"/>
        <v>0</v>
      </c>
      <c r="Q1617" t="str">
        <f>IF(AND(P1617&gt;1,COUNTIF($E$6:E1617,E1617)=1),MAX($Q$5:Q1616)+1,"")</f>
        <v/>
      </c>
      <c r="R1617" t="str">
        <f t="shared" si="51"/>
        <v/>
      </c>
    </row>
    <row r="1618" spans="16:18" ht="22.95" customHeight="1">
      <c r="P1618">
        <f t="shared" si="50"/>
        <v>0</v>
      </c>
      <c r="Q1618" t="str">
        <f>IF(AND(P1618&gt;1,COUNTIF($E$6:E1618,E1618)=1),MAX($Q$5:Q1617)+1,"")</f>
        <v/>
      </c>
      <c r="R1618" t="str">
        <f t="shared" si="51"/>
        <v/>
      </c>
    </row>
    <row r="1619" spans="16:18" ht="22.95" customHeight="1">
      <c r="P1619">
        <f t="shared" si="50"/>
        <v>0</v>
      </c>
      <c r="Q1619" t="str">
        <f>IF(AND(P1619&gt;1,COUNTIF($E$6:E1619,E1619)=1),MAX($Q$5:Q1618)+1,"")</f>
        <v/>
      </c>
      <c r="R1619" t="str">
        <f t="shared" si="51"/>
        <v/>
      </c>
    </row>
    <row r="1620" spans="16:18" ht="22.95" customHeight="1">
      <c r="P1620">
        <f t="shared" si="50"/>
        <v>0</v>
      </c>
      <c r="Q1620" t="str">
        <f>IF(AND(P1620&gt;1,COUNTIF($E$6:E1620,E1620)=1),MAX($Q$5:Q1619)+1,"")</f>
        <v/>
      </c>
      <c r="R1620" t="str">
        <f t="shared" si="51"/>
        <v/>
      </c>
    </row>
    <row r="1621" spans="16:18" ht="22.95" customHeight="1">
      <c r="P1621">
        <f t="shared" si="50"/>
        <v>0</v>
      </c>
      <c r="Q1621" t="str">
        <f>IF(AND(P1621&gt;1,COUNTIF($E$6:E1621,E1621)=1),MAX($Q$5:Q1620)+1,"")</f>
        <v/>
      </c>
      <c r="R1621" t="str">
        <f t="shared" si="51"/>
        <v/>
      </c>
    </row>
    <row r="1622" spans="16:18" ht="22.95" customHeight="1">
      <c r="P1622">
        <f t="shared" si="50"/>
        <v>0</v>
      </c>
      <c r="Q1622" t="str">
        <f>IF(AND(P1622&gt;1,COUNTIF($E$6:E1622,E1622)=1),MAX($Q$5:Q1621)+1,"")</f>
        <v/>
      </c>
      <c r="R1622" t="str">
        <f t="shared" si="51"/>
        <v/>
      </c>
    </row>
    <row r="1623" spans="16:18" ht="22.95" customHeight="1">
      <c r="P1623">
        <f t="shared" si="50"/>
        <v>0</v>
      </c>
      <c r="Q1623" t="str">
        <f>IF(AND(P1623&gt;1,COUNTIF($E$6:E1623,E1623)=1),MAX($Q$5:Q1622)+1,"")</f>
        <v/>
      </c>
      <c r="R1623" t="str">
        <f t="shared" si="51"/>
        <v/>
      </c>
    </row>
    <row r="1624" spans="16:18" ht="22.95" customHeight="1">
      <c r="P1624">
        <f t="shared" si="50"/>
        <v>0</v>
      </c>
      <c r="Q1624" t="str">
        <f>IF(AND(P1624&gt;1,COUNTIF($E$6:E1624,E1624)=1),MAX($Q$5:Q1623)+1,"")</f>
        <v/>
      </c>
      <c r="R1624" t="str">
        <f t="shared" si="51"/>
        <v/>
      </c>
    </row>
    <row r="1625" spans="16:18" ht="22.95" customHeight="1">
      <c r="P1625">
        <f t="shared" si="50"/>
        <v>0</v>
      </c>
      <c r="Q1625" t="str">
        <f>IF(AND(P1625&gt;1,COUNTIF($E$6:E1625,E1625)=1),MAX($Q$5:Q1624)+1,"")</f>
        <v/>
      </c>
      <c r="R1625" t="str">
        <f t="shared" si="51"/>
        <v/>
      </c>
    </row>
    <row r="1626" spans="16:18" ht="22.95" customHeight="1">
      <c r="P1626">
        <f t="shared" si="50"/>
        <v>0</v>
      </c>
      <c r="Q1626" t="str">
        <f>IF(AND(P1626&gt;1,COUNTIF($E$6:E1626,E1626)=1),MAX($Q$5:Q1625)+1,"")</f>
        <v/>
      </c>
      <c r="R1626" t="str">
        <f t="shared" si="51"/>
        <v/>
      </c>
    </row>
    <row r="1627" spans="16:18" ht="22.95" customHeight="1">
      <c r="P1627">
        <f t="shared" si="50"/>
        <v>0</v>
      </c>
      <c r="Q1627" t="str">
        <f>IF(AND(P1627&gt;1,COUNTIF($E$6:E1627,E1627)=1),MAX($Q$5:Q1626)+1,"")</f>
        <v/>
      </c>
      <c r="R1627" t="str">
        <f t="shared" si="51"/>
        <v/>
      </c>
    </row>
    <row r="1628" spans="16:18" ht="22.95" customHeight="1">
      <c r="P1628">
        <f t="shared" si="50"/>
        <v>0</v>
      </c>
      <c r="Q1628" t="str">
        <f>IF(AND(P1628&gt;1,COUNTIF($E$6:E1628,E1628)=1),MAX($Q$5:Q1627)+1,"")</f>
        <v/>
      </c>
      <c r="R1628" t="str">
        <f t="shared" si="51"/>
        <v/>
      </c>
    </row>
    <row r="1629" spans="16:18" ht="22.95" customHeight="1">
      <c r="P1629">
        <f t="shared" si="50"/>
        <v>0</v>
      </c>
      <c r="Q1629" t="str">
        <f>IF(AND(P1629&gt;1,COUNTIF($E$6:E1629,E1629)=1),MAX($Q$5:Q1628)+1,"")</f>
        <v/>
      </c>
      <c r="R1629" t="str">
        <f t="shared" si="51"/>
        <v/>
      </c>
    </row>
    <row r="1630" spans="16:18" ht="22.95" customHeight="1">
      <c r="P1630">
        <f t="shared" si="50"/>
        <v>0</v>
      </c>
      <c r="Q1630" t="str">
        <f>IF(AND(P1630&gt;1,COUNTIF($E$6:E1630,E1630)=1),MAX($Q$5:Q1629)+1,"")</f>
        <v/>
      </c>
      <c r="R1630" t="str">
        <f t="shared" si="51"/>
        <v/>
      </c>
    </row>
    <row r="1631" spans="16:18" ht="22.95" customHeight="1">
      <c r="P1631">
        <f t="shared" si="50"/>
        <v>0</v>
      </c>
      <c r="Q1631" t="str">
        <f>IF(AND(P1631&gt;1,COUNTIF($E$6:E1631,E1631)=1),MAX($Q$5:Q1630)+1,"")</f>
        <v/>
      </c>
      <c r="R1631" t="str">
        <f t="shared" si="51"/>
        <v/>
      </c>
    </row>
    <row r="1632" spans="16:18" ht="22.95" customHeight="1">
      <c r="P1632">
        <f t="shared" si="50"/>
        <v>0</v>
      </c>
      <c r="Q1632" t="str">
        <f>IF(AND(P1632&gt;1,COUNTIF($E$6:E1632,E1632)=1),MAX($Q$5:Q1631)+1,"")</f>
        <v/>
      </c>
      <c r="R1632" t="str">
        <f t="shared" si="51"/>
        <v/>
      </c>
    </row>
    <row r="1633" spans="16:18" ht="22.95" customHeight="1">
      <c r="P1633">
        <f t="shared" si="50"/>
        <v>0</v>
      </c>
      <c r="Q1633" t="str">
        <f>IF(AND(P1633&gt;1,COUNTIF($E$6:E1633,E1633)=1),MAX($Q$5:Q1632)+1,"")</f>
        <v/>
      </c>
      <c r="R1633" t="str">
        <f t="shared" si="51"/>
        <v/>
      </c>
    </row>
    <row r="1634" spans="16:18" ht="22.95" customHeight="1">
      <c r="P1634">
        <f t="shared" si="50"/>
        <v>0</v>
      </c>
      <c r="Q1634" t="str">
        <f>IF(AND(P1634&gt;1,COUNTIF($E$6:E1634,E1634)=1),MAX($Q$5:Q1633)+1,"")</f>
        <v/>
      </c>
      <c r="R1634" t="str">
        <f t="shared" si="51"/>
        <v/>
      </c>
    </row>
    <row r="1635" spans="16:18" ht="22.95" customHeight="1">
      <c r="P1635">
        <f t="shared" si="50"/>
        <v>0</v>
      </c>
      <c r="Q1635" t="str">
        <f>IF(AND(P1635&gt;1,COUNTIF($E$6:E1635,E1635)=1),MAX($Q$5:Q1634)+1,"")</f>
        <v/>
      </c>
      <c r="R1635" t="str">
        <f t="shared" si="51"/>
        <v/>
      </c>
    </row>
    <row r="1636" spans="16:18" ht="22.95" customHeight="1">
      <c r="P1636">
        <f t="shared" si="50"/>
        <v>0</v>
      </c>
      <c r="Q1636" t="str">
        <f>IF(AND(P1636&gt;1,COUNTIF($E$6:E1636,E1636)=1),MAX($Q$5:Q1635)+1,"")</f>
        <v/>
      </c>
      <c r="R1636" t="str">
        <f t="shared" si="51"/>
        <v/>
      </c>
    </row>
    <row r="1637" spans="16:18" ht="22.95" customHeight="1">
      <c r="P1637">
        <f t="shared" si="50"/>
        <v>0</v>
      </c>
      <c r="Q1637" t="str">
        <f>IF(AND(P1637&gt;1,COUNTIF($E$6:E1637,E1637)=1),MAX($Q$5:Q1636)+1,"")</f>
        <v/>
      </c>
      <c r="R1637" t="str">
        <f t="shared" si="51"/>
        <v/>
      </c>
    </row>
    <row r="1638" spans="16:18" ht="22.95" customHeight="1">
      <c r="P1638">
        <f t="shared" si="50"/>
        <v>0</v>
      </c>
      <c r="Q1638" t="str">
        <f>IF(AND(P1638&gt;1,COUNTIF($E$6:E1638,E1638)=1),MAX($Q$5:Q1637)+1,"")</f>
        <v/>
      </c>
      <c r="R1638" t="str">
        <f t="shared" si="51"/>
        <v/>
      </c>
    </row>
    <row r="1639" spans="16:18" ht="22.95" customHeight="1">
      <c r="P1639">
        <f t="shared" si="50"/>
        <v>0</v>
      </c>
      <c r="Q1639" t="str">
        <f>IF(AND(P1639&gt;1,COUNTIF($E$6:E1639,E1639)=1),MAX($Q$5:Q1638)+1,"")</f>
        <v/>
      </c>
      <c r="R1639" t="str">
        <f t="shared" si="51"/>
        <v/>
      </c>
    </row>
    <row r="1640" spans="16:18" ht="22.95" customHeight="1">
      <c r="P1640">
        <f t="shared" si="50"/>
        <v>0</v>
      </c>
      <c r="Q1640" t="str">
        <f>IF(AND(P1640&gt;1,COUNTIF($E$6:E1640,E1640)=1),MAX($Q$5:Q1639)+1,"")</f>
        <v/>
      </c>
      <c r="R1640" t="str">
        <f t="shared" si="51"/>
        <v/>
      </c>
    </row>
    <row r="1641" spans="16:18" ht="22.95" customHeight="1">
      <c r="P1641">
        <f t="shared" si="50"/>
        <v>0</v>
      </c>
      <c r="Q1641" t="str">
        <f>IF(AND(P1641&gt;1,COUNTIF($E$6:E1641,E1641)=1),MAX($Q$5:Q1640)+1,"")</f>
        <v/>
      </c>
      <c r="R1641" t="str">
        <f t="shared" si="51"/>
        <v/>
      </c>
    </row>
    <row r="1642" spans="16:18" ht="22.95" customHeight="1">
      <c r="P1642">
        <f t="shared" si="50"/>
        <v>0</v>
      </c>
      <c r="Q1642" t="str">
        <f>IF(AND(P1642&gt;1,COUNTIF($E$6:E1642,E1642)=1),MAX($Q$5:Q1641)+1,"")</f>
        <v/>
      </c>
      <c r="R1642" t="str">
        <f t="shared" si="51"/>
        <v/>
      </c>
    </row>
    <row r="1643" spans="16:18" ht="22.95" customHeight="1">
      <c r="P1643">
        <f t="shared" si="50"/>
        <v>0</v>
      </c>
      <c r="Q1643" t="str">
        <f>IF(AND(P1643&gt;1,COUNTIF($E$6:E1643,E1643)=1),MAX($Q$5:Q1642)+1,"")</f>
        <v/>
      </c>
      <c r="R1643" t="str">
        <f t="shared" si="51"/>
        <v/>
      </c>
    </row>
    <row r="1644" spans="16:18" ht="22.95" customHeight="1">
      <c r="P1644">
        <f t="shared" si="50"/>
        <v>0</v>
      </c>
      <c r="Q1644" t="str">
        <f>IF(AND(P1644&gt;1,COUNTIF($E$6:E1644,E1644)=1),MAX($Q$5:Q1643)+1,"")</f>
        <v/>
      </c>
      <c r="R1644" t="str">
        <f t="shared" si="51"/>
        <v/>
      </c>
    </row>
    <row r="1645" spans="16:18" ht="22.95" customHeight="1">
      <c r="P1645">
        <f t="shared" si="50"/>
        <v>0</v>
      </c>
      <c r="Q1645" t="str">
        <f>IF(AND(P1645&gt;1,COUNTIF($E$6:E1645,E1645)=1),MAX($Q$5:Q1644)+1,"")</f>
        <v/>
      </c>
      <c r="R1645" t="str">
        <f t="shared" si="51"/>
        <v/>
      </c>
    </row>
    <row r="1646" spans="16:18" ht="22.95" customHeight="1">
      <c r="P1646">
        <f t="shared" si="50"/>
        <v>0</v>
      </c>
      <c r="Q1646" t="str">
        <f>IF(AND(P1646&gt;1,COUNTIF($E$6:E1646,E1646)=1),MAX($Q$5:Q1645)+1,"")</f>
        <v/>
      </c>
      <c r="R1646" t="str">
        <f t="shared" si="51"/>
        <v/>
      </c>
    </row>
    <row r="1647" spans="16:18" ht="22.95" customHeight="1">
      <c r="P1647">
        <f t="shared" si="50"/>
        <v>0</v>
      </c>
      <c r="Q1647" t="str">
        <f>IF(AND(P1647&gt;1,COUNTIF($E$6:E1647,E1647)=1),MAX($Q$5:Q1646)+1,"")</f>
        <v/>
      </c>
      <c r="R1647" t="str">
        <f t="shared" si="51"/>
        <v/>
      </c>
    </row>
    <row r="1648" spans="16:18" ht="22.95" customHeight="1">
      <c r="P1648">
        <f t="shared" si="50"/>
        <v>0</v>
      </c>
      <c r="Q1648" t="str">
        <f>IF(AND(P1648&gt;1,COUNTIF($E$6:E1648,E1648)=1),MAX($Q$5:Q1647)+1,"")</f>
        <v/>
      </c>
      <c r="R1648" t="str">
        <f t="shared" si="51"/>
        <v/>
      </c>
    </row>
    <row r="1649" spans="16:18" ht="22.95" customHeight="1">
      <c r="P1649">
        <f t="shared" si="50"/>
        <v>0</v>
      </c>
      <c r="Q1649" t="str">
        <f>IF(AND(P1649&gt;1,COUNTIF($E$6:E1649,E1649)=1),MAX($Q$5:Q1648)+1,"")</f>
        <v/>
      </c>
      <c r="R1649" t="str">
        <f t="shared" si="51"/>
        <v/>
      </c>
    </row>
    <row r="1650" spans="16:18" ht="22.95" customHeight="1">
      <c r="P1650">
        <f t="shared" si="50"/>
        <v>0</v>
      </c>
      <c r="Q1650" t="str">
        <f>IF(AND(P1650&gt;1,COUNTIF($E$6:E1650,E1650)=1),MAX($Q$5:Q1649)+1,"")</f>
        <v/>
      </c>
      <c r="R1650" t="str">
        <f t="shared" si="51"/>
        <v/>
      </c>
    </row>
    <row r="1651" spans="16:18" ht="22.95" customHeight="1">
      <c r="P1651">
        <f t="shared" si="50"/>
        <v>0</v>
      </c>
      <c r="Q1651" t="str">
        <f>IF(AND(P1651&gt;1,COUNTIF($E$6:E1651,E1651)=1),MAX($Q$5:Q1650)+1,"")</f>
        <v/>
      </c>
      <c r="R1651" t="str">
        <f t="shared" si="51"/>
        <v/>
      </c>
    </row>
    <row r="1652" spans="16:18" ht="22.95" customHeight="1">
      <c r="P1652">
        <f t="shared" si="50"/>
        <v>0</v>
      </c>
      <c r="Q1652" t="str">
        <f>IF(AND(P1652&gt;1,COUNTIF($E$6:E1652,E1652)=1),MAX($Q$5:Q1651)+1,"")</f>
        <v/>
      </c>
      <c r="R1652" t="str">
        <f t="shared" si="51"/>
        <v/>
      </c>
    </row>
    <row r="1653" spans="16:18" ht="22.95" customHeight="1">
      <c r="P1653">
        <f t="shared" si="50"/>
        <v>0</v>
      </c>
      <c r="Q1653" t="str">
        <f>IF(AND(P1653&gt;1,COUNTIF($E$6:E1653,E1653)=1),MAX($Q$5:Q1652)+1,"")</f>
        <v/>
      </c>
      <c r="R1653" t="str">
        <f t="shared" si="51"/>
        <v/>
      </c>
    </row>
    <row r="1654" spans="16:18" ht="22.95" customHeight="1">
      <c r="P1654">
        <f t="shared" si="50"/>
        <v>0</v>
      </c>
      <c r="Q1654" t="str">
        <f>IF(AND(P1654&gt;1,COUNTIF($E$6:E1654,E1654)=1),MAX($Q$5:Q1653)+1,"")</f>
        <v/>
      </c>
      <c r="R1654" t="str">
        <f t="shared" si="51"/>
        <v/>
      </c>
    </row>
    <row r="1655" spans="16:18" ht="22.95" customHeight="1">
      <c r="P1655">
        <f t="shared" si="50"/>
        <v>0</v>
      </c>
      <c r="Q1655" t="str">
        <f>IF(AND(P1655&gt;1,COUNTIF($E$6:E1655,E1655)=1),MAX($Q$5:Q1654)+1,"")</f>
        <v/>
      </c>
      <c r="R1655" t="str">
        <f t="shared" si="51"/>
        <v/>
      </c>
    </row>
    <row r="1656" spans="16:18" ht="22.95" customHeight="1">
      <c r="P1656">
        <f t="shared" si="50"/>
        <v>0</v>
      </c>
      <c r="Q1656" t="str">
        <f>IF(AND(P1656&gt;1,COUNTIF($E$6:E1656,E1656)=1),MAX($Q$5:Q1655)+1,"")</f>
        <v/>
      </c>
      <c r="R1656" t="str">
        <f t="shared" si="51"/>
        <v/>
      </c>
    </row>
    <row r="1657" spans="16:18" ht="22.95" customHeight="1">
      <c r="P1657">
        <f t="shared" si="50"/>
        <v>0</v>
      </c>
      <c r="Q1657" t="str">
        <f>IF(AND(P1657&gt;1,COUNTIF($E$6:E1657,E1657)=1),MAX($Q$5:Q1656)+1,"")</f>
        <v/>
      </c>
      <c r="R1657" t="str">
        <f t="shared" si="51"/>
        <v/>
      </c>
    </row>
    <row r="1658" spans="16:18" ht="22.95" customHeight="1">
      <c r="P1658">
        <f t="shared" si="50"/>
        <v>0</v>
      </c>
      <c r="Q1658" t="str">
        <f>IF(AND(P1658&gt;1,COUNTIF($E$6:E1658,E1658)=1),MAX($Q$5:Q1657)+1,"")</f>
        <v/>
      </c>
      <c r="R1658" t="str">
        <f t="shared" si="51"/>
        <v/>
      </c>
    </row>
    <row r="1659" spans="16:18" ht="22.95" customHeight="1">
      <c r="P1659">
        <f t="shared" si="50"/>
        <v>0</v>
      </c>
      <c r="Q1659" t="str">
        <f>IF(AND(P1659&gt;1,COUNTIF($E$6:E1659,E1659)=1),MAX($Q$5:Q1658)+1,"")</f>
        <v/>
      </c>
      <c r="R1659" t="str">
        <f t="shared" si="51"/>
        <v/>
      </c>
    </row>
    <row r="1660" spans="16:18" ht="22.95" customHeight="1">
      <c r="P1660">
        <f t="shared" si="50"/>
        <v>0</v>
      </c>
      <c r="Q1660" t="str">
        <f>IF(AND(P1660&gt;1,COUNTIF($E$6:E1660,E1660)=1),MAX($Q$5:Q1659)+1,"")</f>
        <v/>
      </c>
      <c r="R1660" t="str">
        <f t="shared" si="51"/>
        <v/>
      </c>
    </row>
    <row r="1661" spans="16:18" ht="22.95" customHeight="1">
      <c r="P1661">
        <f t="shared" si="50"/>
        <v>0</v>
      </c>
      <c r="Q1661" t="str">
        <f>IF(AND(P1661&gt;1,COUNTIF($E$6:E1661,E1661)=1),MAX($Q$5:Q1660)+1,"")</f>
        <v/>
      </c>
      <c r="R1661" t="str">
        <f t="shared" si="51"/>
        <v/>
      </c>
    </row>
    <row r="1662" spans="16:18" ht="22.95" customHeight="1">
      <c r="P1662">
        <f t="shared" si="50"/>
        <v>0</v>
      </c>
      <c r="Q1662" t="str">
        <f>IF(AND(P1662&gt;1,COUNTIF($E$6:E1662,E1662)=1),MAX($Q$5:Q1661)+1,"")</f>
        <v/>
      </c>
      <c r="R1662" t="str">
        <f t="shared" si="51"/>
        <v/>
      </c>
    </row>
    <row r="1663" spans="16:18" ht="22.95" customHeight="1">
      <c r="P1663">
        <f t="shared" si="50"/>
        <v>0</v>
      </c>
      <c r="Q1663" t="str">
        <f>IF(AND(P1663&gt;1,COUNTIF($E$6:E1663,E1663)=1),MAX($Q$5:Q1662)+1,"")</f>
        <v/>
      </c>
      <c r="R1663" t="str">
        <f t="shared" si="51"/>
        <v/>
      </c>
    </row>
    <row r="1664" spans="16:18" ht="22.95" customHeight="1">
      <c r="P1664">
        <f t="shared" si="50"/>
        <v>0</v>
      </c>
      <c r="Q1664" t="str">
        <f>IF(AND(P1664&gt;1,COUNTIF($E$6:E1664,E1664)=1),MAX($Q$5:Q1663)+1,"")</f>
        <v/>
      </c>
      <c r="R1664" t="str">
        <f t="shared" si="51"/>
        <v/>
      </c>
    </row>
    <row r="1665" spans="16:18" ht="22.95" customHeight="1">
      <c r="P1665">
        <f t="shared" si="50"/>
        <v>0</v>
      </c>
      <c r="Q1665" t="str">
        <f>IF(AND(P1665&gt;1,COUNTIF($E$6:E1665,E1665)=1),MAX($Q$5:Q1664)+1,"")</f>
        <v/>
      </c>
      <c r="R1665" t="str">
        <f t="shared" si="51"/>
        <v/>
      </c>
    </row>
    <row r="1666" spans="16:18" ht="22.95" customHeight="1">
      <c r="P1666">
        <f t="shared" si="50"/>
        <v>0</v>
      </c>
      <c r="Q1666" t="str">
        <f>IF(AND(P1666&gt;1,COUNTIF($E$6:E1666,E1666)=1),MAX($Q$5:Q1665)+1,"")</f>
        <v/>
      </c>
      <c r="R1666" t="str">
        <f t="shared" si="51"/>
        <v/>
      </c>
    </row>
    <row r="1667" spans="16:18" ht="22.95" customHeight="1">
      <c r="P1667">
        <f t="shared" si="50"/>
        <v>0</v>
      </c>
      <c r="Q1667" t="str">
        <f>IF(AND(P1667&gt;1,COUNTIF($E$6:E1667,E1667)=1),MAX($Q$5:Q1666)+1,"")</f>
        <v/>
      </c>
      <c r="R1667" t="str">
        <f t="shared" si="51"/>
        <v/>
      </c>
    </row>
    <row r="1668" spans="16:18" ht="22.95" customHeight="1">
      <c r="P1668">
        <f t="shared" si="50"/>
        <v>0</v>
      </c>
      <c r="Q1668" t="str">
        <f>IF(AND(P1668&gt;1,COUNTIF($E$6:E1668,E1668)=1),MAX($Q$5:Q1667)+1,"")</f>
        <v/>
      </c>
      <c r="R1668" t="str">
        <f t="shared" si="51"/>
        <v/>
      </c>
    </row>
    <row r="1669" spans="16:18" ht="22.95" customHeight="1">
      <c r="P1669">
        <f t="shared" si="50"/>
        <v>0</v>
      </c>
      <c r="Q1669" t="str">
        <f>IF(AND(P1669&gt;1,COUNTIF($E$6:E1669,E1669)=1),MAX($Q$5:Q1668)+1,"")</f>
        <v/>
      </c>
      <c r="R1669" t="str">
        <f t="shared" si="51"/>
        <v/>
      </c>
    </row>
    <row r="1670" spans="16:18" ht="22.95" customHeight="1">
      <c r="P1670">
        <f t="shared" ref="P1670:P1733" si="52">COUNTIF($E$6:$E$1740,E1670)</f>
        <v>0</v>
      </c>
      <c r="Q1670" t="str">
        <f>IF(AND(P1670&gt;1,COUNTIF($E$6:E1670,E1670)=1),MAX($Q$5:Q1669)+1,"")</f>
        <v/>
      </c>
      <c r="R1670" t="str">
        <f t="shared" ref="R1670:R1733" si="53">IF(Q1670="","",IF(COUNTIFS($E$6:$E$1740,E1670,$A$6:$A$1740,A1670,$C$6:$C$1740,C1670)&lt;P1670,"LÉGITIME",IF(COUNTIFS($E$6:$E$1740,E1670,$A$6:$A$1740,A1670,$C$6:$C$1740,C1670,$M$6:$M$1740,M1670)&lt;P1670,"STATUT DIFFÉRENT","VRAI DOUBLON")))</f>
        <v/>
      </c>
    </row>
    <row r="1671" spans="16:18" ht="22.95" customHeight="1">
      <c r="P1671">
        <f t="shared" si="52"/>
        <v>0</v>
      </c>
      <c r="Q1671" t="str">
        <f>IF(AND(P1671&gt;1,COUNTIF($E$6:E1671,E1671)=1),MAX($Q$5:Q1670)+1,"")</f>
        <v/>
      </c>
      <c r="R1671" t="str">
        <f t="shared" si="53"/>
        <v/>
      </c>
    </row>
    <row r="1672" spans="16:18" ht="22.95" customHeight="1">
      <c r="P1672">
        <f t="shared" si="52"/>
        <v>0</v>
      </c>
      <c r="Q1672" t="str">
        <f>IF(AND(P1672&gt;1,COUNTIF($E$6:E1672,E1672)=1),MAX($Q$5:Q1671)+1,"")</f>
        <v/>
      </c>
      <c r="R1672" t="str">
        <f t="shared" si="53"/>
        <v/>
      </c>
    </row>
    <row r="1673" spans="16:18" ht="22.95" customHeight="1">
      <c r="P1673">
        <f t="shared" si="52"/>
        <v>0</v>
      </c>
      <c r="Q1673" t="str">
        <f>IF(AND(P1673&gt;1,COUNTIF($E$6:E1673,E1673)=1),MAX($Q$5:Q1672)+1,"")</f>
        <v/>
      </c>
      <c r="R1673" t="str">
        <f t="shared" si="53"/>
        <v/>
      </c>
    </row>
    <row r="1674" spans="16:18" ht="22.95" customHeight="1">
      <c r="P1674">
        <f t="shared" si="52"/>
        <v>0</v>
      </c>
      <c r="Q1674" t="str">
        <f>IF(AND(P1674&gt;1,COUNTIF($E$6:E1674,E1674)=1),MAX($Q$5:Q1673)+1,"")</f>
        <v/>
      </c>
      <c r="R1674" t="str">
        <f t="shared" si="53"/>
        <v/>
      </c>
    </row>
    <row r="1675" spans="16:18" ht="22.95" customHeight="1">
      <c r="P1675">
        <f t="shared" si="52"/>
        <v>0</v>
      </c>
      <c r="Q1675" t="str">
        <f>IF(AND(P1675&gt;1,COUNTIF($E$6:E1675,E1675)=1),MAX($Q$5:Q1674)+1,"")</f>
        <v/>
      </c>
      <c r="R1675" t="str">
        <f t="shared" si="53"/>
        <v/>
      </c>
    </row>
    <row r="1676" spans="16:18" ht="22.95" customHeight="1">
      <c r="P1676">
        <f t="shared" si="52"/>
        <v>0</v>
      </c>
      <c r="Q1676" t="str">
        <f>IF(AND(P1676&gt;1,COUNTIF($E$6:E1676,E1676)=1),MAX($Q$5:Q1675)+1,"")</f>
        <v/>
      </c>
      <c r="R1676" t="str">
        <f t="shared" si="53"/>
        <v/>
      </c>
    </row>
    <row r="1677" spans="16:18" ht="22.95" customHeight="1">
      <c r="P1677">
        <f t="shared" si="52"/>
        <v>0</v>
      </c>
      <c r="Q1677" t="str">
        <f>IF(AND(P1677&gt;1,COUNTIF($E$6:E1677,E1677)=1),MAX($Q$5:Q1676)+1,"")</f>
        <v/>
      </c>
      <c r="R1677" t="str">
        <f t="shared" si="53"/>
        <v/>
      </c>
    </row>
    <row r="1678" spans="16:18" ht="22.95" customHeight="1">
      <c r="P1678">
        <f t="shared" si="52"/>
        <v>0</v>
      </c>
      <c r="Q1678" t="str">
        <f>IF(AND(P1678&gt;1,COUNTIF($E$6:E1678,E1678)=1),MAX($Q$5:Q1677)+1,"")</f>
        <v/>
      </c>
      <c r="R1678" t="str">
        <f t="shared" si="53"/>
        <v/>
      </c>
    </row>
    <row r="1679" spans="16:18" ht="22.95" customHeight="1">
      <c r="P1679">
        <f t="shared" si="52"/>
        <v>0</v>
      </c>
      <c r="Q1679" t="str">
        <f>IF(AND(P1679&gt;1,COUNTIF($E$6:E1679,E1679)=1),MAX($Q$5:Q1678)+1,"")</f>
        <v/>
      </c>
      <c r="R1679" t="str">
        <f t="shared" si="53"/>
        <v/>
      </c>
    </row>
    <row r="1680" spans="16:18" ht="22.95" customHeight="1">
      <c r="P1680">
        <f t="shared" si="52"/>
        <v>0</v>
      </c>
      <c r="Q1680" t="str">
        <f>IF(AND(P1680&gt;1,COUNTIF($E$6:E1680,E1680)=1),MAX($Q$5:Q1679)+1,"")</f>
        <v/>
      </c>
      <c r="R1680" t="str">
        <f t="shared" si="53"/>
        <v/>
      </c>
    </row>
    <row r="1681" spans="16:18" ht="22.95" customHeight="1">
      <c r="P1681">
        <f t="shared" si="52"/>
        <v>0</v>
      </c>
      <c r="Q1681" t="str">
        <f>IF(AND(P1681&gt;1,COUNTIF($E$6:E1681,E1681)=1),MAX($Q$5:Q1680)+1,"")</f>
        <v/>
      </c>
      <c r="R1681" t="str">
        <f t="shared" si="53"/>
        <v/>
      </c>
    </row>
    <row r="1682" spans="16:18" ht="22.95" customHeight="1">
      <c r="P1682">
        <f t="shared" si="52"/>
        <v>0</v>
      </c>
      <c r="Q1682" t="str">
        <f>IF(AND(P1682&gt;1,COUNTIF($E$6:E1682,E1682)=1),MAX($Q$5:Q1681)+1,"")</f>
        <v/>
      </c>
      <c r="R1682" t="str">
        <f t="shared" si="53"/>
        <v/>
      </c>
    </row>
    <row r="1683" spans="16:18" ht="22.95" customHeight="1">
      <c r="P1683">
        <f t="shared" si="52"/>
        <v>0</v>
      </c>
      <c r="Q1683" t="str">
        <f>IF(AND(P1683&gt;1,COUNTIF($E$6:E1683,E1683)=1),MAX($Q$5:Q1682)+1,"")</f>
        <v/>
      </c>
      <c r="R1683" t="str">
        <f t="shared" si="53"/>
        <v/>
      </c>
    </row>
    <row r="1684" spans="16:18" ht="22.95" customHeight="1">
      <c r="P1684">
        <f t="shared" si="52"/>
        <v>0</v>
      </c>
      <c r="Q1684" t="str">
        <f>IF(AND(P1684&gt;1,COUNTIF($E$6:E1684,E1684)=1),MAX($Q$5:Q1683)+1,"")</f>
        <v/>
      </c>
      <c r="R1684" t="str">
        <f t="shared" si="53"/>
        <v/>
      </c>
    </row>
    <row r="1685" spans="16:18" ht="22.95" customHeight="1">
      <c r="P1685">
        <f t="shared" si="52"/>
        <v>0</v>
      </c>
      <c r="Q1685" t="str">
        <f>IF(AND(P1685&gt;1,COUNTIF($E$6:E1685,E1685)=1),MAX($Q$5:Q1684)+1,"")</f>
        <v/>
      </c>
      <c r="R1685" t="str">
        <f t="shared" si="53"/>
        <v/>
      </c>
    </row>
    <row r="1686" spans="16:18" ht="22.95" customHeight="1">
      <c r="P1686">
        <f t="shared" si="52"/>
        <v>0</v>
      </c>
      <c r="Q1686" t="str">
        <f>IF(AND(P1686&gt;1,COUNTIF($E$6:E1686,E1686)=1),MAX($Q$5:Q1685)+1,"")</f>
        <v/>
      </c>
      <c r="R1686" t="str">
        <f t="shared" si="53"/>
        <v/>
      </c>
    </row>
    <row r="1687" spans="16:18" ht="22.95" customHeight="1">
      <c r="P1687">
        <f t="shared" si="52"/>
        <v>0</v>
      </c>
      <c r="Q1687" t="str">
        <f>IF(AND(P1687&gt;1,COUNTIF($E$6:E1687,E1687)=1),MAX($Q$5:Q1686)+1,"")</f>
        <v/>
      </c>
      <c r="R1687" t="str">
        <f t="shared" si="53"/>
        <v/>
      </c>
    </row>
    <row r="1688" spans="16:18" ht="22.95" customHeight="1">
      <c r="P1688">
        <f t="shared" si="52"/>
        <v>0</v>
      </c>
      <c r="Q1688" t="str">
        <f>IF(AND(P1688&gt;1,COUNTIF($E$6:E1688,E1688)=1),MAX($Q$5:Q1687)+1,"")</f>
        <v/>
      </c>
      <c r="R1688" t="str">
        <f t="shared" si="53"/>
        <v/>
      </c>
    </row>
    <row r="1689" spans="16:18" ht="22.95" customHeight="1">
      <c r="P1689">
        <f t="shared" si="52"/>
        <v>0</v>
      </c>
      <c r="Q1689" t="str">
        <f>IF(AND(P1689&gt;1,COUNTIF($E$6:E1689,E1689)=1),MAX($Q$5:Q1688)+1,"")</f>
        <v/>
      </c>
      <c r="R1689" t="str">
        <f t="shared" si="53"/>
        <v/>
      </c>
    </row>
    <row r="1690" spans="16:18" ht="22.95" customHeight="1">
      <c r="P1690">
        <f t="shared" si="52"/>
        <v>0</v>
      </c>
      <c r="Q1690" t="str">
        <f>IF(AND(P1690&gt;1,COUNTIF($E$6:E1690,E1690)=1),MAX($Q$5:Q1689)+1,"")</f>
        <v/>
      </c>
      <c r="R1690" t="str">
        <f t="shared" si="53"/>
        <v/>
      </c>
    </row>
    <row r="1691" spans="16:18" ht="22.95" customHeight="1">
      <c r="P1691">
        <f t="shared" si="52"/>
        <v>0</v>
      </c>
      <c r="Q1691" t="str">
        <f>IF(AND(P1691&gt;1,COUNTIF($E$6:E1691,E1691)=1),MAX($Q$5:Q1690)+1,"")</f>
        <v/>
      </c>
      <c r="R1691" t="str">
        <f t="shared" si="53"/>
        <v/>
      </c>
    </row>
    <row r="1692" spans="16:18" ht="22.95" customHeight="1">
      <c r="P1692">
        <f t="shared" si="52"/>
        <v>0</v>
      </c>
      <c r="Q1692" t="str">
        <f>IF(AND(P1692&gt;1,COUNTIF($E$6:E1692,E1692)=1),MAX($Q$5:Q1691)+1,"")</f>
        <v/>
      </c>
      <c r="R1692" t="str">
        <f t="shared" si="53"/>
        <v/>
      </c>
    </row>
    <row r="1693" spans="16:18" ht="22.95" customHeight="1">
      <c r="P1693">
        <f t="shared" si="52"/>
        <v>0</v>
      </c>
      <c r="Q1693" t="str">
        <f>IF(AND(P1693&gt;1,COUNTIF($E$6:E1693,E1693)=1),MAX($Q$5:Q1692)+1,"")</f>
        <v/>
      </c>
      <c r="R1693" t="str">
        <f t="shared" si="53"/>
        <v/>
      </c>
    </row>
    <row r="1694" spans="16:18" ht="22.95" customHeight="1">
      <c r="P1694">
        <f t="shared" si="52"/>
        <v>0</v>
      </c>
      <c r="Q1694" t="str">
        <f>IF(AND(P1694&gt;1,COUNTIF($E$6:E1694,E1694)=1),MAX($Q$5:Q1693)+1,"")</f>
        <v/>
      </c>
      <c r="R1694" t="str">
        <f t="shared" si="53"/>
        <v/>
      </c>
    </row>
    <row r="1695" spans="16:18" ht="22.95" customHeight="1">
      <c r="P1695">
        <f t="shared" si="52"/>
        <v>0</v>
      </c>
      <c r="Q1695" t="str">
        <f>IF(AND(P1695&gt;1,COUNTIF($E$6:E1695,E1695)=1),MAX($Q$5:Q1694)+1,"")</f>
        <v/>
      </c>
      <c r="R1695" t="str">
        <f t="shared" si="53"/>
        <v/>
      </c>
    </row>
    <row r="1696" spans="16:18" ht="22.95" customHeight="1">
      <c r="P1696">
        <f t="shared" si="52"/>
        <v>0</v>
      </c>
      <c r="Q1696" t="str">
        <f>IF(AND(P1696&gt;1,COUNTIF($E$6:E1696,E1696)=1),MAX($Q$5:Q1695)+1,"")</f>
        <v/>
      </c>
      <c r="R1696" t="str">
        <f t="shared" si="53"/>
        <v/>
      </c>
    </row>
    <row r="1697" spans="16:18" ht="22.95" customHeight="1">
      <c r="P1697">
        <f t="shared" si="52"/>
        <v>0</v>
      </c>
      <c r="Q1697" t="str">
        <f>IF(AND(P1697&gt;1,COUNTIF($E$6:E1697,E1697)=1),MAX($Q$5:Q1696)+1,"")</f>
        <v/>
      </c>
      <c r="R1697" t="str">
        <f t="shared" si="53"/>
        <v/>
      </c>
    </row>
    <row r="1698" spans="16:18" ht="22.95" customHeight="1">
      <c r="P1698">
        <f t="shared" si="52"/>
        <v>0</v>
      </c>
      <c r="Q1698" t="str">
        <f>IF(AND(P1698&gt;1,COUNTIF($E$6:E1698,E1698)=1),MAX($Q$5:Q1697)+1,"")</f>
        <v/>
      </c>
      <c r="R1698" t="str">
        <f t="shared" si="53"/>
        <v/>
      </c>
    </row>
    <row r="1699" spans="16:18" ht="22.95" customHeight="1">
      <c r="P1699">
        <f t="shared" si="52"/>
        <v>0</v>
      </c>
      <c r="Q1699" t="str">
        <f>IF(AND(P1699&gt;1,COUNTIF($E$6:E1699,E1699)=1),MAX($Q$5:Q1698)+1,"")</f>
        <v/>
      </c>
      <c r="R1699" t="str">
        <f t="shared" si="53"/>
        <v/>
      </c>
    </row>
    <row r="1700" spans="16:18" ht="22.95" customHeight="1">
      <c r="P1700">
        <f t="shared" si="52"/>
        <v>0</v>
      </c>
      <c r="Q1700" t="str">
        <f>IF(AND(P1700&gt;1,COUNTIF($E$6:E1700,E1700)=1),MAX($Q$5:Q1699)+1,"")</f>
        <v/>
      </c>
      <c r="R1700" t="str">
        <f t="shared" si="53"/>
        <v/>
      </c>
    </row>
    <row r="1701" spans="16:18" ht="22.95" customHeight="1">
      <c r="P1701">
        <f t="shared" si="52"/>
        <v>0</v>
      </c>
      <c r="Q1701" t="str">
        <f>IF(AND(P1701&gt;1,COUNTIF($E$6:E1701,E1701)=1),MAX($Q$5:Q1700)+1,"")</f>
        <v/>
      </c>
      <c r="R1701" t="str">
        <f t="shared" si="53"/>
        <v/>
      </c>
    </row>
    <row r="1702" spans="16:18" ht="22.95" customHeight="1">
      <c r="P1702">
        <f t="shared" si="52"/>
        <v>0</v>
      </c>
      <c r="Q1702" t="str">
        <f>IF(AND(P1702&gt;1,COUNTIF($E$6:E1702,E1702)=1),MAX($Q$5:Q1701)+1,"")</f>
        <v/>
      </c>
      <c r="R1702" t="str">
        <f t="shared" si="53"/>
        <v/>
      </c>
    </row>
    <row r="1703" spans="16:18" ht="22.95" customHeight="1">
      <c r="P1703">
        <f t="shared" si="52"/>
        <v>0</v>
      </c>
      <c r="Q1703" t="str">
        <f>IF(AND(P1703&gt;1,COUNTIF($E$6:E1703,E1703)=1),MAX($Q$5:Q1702)+1,"")</f>
        <v/>
      </c>
      <c r="R1703" t="str">
        <f t="shared" si="53"/>
        <v/>
      </c>
    </row>
    <row r="1704" spans="16:18" ht="22.95" customHeight="1">
      <c r="P1704">
        <f t="shared" si="52"/>
        <v>0</v>
      </c>
      <c r="Q1704" t="str">
        <f>IF(AND(P1704&gt;1,COUNTIF($E$6:E1704,E1704)=1),MAX($Q$5:Q1703)+1,"")</f>
        <v/>
      </c>
      <c r="R1704" t="str">
        <f t="shared" si="53"/>
        <v/>
      </c>
    </row>
    <row r="1705" spans="16:18" ht="22.95" customHeight="1">
      <c r="P1705">
        <f t="shared" si="52"/>
        <v>0</v>
      </c>
      <c r="Q1705" t="str">
        <f>IF(AND(P1705&gt;1,COUNTIF($E$6:E1705,E1705)=1),MAX($Q$5:Q1704)+1,"")</f>
        <v/>
      </c>
      <c r="R1705" t="str">
        <f t="shared" si="53"/>
        <v/>
      </c>
    </row>
    <row r="1706" spans="16:18" ht="22.95" customHeight="1">
      <c r="P1706">
        <f t="shared" si="52"/>
        <v>0</v>
      </c>
      <c r="Q1706" t="str">
        <f>IF(AND(P1706&gt;1,COUNTIF($E$6:E1706,E1706)=1),MAX($Q$5:Q1705)+1,"")</f>
        <v/>
      </c>
      <c r="R1706" t="str">
        <f t="shared" si="53"/>
        <v/>
      </c>
    </row>
    <row r="1707" spans="16:18" ht="22.95" customHeight="1">
      <c r="P1707">
        <f t="shared" si="52"/>
        <v>0</v>
      </c>
      <c r="Q1707" t="str">
        <f>IF(AND(P1707&gt;1,COUNTIF($E$6:E1707,E1707)=1),MAX($Q$5:Q1706)+1,"")</f>
        <v/>
      </c>
      <c r="R1707" t="str">
        <f t="shared" si="53"/>
        <v/>
      </c>
    </row>
    <row r="1708" spans="16:18" ht="22.95" customHeight="1">
      <c r="P1708">
        <f t="shared" si="52"/>
        <v>0</v>
      </c>
      <c r="Q1708" t="str">
        <f>IF(AND(P1708&gt;1,COUNTIF($E$6:E1708,E1708)=1),MAX($Q$5:Q1707)+1,"")</f>
        <v/>
      </c>
      <c r="R1708" t="str">
        <f t="shared" si="53"/>
        <v/>
      </c>
    </row>
    <row r="1709" spans="16:18" ht="22.95" customHeight="1">
      <c r="P1709">
        <f t="shared" si="52"/>
        <v>0</v>
      </c>
      <c r="Q1709" t="str">
        <f>IF(AND(P1709&gt;1,COUNTIF($E$6:E1709,E1709)=1),MAX($Q$5:Q1708)+1,"")</f>
        <v/>
      </c>
      <c r="R1709" t="str">
        <f t="shared" si="53"/>
        <v/>
      </c>
    </row>
    <row r="1710" spans="16:18" ht="22.95" customHeight="1">
      <c r="P1710">
        <f t="shared" si="52"/>
        <v>0</v>
      </c>
      <c r="Q1710" t="str">
        <f>IF(AND(P1710&gt;1,COUNTIF($E$6:E1710,E1710)=1),MAX($Q$5:Q1709)+1,"")</f>
        <v/>
      </c>
      <c r="R1710" t="str">
        <f t="shared" si="53"/>
        <v/>
      </c>
    </row>
    <row r="1711" spans="16:18" ht="22.95" customHeight="1">
      <c r="P1711">
        <f t="shared" si="52"/>
        <v>0</v>
      </c>
      <c r="Q1711" t="str">
        <f>IF(AND(P1711&gt;1,COUNTIF($E$6:E1711,E1711)=1),MAX($Q$5:Q1710)+1,"")</f>
        <v/>
      </c>
      <c r="R1711" t="str">
        <f t="shared" si="53"/>
        <v/>
      </c>
    </row>
    <row r="1712" spans="16:18" ht="22.95" customHeight="1">
      <c r="P1712">
        <f t="shared" si="52"/>
        <v>0</v>
      </c>
      <c r="Q1712" t="str">
        <f>IF(AND(P1712&gt;1,COUNTIF($E$6:E1712,E1712)=1),MAX($Q$5:Q1711)+1,"")</f>
        <v/>
      </c>
      <c r="R1712" t="str">
        <f t="shared" si="53"/>
        <v/>
      </c>
    </row>
    <row r="1713" spans="16:18" ht="22.95" customHeight="1">
      <c r="P1713">
        <f t="shared" si="52"/>
        <v>0</v>
      </c>
      <c r="Q1713" t="str">
        <f>IF(AND(P1713&gt;1,COUNTIF($E$6:E1713,E1713)=1),MAX($Q$5:Q1712)+1,"")</f>
        <v/>
      </c>
      <c r="R1713" t="str">
        <f t="shared" si="53"/>
        <v/>
      </c>
    </row>
    <row r="1714" spans="16:18" ht="22.95" customHeight="1">
      <c r="P1714">
        <f t="shared" si="52"/>
        <v>0</v>
      </c>
      <c r="Q1714" t="str">
        <f>IF(AND(P1714&gt;1,COUNTIF($E$6:E1714,E1714)=1),MAX($Q$5:Q1713)+1,"")</f>
        <v/>
      </c>
      <c r="R1714" t="str">
        <f t="shared" si="53"/>
        <v/>
      </c>
    </row>
    <row r="1715" spans="16:18" ht="22.95" customHeight="1">
      <c r="P1715">
        <f t="shared" si="52"/>
        <v>0</v>
      </c>
      <c r="Q1715" t="str">
        <f>IF(AND(P1715&gt;1,COUNTIF($E$6:E1715,E1715)=1),MAX($Q$5:Q1714)+1,"")</f>
        <v/>
      </c>
      <c r="R1715" t="str">
        <f t="shared" si="53"/>
        <v/>
      </c>
    </row>
    <row r="1716" spans="16:18" ht="22.95" customHeight="1">
      <c r="P1716">
        <f t="shared" si="52"/>
        <v>0</v>
      </c>
      <c r="Q1716" t="str">
        <f>IF(AND(P1716&gt;1,COUNTIF($E$6:E1716,E1716)=1),MAX($Q$5:Q1715)+1,"")</f>
        <v/>
      </c>
      <c r="R1716" t="str">
        <f t="shared" si="53"/>
        <v/>
      </c>
    </row>
    <row r="1717" spans="16:18" ht="22.95" customHeight="1">
      <c r="P1717">
        <f t="shared" si="52"/>
        <v>0</v>
      </c>
      <c r="Q1717" t="str">
        <f>IF(AND(P1717&gt;1,COUNTIF($E$6:E1717,E1717)=1),MAX($Q$5:Q1716)+1,"")</f>
        <v/>
      </c>
      <c r="R1717" t="str">
        <f t="shared" si="53"/>
        <v/>
      </c>
    </row>
    <row r="1718" spans="16:18" ht="22.95" customHeight="1">
      <c r="P1718">
        <f t="shared" si="52"/>
        <v>0</v>
      </c>
      <c r="Q1718" t="str">
        <f>IF(AND(P1718&gt;1,COUNTIF($E$6:E1718,E1718)=1),MAX($Q$5:Q1717)+1,"")</f>
        <v/>
      </c>
      <c r="R1718" t="str">
        <f t="shared" si="53"/>
        <v/>
      </c>
    </row>
    <row r="1719" spans="16:18" ht="22.95" customHeight="1">
      <c r="P1719">
        <f t="shared" si="52"/>
        <v>0</v>
      </c>
      <c r="Q1719" t="str">
        <f>IF(AND(P1719&gt;1,COUNTIF($E$6:E1719,E1719)=1),MAX($Q$5:Q1718)+1,"")</f>
        <v/>
      </c>
      <c r="R1719" t="str">
        <f t="shared" si="53"/>
        <v/>
      </c>
    </row>
    <row r="1720" spans="16:18" ht="22.95" customHeight="1">
      <c r="P1720">
        <f t="shared" si="52"/>
        <v>0</v>
      </c>
      <c r="Q1720" t="str">
        <f>IF(AND(P1720&gt;1,COUNTIF($E$6:E1720,E1720)=1),MAX($Q$5:Q1719)+1,"")</f>
        <v/>
      </c>
      <c r="R1720" t="str">
        <f t="shared" si="53"/>
        <v/>
      </c>
    </row>
    <row r="1721" spans="16:18" ht="22.95" customHeight="1">
      <c r="P1721">
        <f t="shared" si="52"/>
        <v>0</v>
      </c>
      <c r="Q1721" t="str">
        <f>IF(AND(P1721&gt;1,COUNTIF($E$6:E1721,E1721)=1),MAX($Q$5:Q1720)+1,"")</f>
        <v/>
      </c>
      <c r="R1721" t="str">
        <f t="shared" si="53"/>
        <v/>
      </c>
    </row>
    <row r="1722" spans="16:18" ht="22.95" customHeight="1">
      <c r="P1722">
        <f t="shared" si="52"/>
        <v>0</v>
      </c>
      <c r="Q1722" t="str">
        <f>IF(AND(P1722&gt;1,COUNTIF($E$6:E1722,E1722)=1),MAX($Q$5:Q1721)+1,"")</f>
        <v/>
      </c>
      <c r="R1722" t="str">
        <f t="shared" si="53"/>
        <v/>
      </c>
    </row>
    <row r="1723" spans="16:18" ht="22.95" customHeight="1">
      <c r="P1723">
        <f t="shared" si="52"/>
        <v>0</v>
      </c>
      <c r="Q1723" t="str">
        <f>IF(AND(P1723&gt;1,COUNTIF($E$6:E1723,E1723)=1),MAX($Q$5:Q1722)+1,"")</f>
        <v/>
      </c>
      <c r="R1723" t="str">
        <f t="shared" si="53"/>
        <v/>
      </c>
    </row>
    <row r="1724" spans="16:18" ht="22.95" customHeight="1">
      <c r="P1724">
        <f t="shared" si="52"/>
        <v>0</v>
      </c>
      <c r="Q1724" t="str">
        <f>IF(AND(P1724&gt;1,COUNTIF($E$6:E1724,E1724)=1),MAX($Q$5:Q1723)+1,"")</f>
        <v/>
      </c>
      <c r="R1724" t="str">
        <f t="shared" si="53"/>
        <v/>
      </c>
    </row>
    <row r="1725" spans="16:18" ht="22.95" customHeight="1">
      <c r="P1725">
        <f t="shared" si="52"/>
        <v>0</v>
      </c>
      <c r="Q1725" t="str">
        <f>IF(AND(P1725&gt;1,COUNTIF($E$6:E1725,E1725)=1),MAX($Q$5:Q1724)+1,"")</f>
        <v/>
      </c>
      <c r="R1725" t="str">
        <f t="shared" si="53"/>
        <v/>
      </c>
    </row>
    <row r="1726" spans="16:18" ht="22.95" customHeight="1">
      <c r="P1726">
        <f t="shared" si="52"/>
        <v>0</v>
      </c>
      <c r="Q1726" t="str">
        <f>IF(AND(P1726&gt;1,COUNTIF($E$6:E1726,E1726)=1),MAX($Q$5:Q1725)+1,"")</f>
        <v/>
      </c>
      <c r="R1726" t="str">
        <f t="shared" si="53"/>
        <v/>
      </c>
    </row>
    <row r="1727" spans="16:18" ht="22.95" customHeight="1">
      <c r="P1727">
        <f t="shared" si="52"/>
        <v>0</v>
      </c>
      <c r="Q1727" t="str">
        <f>IF(AND(P1727&gt;1,COUNTIF($E$6:E1727,E1727)=1),MAX($Q$5:Q1726)+1,"")</f>
        <v/>
      </c>
      <c r="R1727" t="str">
        <f t="shared" si="53"/>
        <v/>
      </c>
    </row>
    <row r="1728" spans="16:18" ht="22.95" customHeight="1">
      <c r="P1728">
        <f t="shared" si="52"/>
        <v>0</v>
      </c>
      <c r="Q1728" t="str">
        <f>IF(AND(P1728&gt;1,COUNTIF($E$6:E1728,E1728)=1),MAX($Q$5:Q1727)+1,"")</f>
        <v/>
      </c>
      <c r="R1728" t="str">
        <f t="shared" si="53"/>
        <v/>
      </c>
    </row>
    <row r="1729" spans="16:18" ht="22.95" customHeight="1">
      <c r="P1729">
        <f t="shared" si="52"/>
        <v>0</v>
      </c>
      <c r="Q1729" t="str">
        <f>IF(AND(P1729&gt;1,COUNTIF($E$6:E1729,E1729)=1),MAX($Q$5:Q1728)+1,"")</f>
        <v/>
      </c>
      <c r="R1729" t="str">
        <f t="shared" si="53"/>
        <v/>
      </c>
    </row>
    <row r="1730" spans="16:18" ht="22.95" customHeight="1">
      <c r="P1730">
        <f t="shared" si="52"/>
        <v>0</v>
      </c>
      <c r="Q1730" t="str">
        <f>IF(AND(P1730&gt;1,COUNTIF($E$6:E1730,E1730)=1),MAX($Q$5:Q1729)+1,"")</f>
        <v/>
      </c>
      <c r="R1730" t="str">
        <f t="shared" si="53"/>
        <v/>
      </c>
    </row>
    <row r="1731" spans="16:18" ht="22.95" customHeight="1">
      <c r="P1731">
        <f t="shared" si="52"/>
        <v>0</v>
      </c>
      <c r="Q1731" t="str">
        <f>IF(AND(P1731&gt;1,COUNTIF($E$6:E1731,E1731)=1),MAX($Q$5:Q1730)+1,"")</f>
        <v/>
      </c>
      <c r="R1731" t="str">
        <f t="shared" si="53"/>
        <v/>
      </c>
    </row>
    <row r="1732" spans="16:18" ht="22.95" customHeight="1">
      <c r="P1732">
        <f t="shared" si="52"/>
        <v>0</v>
      </c>
      <c r="Q1732" t="str">
        <f>IF(AND(P1732&gt;1,COUNTIF($E$6:E1732,E1732)=1),MAX($Q$5:Q1731)+1,"")</f>
        <v/>
      </c>
      <c r="R1732" t="str">
        <f t="shared" si="53"/>
        <v/>
      </c>
    </row>
    <row r="1733" spans="16:18" ht="22.95" customHeight="1">
      <c r="P1733">
        <f t="shared" si="52"/>
        <v>0</v>
      </c>
      <c r="Q1733" t="str">
        <f>IF(AND(P1733&gt;1,COUNTIF($E$6:E1733,E1733)=1),MAX($Q$5:Q1732)+1,"")</f>
        <v/>
      </c>
      <c r="R1733" t="str">
        <f t="shared" si="53"/>
        <v/>
      </c>
    </row>
    <row r="1734" spans="16:18" ht="22.95" customHeight="1">
      <c r="P1734">
        <f t="shared" ref="P1734:P1740" si="54">COUNTIF($E$6:$E$1740,E1734)</f>
        <v>0</v>
      </c>
      <c r="Q1734" t="str">
        <f>IF(AND(P1734&gt;1,COUNTIF($E$6:E1734,E1734)=1),MAX($Q$5:Q1733)+1,"")</f>
        <v/>
      </c>
      <c r="R1734" t="str">
        <f t="shared" ref="R1734:R1740" si="55">IF(Q1734="","",IF(COUNTIFS($E$6:$E$1740,E1734,$A$6:$A$1740,A1734,$C$6:$C$1740,C1734)&lt;P1734,"LÉGITIME",IF(COUNTIFS($E$6:$E$1740,E1734,$A$6:$A$1740,A1734,$C$6:$C$1740,C1734,$M$6:$M$1740,M1734)&lt;P1734,"STATUT DIFFÉRENT","VRAI DOUBLON")))</f>
        <v/>
      </c>
    </row>
    <row r="1735" spans="16:18" ht="22.95" customHeight="1">
      <c r="P1735">
        <f t="shared" si="54"/>
        <v>0</v>
      </c>
      <c r="Q1735" t="str">
        <f>IF(AND(P1735&gt;1,COUNTIF($E$6:E1735,E1735)=1),MAX($Q$5:Q1734)+1,"")</f>
        <v/>
      </c>
      <c r="R1735" t="str">
        <f t="shared" si="55"/>
        <v/>
      </c>
    </row>
    <row r="1736" spans="16:18" ht="22.95" customHeight="1">
      <c r="P1736">
        <f t="shared" si="54"/>
        <v>0</v>
      </c>
      <c r="Q1736" t="str">
        <f>IF(AND(P1736&gt;1,COUNTIF($E$6:E1736,E1736)=1),MAX($Q$5:Q1735)+1,"")</f>
        <v/>
      </c>
      <c r="R1736" t="str">
        <f t="shared" si="55"/>
        <v/>
      </c>
    </row>
    <row r="1737" spans="16:18" ht="22.95" customHeight="1">
      <c r="P1737">
        <f t="shared" si="54"/>
        <v>0</v>
      </c>
      <c r="Q1737" t="str">
        <f>IF(AND(P1737&gt;1,COUNTIF($E$6:E1737,E1737)=1),MAX($Q$5:Q1736)+1,"")</f>
        <v/>
      </c>
      <c r="R1737" t="str">
        <f t="shared" si="55"/>
        <v/>
      </c>
    </row>
    <row r="1738" spans="16:18" ht="22.95" customHeight="1">
      <c r="P1738">
        <f t="shared" si="54"/>
        <v>0</v>
      </c>
      <c r="Q1738" t="str">
        <f>IF(AND(P1738&gt;1,COUNTIF($E$6:E1738,E1738)=1),MAX($Q$5:Q1737)+1,"")</f>
        <v/>
      </c>
      <c r="R1738" t="str">
        <f t="shared" si="55"/>
        <v/>
      </c>
    </row>
    <row r="1739" spans="16:18" ht="22.95" customHeight="1">
      <c r="P1739">
        <f t="shared" si="54"/>
        <v>0</v>
      </c>
      <c r="Q1739" t="str">
        <f>IF(AND(P1739&gt;1,COUNTIF($E$6:E1739,E1739)=1),MAX($Q$5:Q1738)+1,"")</f>
        <v/>
      </c>
      <c r="R1739" t="str">
        <f t="shared" si="55"/>
        <v/>
      </c>
    </row>
    <row r="1740" spans="16:18" ht="22.95" customHeight="1">
      <c r="P1740">
        <f t="shared" si="54"/>
        <v>0</v>
      </c>
      <c r="Q1740" t="str">
        <f>IF(AND(P1740&gt;1,COUNTIF($E$6:E1740,E1740)=1),MAX($Q$5:Q1739)+1,"")</f>
        <v/>
      </c>
      <c r="R1740" t="str">
        <f t="shared" si="55"/>
        <v/>
      </c>
    </row>
  </sheetData>
  <mergeCells count="2">
    <mergeCell ref="A1:N2"/>
    <mergeCell ref="A3:N3"/>
  </mergeCells>
  <conditionalFormatting sqref="M6:M1740">
    <cfRule type="expression" dxfId="3" priority="1">
      <formula>$M6="SAUVÉ"</formula>
    </cfRule>
    <cfRule type="expression" dxfId="2" priority="2">
      <formula>$M6="CHARGÉ"</formula>
    </cfRule>
    <cfRule type="expression" dxfId="1" priority="3">
      <formula>$M6="NON CHARGÉ"</formula>
    </cfRule>
    <cfRule type="expression" dxfId="0" priority="4">
      <formula>$M6="ANNULÉ"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RÉCAPITULATIF</vt:lpstr>
      <vt:lpstr>DOSSIERS</vt:lpstr>
      <vt:lpstr>JOUR PAR JOUR</vt:lpstr>
      <vt:lpstr>SYNTHÈSE PAR DATE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OLIERE Xavier (migré)</dc:creator>
  <cp:lastModifiedBy>OLIERE Xavier</cp:lastModifiedBy>
  <dcterms:created xsi:type="dcterms:W3CDTF">2026-10-19T00:13:03Z</dcterms:created>
  <dcterms:modified xsi:type="dcterms:W3CDTF">2026-10-23T03:20:24Z</dcterms:modified>
</cp:coreProperties>
</file>