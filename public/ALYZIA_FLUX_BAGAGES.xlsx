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ierex\Downloads\"/>
    </mc:Choice>
  </mc:AlternateContent>
  <bookViews>
    <workbookView xWindow="0" yWindow="0" windowWidth="23016" windowHeight="9192" activeTab="2"/>
  </bookViews>
  <sheets>
    <sheet name="RÉCAPITULATIF" sheetId="1" r:id="rId1"/>
    <sheet name="DOSSIERS" sheetId="2" r:id="rId2"/>
    <sheet name="JOUR PAR JOUR" sheetId="3" r:id="rId3"/>
    <sheet name="SYNTHÈSE PAR DATE" sheetId="4" r:id="rId4"/>
    <sheet name="BASE" sheetId="5" r:id="rId5"/>
  </sheets>
  <definedNames>
    <definedName name="_xlnm._FilterDatabase" localSheetId="0" hidden="1">RÉCAPITULATIF!$A$110:$R$150</definedName>
  </definedNames>
  <calcPr calcId="152511"/>
</workbook>
</file>

<file path=xl/calcChain.xml><?xml version="1.0" encoding="utf-8"?>
<calcChain xmlns="http://schemas.openxmlformats.org/spreadsheetml/2006/main">
  <c r="P1740" i="5" l="1"/>
  <c r="Q1740" i="5" s="1"/>
  <c r="R1740" i="5" s="1"/>
  <c r="P1739" i="5"/>
  <c r="Q1739" i="5" s="1"/>
  <c r="R1739" i="5" s="1"/>
  <c r="Q1738" i="5"/>
  <c r="R1738" i="5" s="1"/>
  <c r="P1738" i="5"/>
  <c r="Q1737" i="5"/>
  <c r="R1737" i="5" s="1"/>
  <c r="P1737" i="5"/>
  <c r="Q1736" i="5"/>
  <c r="R1736" i="5" s="1"/>
  <c r="P1736" i="5"/>
  <c r="R1735" i="5"/>
  <c r="Q1735" i="5"/>
  <c r="P1735" i="5"/>
  <c r="Q1734" i="5"/>
  <c r="R1734" i="5" s="1"/>
  <c r="P1734" i="5"/>
  <c r="P1733" i="5"/>
  <c r="Q1733" i="5" s="1"/>
  <c r="R1733" i="5" s="1"/>
  <c r="P1732" i="5"/>
  <c r="Q1732" i="5" s="1"/>
  <c r="R1732" i="5" s="1"/>
  <c r="P1731" i="5"/>
  <c r="Q1731" i="5" s="1"/>
  <c r="R1731" i="5" s="1"/>
  <c r="Q1730" i="5"/>
  <c r="R1730" i="5" s="1"/>
  <c r="P1730" i="5"/>
  <c r="P1729" i="5"/>
  <c r="Q1729" i="5" s="1"/>
  <c r="R1729" i="5" s="1"/>
  <c r="Q1728" i="5"/>
  <c r="R1728" i="5" s="1"/>
  <c r="P1728" i="5"/>
  <c r="R1727" i="5"/>
  <c r="Q1727" i="5"/>
  <c r="P1727" i="5"/>
  <c r="Q1726" i="5"/>
  <c r="R1726" i="5" s="1"/>
  <c r="P1726" i="5"/>
  <c r="P1725" i="5"/>
  <c r="Q1725" i="5" s="1"/>
  <c r="R1725" i="5" s="1"/>
  <c r="P1724" i="5"/>
  <c r="Q1724" i="5" s="1"/>
  <c r="R1724" i="5" s="1"/>
  <c r="P1723" i="5"/>
  <c r="Q1723" i="5" s="1"/>
  <c r="R1723" i="5" s="1"/>
  <c r="Q1722" i="5"/>
  <c r="R1722" i="5" s="1"/>
  <c r="P1722" i="5"/>
  <c r="P1721" i="5"/>
  <c r="Q1721" i="5" s="1"/>
  <c r="R1721" i="5" s="1"/>
  <c r="Q1720" i="5"/>
  <c r="R1720" i="5" s="1"/>
  <c r="P1720" i="5"/>
  <c r="R1719" i="5"/>
  <c r="Q1719" i="5"/>
  <c r="P1719" i="5"/>
  <c r="Q1718" i="5"/>
  <c r="R1718" i="5" s="1"/>
  <c r="P1718" i="5"/>
  <c r="P1717" i="5"/>
  <c r="Q1717" i="5" s="1"/>
  <c r="R1717" i="5" s="1"/>
  <c r="P1716" i="5"/>
  <c r="Q1716" i="5" s="1"/>
  <c r="R1716" i="5" s="1"/>
  <c r="P1715" i="5"/>
  <c r="Q1715" i="5" s="1"/>
  <c r="R1715" i="5" s="1"/>
  <c r="Q1714" i="5"/>
  <c r="R1714" i="5" s="1"/>
  <c r="P1714" i="5"/>
  <c r="P1713" i="5"/>
  <c r="Q1713" i="5" s="1"/>
  <c r="R1713" i="5" s="1"/>
  <c r="Q1712" i="5"/>
  <c r="R1712" i="5" s="1"/>
  <c r="P1712" i="5"/>
  <c r="R1711" i="5"/>
  <c r="Q1711" i="5"/>
  <c r="P1711" i="5"/>
  <c r="Q1710" i="5"/>
  <c r="R1710" i="5" s="1"/>
  <c r="P1710" i="5"/>
  <c r="P1709" i="5"/>
  <c r="Q1709" i="5" s="1"/>
  <c r="R1709" i="5" s="1"/>
  <c r="P1708" i="5"/>
  <c r="Q1708" i="5" s="1"/>
  <c r="R1708" i="5" s="1"/>
  <c r="P1707" i="5"/>
  <c r="Q1707" i="5" s="1"/>
  <c r="R1707" i="5" s="1"/>
  <c r="Q1706" i="5"/>
  <c r="R1706" i="5" s="1"/>
  <c r="P1706" i="5"/>
  <c r="P1705" i="5"/>
  <c r="Q1705" i="5" s="1"/>
  <c r="R1705" i="5" s="1"/>
  <c r="Q1704" i="5"/>
  <c r="R1704" i="5" s="1"/>
  <c r="P1704" i="5"/>
  <c r="R1703" i="5"/>
  <c r="Q1703" i="5"/>
  <c r="P1703" i="5"/>
  <c r="Q1702" i="5"/>
  <c r="R1702" i="5" s="1"/>
  <c r="P1702" i="5"/>
  <c r="P1701" i="5"/>
  <c r="Q1701" i="5" s="1"/>
  <c r="R1701" i="5" s="1"/>
  <c r="P1700" i="5"/>
  <c r="Q1700" i="5" s="1"/>
  <c r="R1700" i="5" s="1"/>
  <c r="P1699" i="5"/>
  <c r="Q1699" i="5" s="1"/>
  <c r="R1699" i="5" s="1"/>
  <c r="Q1698" i="5"/>
  <c r="R1698" i="5" s="1"/>
  <c r="P1698" i="5"/>
  <c r="P1697" i="5"/>
  <c r="Q1697" i="5" s="1"/>
  <c r="R1697" i="5" s="1"/>
  <c r="Q1696" i="5"/>
  <c r="R1696" i="5" s="1"/>
  <c r="P1696" i="5"/>
  <c r="R1695" i="5"/>
  <c r="Q1695" i="5"/>
  <c r="P1695" i="5"/>
  <c r="Q1694" i="5"/>
  <c r="R1694" i="5" s="1"/>
  <c r="P1694" i="5"/>
  <c r="P1693" i="5"/>
  <c r="Q1693" i="5" s="1"/>
  <c r="R1693" i="5" s="1"/>
  <c r="P1692" i="5"/>
  <c r="Q1692" i="5" s="1"/>
  <c r="R1692" i="5" s="1"/>
  <c r="P1691" i="5"/>
  <c r="Q1691" i="5" s="1"/>
  <c r="R1691" i="5" s="1"/>
  <c r="Q1690" i="5"/>
  <c r="R1690" i="5" s="1"/>
  <c r="P1690" i="5"/>
  <c r="P1689" i="5"/>
  <c r="Q1689" i="5" s="1"/>
  <c r="R1689" i="5" s="1"/>
  <c r="Q1688" i="5"/>
  <c r="R1688" i="5" s="1"/>
  <c r="P1688" i="5"/>
  <c r="R1687" i="5"/>
  <c r="Q1687" i="5"/>
  <c r="P1687" i="5"/>
  <c r="Q1686" i="5"/>
  <c r="R1686" i="5" s="1"/>
  <c r="P1686" i="5"/>
  <c r="P1685" i="5"/>
  <c r="Q1685" i="5" s="1"/>
  <c r="R1685" i="5" s="1"/>
  <c r="P1684" i="5"/>
  <c r="Q1684" i="5" s="1"/>
  <c r="R1684" i="5" s="1"/>
  <c r="P1683" i="5"/>
  <c r="Q1683" i="5" s="1"/>
  <c r="R1683" i="5" s="1"/>
  <c r="Q1682" i="5"/>
  <c r="R1682" i="5" s="1"/>
  <c r="P1682" i="5"/>
  <c r="P1681" i="5"/>
  <c r="Q1681" i="5" s="1"/>
  <c r="R1681" i="5" s="1"/>
  <c r="Q1680" i="5"/>
  <c r="R1680" i="5" s="1"/>
  <c r="P1680" i="5"/>
  <c r="R1679" i="5"/>
  <c r="Q1679" i="5"/>
  <c r="P1679" i="5"/>
  <c r="Q1678" i="5"/>
  <c r="R1678" i="5" s="1"/>
  <c r="P1678" i="5"/>
  <c r="P1677" i="5"/>
  <c r="Q1677" i="5" s="1"/>
  <c r="R1677" i="5" s="1"/>
  <c r="P1676" i="5"/>
  <c r="Q1676" i="5" s="1"/>
  <c r="R1676" i="5" s="1"/>
  <c r="P1675" i="5"/>
  <c r="Q1675" i="5" s="1"/>
  <c r="R1675" i="5" s="1"/>
  <c r="Q1674" i="5"/>
  <c r="R1674" i="5" s="1"/>
  <c r="P1674" i="5"/>
  <c r="P1673" i="5"/>
  <c r="Q1673" i="5" s="1"/>
  <c r="R1673" i="5" s="1"/>
  <c r="Q1672" i="5"/>
  <c r="R1672" i="5" s="1"/>
  <c r="P1672" i="5"/>
  <c r="R1671" i="5"/>
  <c r="Q1671" i="5"/>
  <c r="P1671" i="5"/>
  <c r="Q1670" i="5"/>
  <c r="R1670" i="5" s="1"/>
  <c r="P1670" i="5"/>
  <c r="P1669" i="5"/>
  <c r="Q1669" i="5" s="1"/>
  <c r="R1669" i="5" s="1"/>
  <c r="P1668" i="5"/>
  <c r="Q1668" i="5" s="1"/>
  <c r="R1668" i="5" s="1"/>
  <c r="P1667" i="5"/>
  <c r="Q1667" i="5" s="1"/>
  <c r="R1667" i="5" s="1"/>
  <c r="Q1666" i="5"/>
  <c r="R1666" i="5" s="1"/>
  <c r="P1666" i="5"/>
  <c r="P1665" i="5"/>
  <c r="Q1665" i="5" s="1"/>
  <c r="R1665" i="5" s="1"/>
  <c r="Q1664" i="5"/>
  <c r="R1664" i="5" s="1"/>
  <c r="P1664" i="5"/>
  <c r="R1663" i="5"/>
  <c r="Q1663" i="5"/>
  <c r="P1663" i="5"/>
  <c r="Q1662" i="5"/>
  <c r="R1662" i="5" s="1"/>
  <c r="P1662" i="5"/>
  <c r="P1661" i="5"/>
  <c r="Q1661" i="5" s="1"/>
  <c r="R1661" i="5" s="1"/>
  <c r="P1660" i="5"/>
  <c r="Q1660" i="5" s="1"/>
  <c r="R1660" i="5" s="1"/>
  <c r="P1659" i="5"/>
  <c r="Q1659" i="5" s="1"/>
  <c r="R1659" i="5" s="1"/>
  <c r="Q1658" i="5"/>
  <c r="R1658" i="5" s="1"/>
  <c r="P1658" i="5"/>
  <c r="P1657" i="5"/>
  <c r="Q1657" i="5" s="1"/>
  <c r="R1657" i="5" s="1"/>
  <c r="Q1656" i="5"/>
  <c r="R1656" i="5" s="1"/>
  <c r="P1656" i="5"/>
  <c r="R1655" i="5"/>
  <c r="Q1655" i="5"/>
  <c r="P1655" i="5"/>
  <c r="Q1654" i="5"/>
  <c r="R1654" i="5" s="1"/>
  <c r="P1654" i="5"/>
  <c r="P1653" i="5"/>
  <c r="Q1653" i="5" s="1"/>
  <c r="R1653" i="5" s="1"/>
  <c r="P1652" i="5"/>
  <c r="Q1652" i="5" s="1"/>
  <c r="R1652" i="5" s="1"/>
  <c r="P1651" i="5"/>
  <c r="Q1651" i="5" s="1"/>
  <c r="R1651" i="5" s="1"/>
  <c r="Q1650" i="5"/>
  <c r="R1650" i="5" s="1"/>
  <c r="P1650" i="5"/>
  <c r="P1649" i="5"/>
  <c r="Q1649" i="5" s="1"/>
  <c r="R1649" i="5" s="1"/>
  <c r="Q1648" i="5"/>
  <c r="R1648" i="5" s="1"/>
  <c r="P1648" i="5"/>
  <c r="R1647" i="5"/>
  <c r="Q1647" i="5"/>
  <c r="P1647" i="5"/>
  <c r="Q1646" i="5"/>
  <c r="R1646" i="5" s="1"/>
  <c r="P1646" i="5"/>
  <c r="P1645" i="5"/>
  <c r="Q1645" i="5" s="1"/>
  <c r="R1645" i="5" s="1"/>
  <c r="P1644" i="5"/>
  <c r="Q1644" i="5" s="1"/>
  <c r="R1644" i="5" s="1"/>
  <c r="P1643" i="5"/>
  <c r="Q1643" i="5" s="1"/>
  <c r="R1643" i="5" s="1"/>
  <c r="Q1642" i="5"/>
  <c r="R1642" i="5" s="1"/>
  <c r="P1642" i="5"/>
  <c r="P1641" i="5"/>
  <c r="Q1641" i="5" s="1"/>
  <c r="R1641" i="5" s="1"/>
  <c r="Q1640" i="5"/>
  <c r="R1640" i="5" s="1"/>
  <c r="P1640" i="5"/>
  <c r="R1639" i="5"/>
  <c r="Q1639" i="5"/>
  <c r="P1639" i="5"/>
  <c r="Q1638" i="5"/>
  <c r="R1638" i="5" s="1"/>
  <c r="P1638" i="5"/>
  <c r="P1637" i="5"/>
  <c r="Q1637" i="5" s="1"/>
  <c r="R1637" i="5" s="1"/>
  <c r="P1636" i="5"/>
  <c r="Q1636" i="5" s="1"/>
  <c r="R1636" i="5" s="1"/>
  <c r="P1635" i="5"/>
  <c r="Q1635" i="5" s="1"/>
  <c r="R1635" i="5" s="1"/>
  <c r="Q1634" i="5"/>
  <c r="R1634" i="5" s="1"/>
  <c r="P1634" i="5"/>
  <c r="P1633" i="5"/>
  <c r="Q1633" i="5" s="1"/>
  <c r="R1633" i="5" s="1"/>
  <c r="Q1632" i="5"/>
  <c r="R1632" i="5" s="1"/>
  <c r="P1632" i="5"/>
  <c r="R1631" i="5"/>
  <c r="Q1631" i="5"/>
  <c r="P1631" i="5"/>
  <c r="Q1630" i="5"/>
  <c r="R1630" i="5" s="1"/>
  <c r="P1630" i="5"/>
  <c r="P1629" i="5"/>
  <c r="Q1629" i="5" s="1"/>
  <c r="R1629" i="5" s="1"/>
  <c r="P1628" i="5"/>
  <c r="Q1628" i="5" s="1"/>
  <c r="R1628" i="5" s="1"/>
  <c r="P1627" i="5"/>
  <c r="Q1627" i="5" s="1"/>
  <c r="R1627" i="5" s="1"/>
  <c r="Q1626" i="5"/>
  <c r="R1626" i="5" s="1"/>
  <c r="P1626" i="5"/>
  <c r="P1625" i="5"/>
  <c r="Q1625" i="5" s="1"/>
  <c r="R1625" i="5" s="1"/>
  <c r="Q1624" i="5"/>
  <c r="R1624" i="5" s="1"/>
  <c r="P1624" i="5"/>
  <c r="R1623" i="5"/>
  <c r="Q1623" i="5"/>
  <c r="P1623" i="5"/>
  <c r="Q1622" i="5"/>
  <c r="R1622" i="5" s="1"/>
  <c r="P1622" i="5"/>
  <c r="P1621" i="5"/>
  <c r="Q1621" i="5" s="1"/>
  <c r="R1621" i="5" s="1"/>
  <c r="P1620" i="5"/>
  <c r="Q1620" i="5" s="1"/>
  <c r="R1620" i="5" s="1"/>
  <c r="P1619" i="5"/>
  <c r="Q1619" i="5" s="1"/>
  <c r="R1619" i="5" s="1"/>
  <c r="Q1618" i="5"/>
  <c r="R1618" i="5" s="1"/>
  <c r="P1618" i="5"/>
  <c r="P1617" i="5"/>
  <c r="Q1617" i="5" s="1"/>
  <c r="R1617" i="5" s="1"/>
  <c r="Q1616" i="5"/>
  <c r="R1616" i="5" s="1"/>
  <c r="P1616" i="5"/>
  <c r="R1615" i="5"/>
  <c r="Q1615" i="5"/>
  <c r="P1615" i="5"/>
  <c r="Q1614" i="5"/>
  <c r="R1614" i="5" s="1"/>
  <c r="P1614" i="5"/>
  <c r="P1613" i="5"/>
  <c r="Q1613" i="5" s="1"/>
  <c r="R1613" i="5" s="1"/>
  <c r="P1612" i="5"/>
  <c r="Q1612" i="5" s="1"/>
  <c r="R1612" i="5" s="1"/>
  <c r="P1611" i="5"/>
  <c r="Q1611" i="5" s="1"/>
  <c r="R1611" i="5" s="1"/>
  <c r="Q1610" i="5"/>
  <c r="R1610" i="5" s="1"/>
  <c r="P1610" i="5"/>
  <c r="P1609" i="5"/>
  <c r="Q1609" i="5" s="1"/>
  <c r="R1609" i="5" s="1"/>
  <c r="Q1608" i="5"/>
  <c r="R1608" i="5" s="1"/>
  <c r="P1608" i="5"/>
  <c r="R1607" i="5"/>
  <c r="Q1607" i="5"/>
  <c r="P1607" i="5"/>
  <c r="Q1606" i="5"/>
  <c r="R1606" i="5" s="1"/>
  <c r="P1606" i="5"/>
  <c r="P1605" i="5"/>
  <c r="Q1605" i="5" s="1"/>
  <c r="R1605" i="5" s="1"/>
  <c r="P1604" i="5"/>
  <c r="Q1604" i="5" s="1"/>
  <c r="R1604" i="5" s="1"/>
  <c r="P1603" i="5"/>
  <c r="Q1603" i="5" s="1"/>
  <c r="R1603" i="5" s="1"/>
  <c r="Q1602" i="5"/>
  <c r="R1602" i="5" s="1"/>
  <c r="P1602" i="5"/>
  <c r="P1601" i="5"/>
  <c r="Q1601" i="5" s="1"/>
  <c r="R1601" i="5" s="1"/>
  <c r="Q1600" i="5"/>
  <c r="R1600" i="5" s="1"/>
  <c r="P1600" i="5"/>
  <c r="R1599" i="5"/>
  <c r="Q1599" i="5"/>
  <c r="P1599" i="5"/>
  <c r="Q1598" i="5"/>
  <c r="R1598" i="5" s="1"/>
  <c r="P1598" i="5"/>
  <c r="P1597" i="5"/>
  <c r="Q1597" i="5" s="1"/>
  <c r="R1597" i="5" s="1"/>
  <c r="P1596" i="5"/>
  <c r="Q1596" i="5" s="1"/>
  <c r="R1596" i="5" s="1"/>
  <c r="P1595" i="5"/>
  <c r="Q1595" i="5" s="1"/>
  <c r="R1595" i="5" s="1"/>
  <c r="Q1594" i="5"/>
  <c r="R1594" i="5" s="1"/>
  <c r="P1594" i="5"/>
  <c r="P1593" i="5"/>
  <c r="Q1593" i="5" s="1"/>
  <c r="R1593" i="5" s="1"/>
  <c r="Q1592" i="5"/>
  <c r="R1592" i="5" s="1"/>
  <c r="P1592" i="5"/>
  <c r="R1591" i="5"/>
  <c r="Q1591" i="5"/>
  <c r="P1591" i="5"/>
  <c r="Q1590" i="5"/>
  <c r="R1590" i="5" s="1"/>
  <c r="P1590" i="5"/>
  <c r="P1589" i="5"/>
  <c r="Q1589" i="5" s="1"/>
  <c r="R1589" i="5" s="1"/>
  <c r="P1588" i="5"/>
  <c r="Q1588" i="5" s="1"/>
  <c r="R1588" i="5" s="1"/>
  <c r="P1587" i="5"/>
  <c r="Q1587" i="5" s="1"/>
  <c r="R1587" i="5" s="1"/>
  <c r="Q1586" i="5"/>
  <c r="R1586" i="5" s="1"/>
  <c r="P1586" i="5"/>
  <c r="P1585" i="5"/>
  <c r="Q1585" i="5" s="1"/>
  <c r="R1585" i="5" s="1"/>
  <c r="Q1584" i="5"/>
  <c r="R1584" i="5" s="1"/>
  <c r="P1584" i="5"/>
  <c r="R1583" i="5"/>
  <c r="Q1583" i="5"/>
  <c r="P1583" i="5"/>
  <c r="Q1582" i="5"/>
  <c r="R1582" i="5" s="1"/>
  <c r="P1582" i="5"/>
  <c r="P1581" i="5"/>
  <c r="Q1581" i="5" s="1"/>
  <c r="R1581" i="5" s="1"/>
  <c r="P1580" i="5"/>
  <c r="Q1580" i="5" s="1"/>
  <c r="R1580" i="5" s="1"/>
  <c r="P1579" i="5"/>
  <c r="Q1579" i="5" s="1"/>
  <c r="R1579" i="5" s="1"/>
  <c r="Q1578" i="5"/>
  <c r="R1578" i="5" s="1"/>
  <c r="P1578" i="5"/>
  <c r="P1577" i="5"/>
  <c r="Q1577" i="5" s="1"/>
  <c r="R1577" i="5" s="1"/>
  <c r="Q1576" i="5"/>
  <c r="R1576" i="5" s="1"/>
  <c r="P1576" i="5"/>
  <c r="R1575" i="5"/>
  <c r="Q1575" i="5"/>
  <c r="P1575" i="5"/>
  <c r="Q1574" i="5"/>
  <c r="R1574" i="5" s="1"/>
  <c r="P1574" i="5"/>
  <c r="P1573" i="5"/>
  <c r="Q1573" i="5" s="1"/>
  <c r="R1573" i="5" s="1"/>
  <c r="P1572" i="5"/>
  <c r="Q1572" i="5" s="1"/>
  <c r="R1572" i="5" s="1"/>
  <c r="P1571" i="5"/>
  <c r="Q1571" i="5" s="1"/>
  <c r="R1571" i="5" s="1"/>
  <c r="Q1570" i="5"/>
  <c r="R1570" i="5" s="1"/>
  <c r="P1570" i="5"/>
  <c r="P1569" i="5"/>
  <c r="Q1569" i="5" s="1"/>
  <c r="R1569" i="5" s="1"/>
  <c r="Q1568" i="5"/>
  <c r="R1568" i="5" s="1"/>
  <c r="P1568" i="5"/>
  <c r="R1567" i="5"/>
  <c r="Q1567" i="5"/>
  <c r="P1567" i="5"/>
  <c r="Q1566" i="5"/>
  <c r="R1566" i="5" s="1"/>
  <c r="P1566" i="5"/>
  <c r="P1565" i="5"/>
  <c r="Q1565" i="5" s="1"/>
  <c r="R1565" i="5" s="1"/>
  <c r="P1564" i="5"/>
  <c r="Q1564" i="5" s="1"/>
  <c r="R1564" i="5" s="1"/>
  <c r="R1563" i="5"/>
  <c r="P1563" i="5"/>
  <c r="Q1563" i="5" s="1"/>
  <c r="Q1562" i="5"/>
  <c r="R1562" i="5" s="1"/>
  <c r="P1562" i="5"/>
  <c r="P1561" i="5"/>
  <c r="Q1561" i="5" s="1"/>
  <c r="R1561" i="5" s="1"/>
  <c r="Q1560" i="5"/>
  <c r="R1560" i="5" s="1"/>
  <c r="P1560" i="5"/>
  <c r="R1559" i="5"/>
  <c r="Q1559" i="5"/>
  <c r="P1559" i="5"/>
  <c r="Q1558" i="5"/>
  <c r="R1558" i="5" s="1"/>
  <c r="P1558" i="5"/>
  <c r="P1557" i="5"/>
  <c r="Q1557" i="5" s="1"/>
  <c r="R1557" i="5" s="1"/>
  <c r="P1556" i="5"/>
  <c r="Q1556" i="5" s="1"/>
  <c r="R1556" i="5" s="1"/>
  <c r="R1555" i="5"/>
  <c r="P1555" i="5"/>
  <c r="Q1555" i="5" s="1"/>
  <c r="Q1554" i="5"/>
  <c r="R1554" i="5" s="1"/>
  <c r="P1554" i="5"/>
  <c r="P1553" i="5"/>
  <c r="Q1553" i="5" s="1"/>
  <c r="R1553" i="5" s="1"/>
  <c r="Q1552" i="5"/>
  <c r="R1552" i="5" s="1"/>
  <c r="P1552" i="5"/>
  <c r="R1551" i="5"/>
  <c r="Q1551" i="5"/>
  <c r="P1551" i="5"/>
  <c r="Q1550" i="5"/>
  <c r="R1550" i="5" s="1"/>
  <c r="P1550" i="5"/>
  <c r="P1549" i="5"/>
  <c r="Q1549" i="5" s="1"/>
  <c r="R1549" i="5" s="1"/>
  <c r="P1548" i="5"/>
  <c r="Q1548" i="5" s="1"/>
  <c r="R1548" i="5" s="1"/>
  <c r="P1547" i="5"/>
  <c r="Q1547" i="5" s="1"/>
  <c r="R1547" i="5" s="1"/>
  <c r="Q1546" i="5"/>
  <c r="R1546" i="5" s="1"/>
  <c r="P1546" i="5"/>
  <c r="P1545" i="5"/>
  <c r="Q1545" i="5" s="1"/>
  <c r="R1545" i="5" s="1"/>
  <c r="Q1544" i="5"/>
  <c r="R1544" i="5" s="1"/>
  <c r="P1544" i="5"/>
  <c r="R1543" i="5"/>
  <c r="Q1543" i="5"/>
  <c r="P1543" i="5"/>
  <c r="Q1542" i="5"/>
  <c r="R1542" i="5" s="1"/>
  <c r="P1542" i="5"/>
  <c r="P1541" i="5"/>
  <c r="Q1541" i="5" s="1"/>
  <c r="R1541" i="5" s="1"/>
  <c r="P1540" i="5"/>
  <c r="Q1540" i="5" s="1"/>
  <c r="R1540" i="5" s="1"/>
  <c r="P1539" i="5"/>
  <c r="Q1539" i="5" s="1"/>
  <c r="R1539" i="5" s="1"/>
  <c r="Q1538" i="5"/>
  <c r="R1538" i="5" s="1"/>
  <c r="P1538" i="5"/>
  <c r="P1537" i="5"/>
  <c r="Q1537" i="5" s="1"/>
  <c r="R1537" i="5" s="1"/>
  <c r="Q1536" i="5"/>
  <c r="R1536" i="5" s="1"/>
  <c r="P1536" i="5"/>
  <c r="R1535" i="5"/>
  <c r="Q1535" i="5"/>
  <c r="P1535" i="5"/>
  <c r="Q1534" i="5"/>
  <c r="R1534" i="5" s="1"/>
  <c r="P1534" i="5"/>
  <c r="P1533" i="5"/>
  <c r="Q1533" i="5" s="1"/>
  <c r="R1533" i="5" s="1"/>
  <c r="P1532" i="5"/>
  <c r="Q1532" i="5" s="1"/>
  <c r="R1532" i="5" s="1"/>
  <c r="P1531" i="5"/>
  <c r="Q1531" i="5" s="1"/>
  <c r="R1531" i="5" s="1"/>
  <c r="Q1530" i="5"/>
  <c r="R1530" i="5" s="1"/>
  <c r="P1530" i="5"/>
  <c r="P1529" i="5"/>
  <c r="Q1529" i="5" s="1"/>
  <c r="R1529" i="5" s="1"/>
  <c r="Q1528" i="5"/>
  <c r="R1528" i="5" s="1"/>
  <c r="P1528" i="5"/>
  <c r="R1527" i="5"/>
  <c r="Q1527" i="5"/>
  <c r="P1527" i="5"/>
  <c r="Q1526" i="5"/>
  <c r="R1526" i="5" s="1"/>
  <c r="P1526" i="5"/>
  <c r="P1525" i="5"/>
  <c r="Q1525" i="5" s="1"/>
  <c r="R1525" i="5" s="1"/>
  <c r="P1524" i="5"/>
  <c r="Q1524" i="5" s="1"/>
  <c r="R1524" i="5" s="1"/>
  <c r="P1523" i="5"/>
  <c r="Q1523" i="5" s="1"/>
  <c r="R1523" i="5" s="1"/>
  <c r="Q1522" i="5"/>
  <c r="R1522" i="5" s="1"/>
  <c r="P1522" i="5"/>
  <c r="P1521" i="5"/>
  <c r="Q1521" i="5" s="1"/>
  <c r="R1521" i="5" s="1"/>
  <c r="Q1520" i="5"/>
  <c r="R1520" i="5" s="1"/>
  <c r="P1520" i="5"/>
  <c r="R1519" i="5"/>
  <c r="Q1519" i="5"/>
  <c r="P1519" i="5"/>
  <c r="Q1518" i="5"/>
  <c r="R1518" i="5" s="1"/>
  <c r="P1518" i="5"/>
  <c r="P1517" i="5"/>
  <c r="Q1517" i="5" s="1"/>
  <c r="R1517" i="5" s="1"/>
  <c r="P1516" i="5"/>
  <c r="Q1516" i="5" s="1"/>
  <c r="R1516" i="5" s="1"/>
  <c r="P1515" i="5"/>
  <c r="Q1515" i="5" s="1"/>
  <c r="R1515" i="5" s="1"/>
  <c r="Q1514" i="5"/>
  <c r="R1514" i="5" s="1"/>
  <c r="P1514" i="5"/>
  <c r="P1513" i="5"/>
  <c r="Q1513" i="5" s="1"/>
  <c r="R1513" i="5" s="1"/>
  <c r="Q1512" i="5"/>
  <c r="R1512" i="5" s="1"/>
  <c r="P1512" i="5"/>
  <c r="R1511" i="5"/>
  <c r="Q1511" i="5"/>
  <c r="P1511" i="5"/>
  <c r="Q1510" i="5"/>
  <c r="R1510" i="5" s="1"/>
  <c r="P1510" i="5"/>
  <c r="P1509" i="5"/>
  <c r="Q1509" i="5" s="1"/>
  <c r="R1509" i="5" s="1"/>
  <c r="P1508" i="5"/>
  <c r="Q1508" i="5" s="1"/>
  <c r="R1508" i="5" s="1"/>
  <c r="P1507" i="5"/>
  <c r="Q1507" i="5" s="1"/>
  <c r="R1507" i="5" s="1"/>
  <c r="Q1506" i="5"/>
  <c r="R1506" i="5" s="1"/>
  <c r="P1506" i="5"/>
  <c r="P1505" i="5"/>
  <c r="Q1505" i="5" s="1"/>
  <c r="R1505" i="5" s="1"/>
  <c r="Q1504" i="5"/>
  <c r="R1504" i="5" s="1"/>
  <c r="P1504" i="5"/>
  <c r="R1503" i="5"/>
  <c r="Q1503" i="5"/>
  <c r="P1503" i="5"/>
  <c r="Q1502" i="5"/>
  <c r="R1502" i="5" s="1"/>
  <c r="P1502" i="5"/>
  <c r="P1501" i="5"/>
  <c r="Q1501" i="5" s="1"/>
  <c r="R1501" i="5" s="1"/>
  <c r="P1500" i="5"/>
  <c r="Q1500" i="5" s="1"/>
  <c r="R1500" i="5" s="1"/>
  <c r="P1499" i="5"/>
  <c r="Q1499" i="5" s="1"/>
  <c r="R1499" i="5" s="1"/>
  <c r="Q1498" i="5"/>
  <c r="R1498" i="5" s="1"/>
  <c r="P1498" i="5"/>
  <c r="P1497" i="5"/>
  <c r="Q1497" i="5" s="1"/>
  <c r="R1497" i="5" s="1"/>
  <c r="Q1496" i="5"/>
  <c r="R1496" i="5" s="1"/>
  <c r="P1496" i="5"/>
  <c r="R1495" i="5"/>
  <c r="Q1495" i="5"/>
  <c r="P1495" i="5"/>
  <c r="Q1494" i="5"/>
  <c r="R1494" i="5" s="1"/>
  <c r="P1494" i="5"/>
  <c r="P1493" i="5"/>
  <c r="Q1493" i="5" s="1"/>
  <c r="R1493" i="5" s="1"/>
  <c r="P1492" i="5"/>
  <c r="Q1492" i="5" s="1"/>
  <c r="R1492" i="5" s="1"/>
  <c r="P1491" i="5"/>
  <c r="Q1491" i="5" s="1"/>
  <c r="R1491" i="5" s="1"/>
  <c r="Q1490" i="5"/>
  <c r="R1490" i="5" s="1"/>
  <c r="P1490" i="5"/>
  <c r="P1489" i="5"/>
  <c r="Q1489" i="5" s="1"/>
  <c r="R1489" i="5" s="1"/>
  <c r="Q1488" i="5"/>
  <c r="R1488" i="5" s="1"/>
  <c r="P1488" i="5"/>
  <c r="R1487" i="5"/>
  <c r="Q1487" i="5"/>
  <c r="P1487" i="5"/>
  <c r="Q1486" i="5"/>
  <c r="R1486" i="5" s="1"/>
  <c r="P1486" i="5"/>
  <c r="P1485" i="5"/>
  <c r="Q1485" i="5" s="1"/>
  <c r="R1485" i="5" s="1"/>
  <c r="P1484" i="5"/>
  <c r="Q1484" i="5" s="1"/>
  <c r="R1484" i="5" s="1"/>
  <c r="P1483" i="5"/>
  <c r="Q1483" i="5" s="1"/>
  <c r="R1483" i="5" s="1"/>
  <c r="Q1482" i="5"/>
  <c r="R1482" i="5" s="1"/>
  <c r="P1482" i="5"/>
  <c r="P1481" i="5"/>
  <c r="Q1481" i="5" s="1"/>
  <c r="R1481" i="5" s="1"/>
  <c r="Q1480" i="5"/>
  <c r="R1480" i="5" s="1"/>
  <c r="P1480" i="5"/>
  <c r="R1479" i="5"/>
  <c r="Q1479" i="5"/>
  <c r="P1479" i="5"/>
  <c r="Q1478" i="5"/>
  <c r="R1478" i="5" s="1"/>
  <c r="P1478" i="5"/>
  <c r="P1477" i="5"/>
  <c r="Q1477" i="5" s="1"/>
  <c r="R1477" i="5" s="1"/>
  <c r="P1476" i="5"/>
  <c r="Q1476" i="5" s="1"/>
  <c r="R1476" i="5" s="1"/>
  <c r="P1475" i="5"/>
  <c r="Q1475" i="5" s="1"/>
  <c r="R1475" i="5" s="1"/>
  <c r="Q1474" i="5"/>
  <c r="R1474" i="5" s="1"/>
  <c r="P1474" i="5"/>
  <c r="P1473" i="5"/>
  <c r="Q1473" i="5" s="1"/>
  <c r="R1473" i="5" s="1"/>
  <c r="Q1472" i="5"/>
  <c r="R1472" i="5" s="1"/>
  <c r="P1472" i="5"/>
  <c r="R1471" i="5"/>
  <c r="Q1471" i="5"/>
  <c r="P1471" i="5"/>
  <c r="Q1470" i="5"/>
  <c r="R1470" i="5" s="1"/>
  <c r="P1470" i="5"/>
  <c r="P1469" i="5"/>
  <c r="Q1469" i="5" s="1"/>
  <c r="R1469" i="5" s="1"/>
  <c r="P1468" i="5"/>
  <c r="Q1468" i="5" s="1"/>
  <c r="R1468" i="5" s="1"/>
  <c r="P1467" i="5"/>
  <c r="Q1467" i="5" s="1"/>
  <c r="R1467" i="5" s="1"/>
  <c r="Q1466" i="5"/>
  <c r="R1466" i="5" s="1"/>
  <c r="P1466" i="5"/>
  <c r="P1465" i="5"/>
  <c r="Q1465" i="5" s="1"/>
  <c r="R1465" i="5" s="1"/>
  <c r="Q1464" i="5"/>
  <c r="R1464" i="5" s="1"/>
  <c r="P1464" i="5"/>
  <c r="R1463" i="5"/>
  <c r="Q1463" i="5"/>
  <c r="P1463" i="5"/>
  <c r="Q1462" i="5"/>
  <c r="R1462" i="5" s="1"/>
  <c r="P1462" i="5"/>
  <c r="P1461" i="5"/>
  <c r="Q1461" i="5" s="1"/>
  <c r="R1461" i="5" s="1"/>
  <c r="P1460" i="5"/>
  <c r="Q1460" i="5" s="1"/>
  <c r="R1460" i="5" s="1"/>
  <c r="P1459" i="5"/>
  <c r="Q1459" i="5" s="1"/>
  <c r="R1459" i="5" s="1"/>
  <c r="Q1458" i="5"/>
  <c r="R1458" i="5" s="1"/>
  <c r="P1458" i="5"/>
  <c r="P1457" i="5"/>
  <c r="Q1457" i="5" s="1"/>
  <c r="R1457" i="5" s="1"/>
  <c r="Q1456" i="5"/>
  <c r="R1456" i="5" s="1"/>
  <c r="P1456" i="5"/>
  <c r="R1455" i="5"/>
  <c r="Q1455" i="5"/>
  <c r="P1455" i="5"/>
  <c r="Q1454" i="5"/>
  <c r="R1454" i="5" s="1"/>
  <c r="P1454" i="5"/>
  <c r="P1453" i="5"/>
  <c r="Q1453" i="5" s="1"/>
  <c r="R1453" i="5" s="1"/>
  <c r="P1452" i="5"/>
  <c r="Q1452" i="5" s="1"/>
  <c r="R1452" i="5" s="1"/>
  <c r="P1451" i="5"/>
  <c r="Q1451" i="5" s="1"/>
  <c r="R1451" i="5" s="1"/>
  <c r="Q1450" i="5"/>
  <c r="R1450" i="5" s="1"/>
  <c r="P1450" i="5"/>
  <c r="P1449" i="5"/>
  <c r="Q1449" i="5" s="1"/>
  <c r="R1449" i="5" s="1"/>
  <c r="Q1448" i="5"/>
  <c r="R1448" i="5" s="1"/>
  <c r="P1448" i="5"/>
  <c r="R1447" i="5"/>
  <c r="Q1447" i="5"/>
  <c r="P1447" i="5"/>
  <c r="Q1446" i="5"/>
  <c r="R1446" i="5" s="1"/>
  <c r="P1446" i="5"/>
  <c r="P1445" i="5"/>
  <c r="Q1445" i="5" s="1"/>
  <c r="R1445" i="5" s="1"/>
  <c r="P1444" i="5"/>
  <c r="Q1444" i="5" s="1"/>
  <c r="R1444" i="5" s="1"/>
  <c r="P1443" i="5"/>
  <c r="Q1443" i="5" s="1"/>
  <c r="R1443" i="5" s="1"/>
  <c r="Q1442" i="5"/>
  <c r="R1442" i="5" s="1"/>
  <c r="P1442" i="5"/>
  <c r="P1441" i="5"/>
  <c r="Q1441" i="5" s="1"/>
  <c r="R1441" i="5" s="1"/>
  <c r="Q1440" i="5"/>
  <c r="R1440" i="5" s="1"/>
  <c r="P1440" i="5"/>
  <c r="R1439" i="5"/>
  <c r="Q1439" i="5"/>
  <c r="P1439" i="5"/>
  <c r="Q1438" i="5"/>
  <c r="R1438" i="5" s="1"/>
  <c r="P1438" i="5"/>
  <c r="Q1437" i="5"/>
  <c r="R1437" i="5" s="1"/>
  <c r="P1437" i="5"/>
  <c r="R1436" i="5"/>
  <c r="P1436" i="5"/>
  <c r="Q1436" i="5" s="1"/>
  <c r="P1435" i="5"/>
  <c r="Q1435" i="5" s="1"/>
  <c r="R1435" i="5" s="1"/>
  <c r="P1434" i="5"/>
  <c r="Q1434" i="5" s="1"/>
  <c r="R1434" i="5" s="1"/>
  <c r="P1433" i="5"/>
  <c r="Q1433" i="5" s="1"/>
  <c r="R1433" i="5" s="1"/>
  <c r="Q1432" i="5"/>
  <c r="R1432" i="5" s="1"/>
  <c r="P1432" i="5"/>
  <c r="Q1431" i="5"/>
  <c r="R1431" i="5" s="1"/>
  <c r="P1431" i="5"/>
  <c r="Q1430" i="5"/>
  <c r="R1430" i="5" s="1"/>
  <c r="P1430" i="5"/>
  <c r="Q1429" i="5"/>
  <c r="R1429" i="5" s="1"/>
  <c r="P1429" i="5"/>
  <c r="P1428" i="5"/>
  <c r="Q1428" i="5" s="1"/>
  <c r="R1428" i="5" s="1"/>
  <c r="P1427" i="5"/>
  <c r="Q1427" i="5" s="1"/>
  <c r="R1427" i="5" s="1"/>
  <c r="R1426" i="5"/>
  <c r="P1426" i="5"/>
  <c r="Q1426" i="5" s="1"/>
  <c r="P1425" i="5"/>
  <c r="Q1425" i="5" s="1"/>
  <c r="R1425" i="5" s="1"/>
  <c r="P1424" i="5"/>
  <c r="Q1424" i="5" s="1"/>
  <c r="R1424" i="5" s="1"/>
  <c r="Q1423" i="5"/>
  <c r="R1423" i="5" s="1"/>
  <c r="P1423" i="5"/>
  <c r="Q1422" i="5"/>
  <c r="R1422" i="5" s="1"/>
  <c r="P1422" i="5"/>
  <c r="P1421" i="5"/>
  <c r="Q1421" i="5" s="1"/>
  <c r="R1421" i="5" s="1"/>
  <c r="P1420" i="5"/>
  <c r="Q1420" i="5" s="1"/>
  <c r="R1420" i="5" s="1"/>
  <c r="R1419" i="5"/>
  <c r="P1419" i="5"/>
  <c r="Q1419" i="5" s="1"/>
  <c r="P1418" i="5"/>
  <c r="Q1418" i="5" s="1"/>
  <c r="R1418" i="5" s="1"/>
  <c r="P1417" i="5"/>
  <c r="Q1417" i="5" s="1"/>
  <c r="R1417" i="5" s="1"/>
  <c r="P1416" i="5"/>
  <c r="Q1416" i="5" s="1"/>
  <c r="R1416" i="5" s="1"/>
  <c r="P1415" i="5"/>
  <c r="P1414" i="5"/>
  <c r="P1413" i="5"/>
  <c r="R1412" i="5"/>
  <c r="P1412" i="5"/>
  <c r="Q1412" i="5" s="1"/>
  <c r="P1411" i="5"/>
  <c r="P1410" i="5"/>
  <c r="P1409" i="5"/>
  <c r="Q1409" i="5" s="1"/>
  <c r="R1409" i="5" s="1"/>
  <c r="P1408" i="5"/>
  <c r="Q1408" i="5" s="1"/>
  <c r="R1408" i="5" s="1"/>
  <c r="Q1407" i="5"/>
  <c r="R1407" i="5" s="1"/>
  <c r="P1407" i="5"/>
  <c r="Q1406" i="5"/>
  <c r="R1406" i="5" s="1"/>
  <c r="P1406" i="5"/>
  <c r="P1405" i="5"/>
  <c r="P1404" i="5"/>
  <c r="P1403" i="5"/>
  <c r="P1402" i="5"/>
  <c r="P1401" i="5"/>
  <c r="P1400" i="5"/>
  <c r="P1399" i="5"/>
  <c r="Q1399" i="5" s="1"/>
  <c r="R1399" i="5" s="1"/>
  <c r="P1398" i="5"/>
  <c r="Q1398" i="5" s="1"/>
  <c r="R1398" i="5" s="1"/>
  <c r="R1397" i="5"/>
  <c r="P1397" i="5"/>
  <c r="Q1397" i="5" s="1"/>
  <c r="P1396" i="5"/>
  <c r="Q1396" i="5" s="1"/>
  <c r="R1396" i="5" s="1"/>
  <c r="P1395" i="5"/>
  <c r="Q1395" i="5" s="1"/>
  <c r="R1395" i="5" s="1"/>
  <c r="P1394" i="5"/>
  <c r="Q1394" i="5" s="1"/>
  <c r="R1394" i="5" s="1"/>
  <c r="Q1393" i="5"/>
  <c r="R1393" i="5" s="1"/>
  <c r="P1393" i="5"/>
  <c r="Q1392" i="5"/>
  <c r="R1392" i="5" s="1"/>
  <c r="P1392" i="5"/>
  <c r="P1391" i="5"/>
  <c r="Q1391" i="5" s="1"/>
  <c r="R1391" i="5" s="1"/>
  <c r="P1390" i="5"/>
  <c r="Q1390" i="5" s="1"/>
  <c r="R1390" i="5" s="1"/>
  <c r="P1389" i="5"/>
  <c r="Q1389" i="5" s="1"/>
  <c r="R1389" i="5" s="1"/>
  <c r="P1388" i="5"/>
  <c r="Q1388" i="5" s="1"/>
  <c r="R1388" i="5" s="1"/>
  <c r="P1387" i="5"/>
  <c r="Q1387" i="5" s="1"/>
  <c r="R1387" i="5" s="1"/>
  <c r="P1386" i="5"/>
  <c r="Q1386" i="5" s="1"/>
  <c r="R1386" i="5" s="1"/>
  <c r="Q1385" i="5"/>
  <c r="R1385" i="5" s="1"/>
  <c r="P1385" i="5"/>
  <c r="Q1384" i="5"/>
  <c r="R1384" i="5" s="1"/>
  <c r="P1384" i="5"/>
  <c r="P1383" i="5"/>
  <c r="Q1383" i="5" s="1"/>
  <c r="R1383" i="5" s="1"/>
  <c r="P1382" i="5"/>
  <c r="Q1382" i="5" s="1"/>
  <c r="R1382" i="5" s="1"/>
  <c r="R1381" i="5"/>
  <c r="P1381" i="5"/>
  <c r="Q1381" i="5" s="1"/>
  <c r="P1380" i="5"/>
  <c r="Q1380" i="5" s="1"/>
  <c r="R1380" i="5" s="1"/>
  <c r="P1379" i="5"/>
  <c r="Q1379" i="5" s="1"/>
  <c r="R1379" i="5" s="1"/>
  <c r="P1378" i="5"/>
  <c r="Q1378" i="5" s="1"/>
  <c r="R1378" i="5" s="1"/>
  <c r="Q1377" i="5"/>
  <c r="R1377" i="5" s="1"/>
  <c r="P1377" i="5"/>
  <c r="Q1376" i="5"/>
  <c r="R1376" i="5" s="1"/>
  <c r="P1376" i="5"/>
  <c r="P1375" i="5"/>
  <c r="Q1375" i="5" s="1"/>
  <c r="R1375" i="5" s="1"/>
  <c r="P1374" i="5"/>
  <c r="Q1374" i="5" s="1"/>
  <c r="R1374" i="5" s="1"/>
  <c r="P1373" i="5"/>
  <c r="Q1373" i="5" s="1"/>
  <c r="R1373" i="5" s="1"/>
  <c r="P1372" i="5"/>
  <c r="Q1372" i="5" s="1"/>
  <c r="R1372" i="5" s="1"/>
  <c r="P1371" i="5"/>
  <c r="Q1371" i="5" s="1"/>
  <c r="R1371" i="5" s="1"/>
  <c r="P1370" i="5"/>
  <c r="Q1370" i="5" s="1"/>
  <c r="R1370" i="5" s="1"/>
  <c r="Q1369" i="5"/>
  <c r="R1369" i="5" s="1"/>
  <c r="P1369" i="5"/>
  <c r="Q1368" i="5"/>
  <c r="R1368" i="5" s="1"/>
  <c r="P1368" i="5"/>
  <c r="P1367" i="5"/>
  <c r="Q1367" i="5" s="1"/>
  <c r="R1367" i="5" s="1"/>
  <c r="P1366" i="5"/>
  <c r="Q1366" i="5" s="1"/>
  <c r="R1366" i="5" s="1"/>
  <c r="P1365" i="5"/>
  <c r="Q1365" i="5" s="1"/>
  <c r="R1365" i="5" s="1"/>
  <c r="P1364" i="5"/>
  <c r="Q1364" i="5" s="1"/>
  <c r="R1364" i="5" s="1"/>
  <c r="Q1363" i="5"/>
  <c r="R1363" i="5" s="1"/>
  <c r="P1363" i="5"/>
  <c r="Q1362" i="5"/>
  <c r="R1362" i="5" s="1"/>
  <c r="P1362" i="5"/>
  <c r="Q1361" i="5"/>
  <c r="R1361" i="5" s="1"/>
  <c r="P1361" i="5"/>
  <c r="R1360" i="5"/>
  <c r="Q1360" i="5"/>
  <c r="P1360" i="5"/>
  <c r="P1359" i="5"/>
  <c r="Q1359" i="5" s="1"/>
  <c r="R1359" i="5" s="1"/>
  <c r="P1358" i="5"/>
  <c r="Q1358" i="5" s="1"/>
  <c r="R1358" i="5" s="1"/>
  <c r="R1357" i="5"/>
  <c r="P1357" i="5"/>
  <c r="Q1357" i="5" s="1"/>
  <c r="P1356" i="5"/>
  <c r="Q1356" i="5" s="1"/>
  <c r="R1356" i="5" s="1"/>
  <c r="P1355" i="5"/>
  <c r="Q1355" i="5" s="1"/>
  <c r="R1355" i="5" s="1"/>
  <c r="Q1354" i="5"/>
  <c r="R1354" i="5" s="1"/>
  <c r="P1354" i="5"/>
  <c r="Q1353" i="5"/>
  <c r="R1353" i="5" s="1"/>
  <c r="P1353" i="5"/>
  <c r="Q1352" i="5"/>
  <c r="R1352" i="5" s="1"/>
  <c r="P1352" i="5"/>
  <c r="P1351" i="5"/>
  <c r="Q1351" i="5" s="1"/>
  <c r="R1351" i="5" s="1"/>
  <c r="R1350" i="5"/>
  <c r="P1350" i="5"/>
  <c r="Q1350" i="5" s="1"/>
  <c r="P1349" i="5"/>
  <c r="Q1349" i="5" s="1"/>
  <c r="R1349" i="5" s="1"/>
  <c r="P1348" i="5"/>
  <c r="Q1348" i="5" s="1"/>
  <c r="R1348" i="5" s="1"/>
  <c r="Q1347" i="5"/>
  <c r="R1347" i="5" s="1"/>
  <c r="P1347" i="5"/>
  <c r="Q1346" i="5"/>
  <c r="R1346" i="5" s="1"/>
  <c r="P1346" i="5"/>
  <c r="Q1345" i="5"/>
  <c r="R1345" i="5" s="1"/>
  <c r="P1345" i="5"/>
  <c r="Q1344" i="5"/>
  <c r="R1344" i="5" s="1"/>
  <c r="P1344" i="5"/>
  <c r="P1343" i="5"/>
  <c r="Q1343" i="5" s="1"/>
  <c r="R1343" i="5" s="1"/>
  <c r="P1342" i="5"/>
  <c r="Q1342" i="5" s="1"/>
  <c r="R1342" i="5" s="1"/>
  <c r="P1341" i="5"/>
  <c r="Q1341" i="5" s="1"/>
  <c r="R1341" i="5" s="1"/>
  <c r="P1340" i="5"/>
  <c r="Q1340" i="5" s="1"/>
  <c r="R1340" i="5" s="1"/>
  <c r="P1339" i="5"/>
  <c r="Q1339" i="5" s="1"/>
  <c r="R1339" i="5" s="1"/>
  <c r="Q1338" i="5"/>
  <c r="R1338" i="5" s="1"/>
  <c r="P1338" i="5"/>
  <c r="Q1337" i="5"/>
  <c r="R1337" i="5" s="1"/>
  <c r="P1337" i="5"/>
  <c r="R1336" i="5"/>
  <c r="Q1336" i="5"/>
  <c r="P1336" i="5"/>
  <c r="P1335" i="5"/>
  <c r="Q1335" i="5" s="1"/>
  <c r="R1335" i="5" s="1"/>
  <c r="P1334" i="5"/>
  <c r="Q1334" i="5" s="1"/>
  <c r="R1334" i="5" s="1"/>
  <c r="P1333" i="5"/>
  <c r="Q1333" i="5" s="1"/>
  <c r="R1333" i="5" s="1"/>
  <c r="P1332" i="5"/>
  <c r="Q1332" i="5" s="1"/>
  <c r="R1332" i="5" s="1"/>
  <c r="P1331" i="5"/>
  <c r="Q1331" i="5" s="1"/>
  <c r="R1331" i="5" s="1"/>
  <c r="Q1330" i="5"/>
  <c r="R1330" i="5" s="1"/>
  <c r="P1330" i="5"/>
  <c r="Q1329" i="5"/>
  <c r="R1329" i="5" s="1"/>
  <c r="P1329" i="5"/>
  <c r="R1328" i="5"/>
  <c r="Q1328" i="5"/>
  <c r="P1328" i="5"/>
  <c r="P1327" i="5"/>
  <c r="Q1327" i="5" s="1"/>
  <c r="R1327" i="5" s="1"/>
  <c r="P1326" i="5"/>
  <c r="Q1326" i="5" s="1"/>
  <c r="R1326" i="5" s="1"/>
  <c r="P1325" i="5"/>
  <c r="Q1325" i="5" s="1"/>
  <c r="R1325" i="5" s="1"/>
  <c r="P1324" i="5"/>
  <c r="Q1324" i="5" s="1"/>
  <c r="R1324" i="5" s="1"/>
  <c r="P1323" i="5"/>
  <c r="Q1323" i="5" s="1"/>
  <c r="R1323" i="5" s="1"/>
  <c r="Q1322" i="5"/>
  <c r="R1322" i="5" s="1"/>
  <c r="P1322" i="5"/>
  <c r="Q1321" i="5"/>
  <c r="R1321" i="5" s="1"/>
  <c r="P1321" i="5"/>
  <c r="R1320" i="5"/>
  <c r="Q1320" i="5"/>
  <c r="P1320" i="5"/>
  <c r="P1319" i="5"/>
  <c r="Q1319" i="5" s="1"/>
  <c r="R1319" i="5" s="1"/>
  <c r="P1318" i="5"/>
  <c r="Q1318" i="5" s="1"/>
  <c r="R1318" i="5" s="1"/>
  <c r="P1317" i="5"/>
  <c r="Q1317" i="5" s="1"/>
  <c r="R1317" i="5" s="1"/>
  <c r="P1316" i="5"/>
  <c r="Q1316" i="5" s="1"/>
  <c r="R1316" i="5" s="1"/>
  <c r="P1315" i="5"/>
  <c r="Q1315" i="5" s="1"/>
  <c r="R1315" i="5" s="1"/>
  <c r="Q1314" i="5"/>
  <c r="R1314" i="5" s="1"/>
  <c r="P1314" i="5"/>
  <c r="Q1313" i="5"/>
  <c r="R1313" i="5" s="1"/>
  <c r="P1313" i="5"/>
  <c r="R1312" i="5"/>
  <c r="Q1312" i="5"/>
  <c r="P1312" i="5"/>
  <c r="P1311" i="5"/>
  <c r="Q1311" i="5" s="1"/>
  <c r="R1311" i="5" s="1"/>
  <c r="P1310" i="5"/>
  <c r="Q1310" i="5" s="1"/>
  <c r="R1310" i="5" s="1"/>
  <c r="P1309" i="5"/>
  <c r="Q1309" i="5" s="1"/>
  <c r="R1309" i="5" s="1"/>
  <c r="P1308" i="5"/>
  <c r="Q1308" i="5" s="1"/>
  <c r="R1308" i="5" s="1"/>
  <c r="P1307" i="5"/>
  <c r="Q1307" i="5" s="1"/>
  <c r="R1307" i="5" s="1"/>
  <c r="Q1306" i="5"/>
  <c r="R1306" i="5" s="1"/>
  <c r="P1306" i="5"/>
  <c r="Q1305" i="5"/>
  <c r="R1305" i="5" s="1"/>
  <c r="P1305" i="5"/>
  <c r="R1304" i="5"/>
  <c r="Q1304" i="5"/>
  <c r="P1304" i="5"/>
  <c r="P1303" i="5"/>
  <c r="Q1303" i="5" s="1"/>
  <c r="R1303" i="5" s="1"/>
  <c r="P1302" i="5"/>
  <c r="Q1302" i="5" s="1"/>
  <c r="R1302" i="5" s="1"/>
  <c r="P1301" i="5"/>
  <c r="Q1301" i="5" s="1"/>
  <c r="R1301" i="5" s="1"/>
  <c r="P1300" i="5"/>
  <c r="Q1300" i="5" s="1"/>
  <c r="R1300" i="5" s="1"/>
  <c r="P1299" i="5"/>
  <c r="Q1299" i="5" s="1"/>
  <c r="R1299" i="5" s="1"/>
  <c r="Q1298" i="5"/>
  <c r="R1298" i="5" s="1"/>
  <c r="P1298" i="5"/>
  <c r="Q1297" i="5"/>
  <c r="R1297" i="5" s="1"/>
  <c r="P1297" i="5"/>
  <c r="R1296" i="5"/>
  <c r="Q1296" i="5"/>
  <c r="P1296" i="5"/>
  <c r="P1295" i="5"/>
  <c r="Q1295" i="5" s="1"/>
  <c r="R1295" i="5" s="1"/>
  <c r="P1294" i="5"/>
  <c r="Q1294" i="5" s="1"/>
  <c r="R1294" i="5" s="1"/>
  <c r="P1293" i="5"/>
  <c r="Q1293" i="5" s="1"/>
  <c r="R1293" i="5" s="1"/>
  <c r="P1292" i="5"/>
  <c r="Q1292" i="5" s="1"/>
  <c r="R1292" i="5" s="1"/>
  <c r="P1291" i="5"/>
  <c r="Q1291" i="5" s="1"/>
  <c r="R1291" i="5" s="1"/>
  <c r="Q1290" i="5"/>
  <c r="R1290" i="5" s="1"/>
  <c r="P1290" i="5"/>
  <c r="Q1289" i="5"/>
  <c r="R1289" i="5" s="1"/>
  <c r="P1289" i="5"/>
  <c r="R1288" i="5"/>
  <c r="Q1288" i="5"/>
  <c r="P1288" i="5"/>
  <c r="Q1287" i="5"/>
  <c r="R1287" i="5" s="1"/>
  <c r="P1287" i="5"/>
  <c r="P1286" i="5"/>
  <c r="Q1286" i="5" s="1"/>
  <c r="R1286" i="5" s="1"/>
  <c r="P1285" i="5"/>
  <c r="Q1285" i="5" s="1"/>
  <c r="R1285" i="5" s="1"/>
  <c r="Q1284" i="5"/>
  <c r="R1284" i="5" s="1"/>
  <c r="P1284" i="5"/>
  <c r="P1283" i="5"/>
  <c r="Q1283" i="5" s="1"/>
  <c r="R1283" i="5" s="1"/>
  <c r="P1282" i="5"/>
  <c r="Q1282" i="5" s="1"/>
  <c r="R1282" i="5" s="1"/>
  <c r="Q1281" i="5"/>
  <c r="R1281" i="5" s="1"/>
  <c r="P1281" i="5"/>
  <c r="R1280" i="5"/>
  <c r="Q1280" i="5"/>
  <c r="P1280" i="5"/>
  <c r="Q1279" i="5"/>
  <c r="R1279" i="5" s="1"/>
  <c r="P1279" i="5"/>
  <c r="P1278" i="5"/>
  <c r="Q1278" i="5" s="1"/>
  <c r="R1278" i="5" s="1"/>
  <c r="P1277" i="5"/>
  <c r="Q1277" i="5" s="1"/>
  <c r="R1277" i="5" s="1"/>
  <c r="Q1276" i="5"/>
  <c r="R1276" i="5" s="1"/>
  <c r="P1276" i="5"/>
  <c r="P1275" i="5"/>
  <c r="Q1275" i="5" s="1"/>
  <c r="R1275" i="5" s="1"/>
  <c r="P1274" i="5"/>
  <c r="Q1274" i="5" s="1"/>
  <c r="R1274" i="5" s="1"/>
  <c r="Q1273" i="5"/>
  <c r="R1273" i="5" s="1"/>
  <c r="P1273" i="5"/>
  <c r="R1272" i="5"/>
  <c r="Q1272" i="5"/>
  <c r="P1272" i="5"/>
  <c r="Q1271" i="5"/>
  <c r="R1271" i="5" s="1"/>
  <c r="P1271" i="5"/>
  <c r="P1270" i="5"/>
  <c r="Q1270" i="5" s="1"/>
  <c r="R1270" i="5" s="1"/>
  <c r="P1269" i="5"/>
  <c r="Q1269" i="5" s="1"/>
  <c r="R1269" i="5" s="1"/>
  <c r="Q1268" i="5"/>
  <c r="R1268" i="5" s="1"/>
  <c r="P1268" i="5"/>
  <c r="P1267" i="5"/>
  <c r="Q1267" i="5" s="1"/>
  <c r="R1267" i="5" s="1"/>
  <c r="P1266" i="5"/>
  <c r="Q1266" i="5" s="1"/>
  <c r="R1266" i="5" s="1"/>
  <c r="Q1265" i="5"/>
  <c r="R1265" i="5" s="1"/>
  <c r="P1265" i="5"/>
  <c r="R1264" i="5"/>
  <c r="Q1264" i="5"/>
  <c r="P1264" i="5"/>
  <c r="Q1263" i="5"/>
  <c r="R1263" i="5" s="1"/>
  <c r="P1263" i="5"/>
  <c r="P1262" i="5"/>
  <c r="Q1262" i="5" s="1"/>
  <c r="R1262" i="5" s="1"/>
  <c r="P1261" i="5"/>
  <c r="Q1261" i="5" s="1"/>
  <c r="R1261" i="5" s="1"/>
  <c r="Q1260" i="5"/>
  <c r="R1260" i="5" s="1"/>
  <c r="P1260" i="5"/>
  <c r="P1259" i="5"/>
  <c r="Q1259" i="5" s="1"/>
  <c r="R1259" i="5" s="1"/>
  <c r="P1258" i="5"/>
  <c r="Q1258" i="5" s="1"/>
  <c r="R1258" i="5" s="1"/>
  <c r="Q1257" i="5"/>
  <c r="R1257" i="5" s="1"/>
  <c r="P1257" i="5"/>
  <c r="R1256" i="5"/>
  <c r="Q1256" i="5"/>
  <c r="P1256" i="5"/>
  <c r="Q1255" i="5"/>
  <c r="R1255" i="5" s="1"/>
  <c r="P1255" i="5"/>
  <c r="P1254" i="5"/>
  <c r="Q1254" i="5" s="1"/>
  <c r="R1254" i="5" s="1"/>
  <c r="P1253" i="5"/>
  <c r="Q1253" i="5" s="1"/>
  <c r="R1253" i="5" s="1"/>
  <c r="Q1252" i="5"/>
  <c r="R1252" i="5" s="1"/>
  <c r="P1252" i="5"/>
  <c r="P1251" i="5"/>
  <c r="Q1251" i="5" s="1"/>
  <c r="R1251" i="5" s="1"/>
  <c r="P1250" i="5"/>
  <c r="Q1250" i="5" s="1"/>
  <c r="R1250" i="5" s="1"/>
  <c r="Q1249" i="5"/>
  <c r="R1249" i="5" s="1"/>
  <c r="P1249" i="5"/>
  <c r="R1248" i="5"/>
  <c r="Q1248" i="5"/>
  <c r="P1248" i="5"/>
  <c r="Q1247" i="5"/>
  <c r="R1247" i="5" s="1"/>
  <c r="P1247" i="5"/>
  <c r="P1246" i="5"/>
  <c r="Q1246" i="5" s="1"/>
  <c r="R1246" i="5" s="1"/>
  <c r="P1245" i="5"/>
  <c r="Q1245" i="5" s="1"/>
  <c r="R1245" i="5" s="1"/>
  <c r="Q1244" i="5"/>
  <c r="R1244" i="5" s="1"/>
  <c r="P1244" i="5"/>
  <c r="P1243" i="5"/>
  <c r="Q1243" i="5" s="1"/>
  <c r="R1243" i="5" s="1"/>
  <c r="P1242" i="5"/>
  <c r="Q1242" i="5" s="1"/>
  <c r="R1242" i="5" s="1"/>
  <c r="Q1241" i="5"/>
  <c r="R1241" i="5" s="1"/>
  <c r="P1241" i="5"/>
  <c r="R1240" i="5"/>
  <c r="Q1240" i="5"/>
  <c r="P1240" i="5"/>
  <c r="Q1239" i="5"/>
  <c r="R1239" i="5" s="1"/>
  <c r="P1239" i="5"/>
  <c r="P1238" i="5"/>
  <c r="Q1238" i="5" s="1"/>
  <c r="R1238" i="5" s="1"/>
  <c r="P1237" i="5"/>
  <c r="Q1237" i="5" s="1"/>
  <c r="R1237" i="5" s="1"/>
  <c r="Q1236" i="5"/>
  <c r="R1236" i="5" s="1"/>
  <c r="P1236" i="5"/>
  <c r="P1235" i="5"/>
  <c r="Q1235" i="5" s="1"/>
  <c r="R1235" i="5" s="1"/>
  <c r="P1234" i="5"/>
  <c r="Q1234" i="5" s="1"/>
  <c r="R1234" i="5" s="1"/>
  <c r="Q1233" i="5"/>
  <c r="R1233" i="5" s="1"/>
  <c r="P1233" i="5"/>
  <c r="R1232" i="5"/>
  <c r="Q1232" i="5"/>
  <c r="P1232" i="5"/>
  <c r="Q1231" i="5"/>
  <c r="R1231" i="5" s="1"/>
  <c r="P1231" i="5"/>
  <c r="P1230" i="5"/>
  <c r="Q1230" i="5" s="1"/>
  <c r="R1230" i="5" s="1"/>
  <c r="P1229" i="5"/>
  <c r="Q1229" i="5" s="1"/>
  <c r="R1229" i="5" s="1"/>
  <c r="Q1228" i="5"/>
  <c r="R1228" i="5" s="1"/>
  <c r="P1228" i="5"/>
  <c r="P1227" i="5"/>
  <c r="Q1227" i="5" s="1"/>
  <c r="R1227" i="5" s="1"/>
  <c r="P1226" i="5"/>
  <c r="Q1226" i="5" s="1"/>
  <c r="R1226" i="5" s="1"/>
  <c r="Q1225" i="5"/>
  <c r="R1225" i="5" s="1"/>
  <c r="P1225" i="5"/>
  <c r="R1224" i="5"/>
  <c r="Q1224" i="5"/>
  <c r="P1224" i="5"/>
  <c r="Q1223" i="5"/>
  <c r="R1223" i="5" s="1"/>
  <c r="P1223" i="5"/>
  <c r="P1222" i="5"/>
  <c r="Q1222" i="5" s="1"/>
  <c r="R1222" i="5" s="1"/>
  <c r="P1221" i="5"/>
  <c r="Q1221" i="5" s="1"/>
  <c r="R1221" i="5" s="1"/>
  <c r="Q1220" i="5"/>
  <c r="R1220" i="5" s="1"/>
  <c r="P1220" i="5"/>
  <c r="P1219" i="5"/>
  <c r="Q1219" i="5" s="1"/>
  <c r="R1219" i="5" s="1"/>
  <c r="P1218" i="5"/>
  <c r="Q1218" i="5" s="1"/>
  <c r="R1218" i="5" s="1"/>
  <c r="Q1217" i="5"/>
  <c r="R1217" i="5" s="1"/>
  <c r="P1217" i="5"/>
  <c r="R1216" i="5"/>
  <c r="Q1216" i="5"/>
  <c r="P1216" i="5"/>
  <c r="Q1215" i="5"/>
  <c r="R1215" i="5" s="1"/>
  <c r="P1215" i="5"/>
  <c r="P1214" i="5"/>
  <c r="Q1214" i="5" s="1"/>
  <c r="R1214" i="5" s="1"/>
  <c r="P1213" i="5"/>
  <c r="Q1213" i="5" s="1"/>
  <c r="R1213" i="5" s="1"/>
  <c r="Q1212" i="5"/>
  <c r="R1212" i="5" s="1"/>
  <c r="P1212" i="5"/>
  <c r="R1211" i="5"/>
  <c r="P1211" i="5"/>
  <c r="Q1211" i="5" s="1"/>
  <c r="P1210" i="5"/>
  <c r="Q1210" i="5" s="1"/>
  <c r="R1210" i="5" s="1"/>
  <c r="Q1209" i="5"/>
  <c r="R1209" i="5" s="1"/>
  <c r="P1209" i="5"/>
  <c r="R1208" i="5"/>
  <c r="Q1208" i="5"/>
  <c r="P1208" i="5"/>
  <c r="Q1207" i="5"/>
  <c r="R1207" i="5" s="1"/>
  <c r="P1207" i="5"/>
  <c r="P1206" i="5"/>
  <c r="Q1206" i="5" s="1"/>
  <c r="R1206" i="5" s="1"/>
  <c r="P1205" i="5"/>
  <c r="Q1205" i="5" s="1"/>
  <c r="R1205" i="5" s="1"/>
  <c r="Q1204" i="5"/>
  <c r="R1204" i="5" s="1"/>
  <c r="P1204" i="5"/>
  <c r="P1203" i="5"/>
  <c r="Q1203" i="5" s="1"/>
  <c r="R1203" i="5" s="1"/>
  <c r="P1202" i="5"/>
  <c r="Q1202" i="5" s="1"/>
  <c r="R1202" i="5" s="1"/>
  <c r="Q1201" i="5"/>
  <c r="R1201" i="5" s="1"/>
  <c r="P1201" i="5"/>
  <c r="R1200" i="5"/>
  <c r="Q1200" i="5"/>
  <c r="P1200" i="5"/>
  <c r="Q1199" i="5"/>
  <c r="R1199" i="5" s="1"/>
  <c r="P1199" i="5"/>
  <c r="P1198" i="5"/>
  <c r="Q1198" i="5" s="1"/>
  <c r="R1198" i="5" s="1"/>
  <c r="P1197" i="5"/>
  <c r="Q1197" i="5" s="1"/>
  <c r="R1197" i="5" s="1"/>
  <c r="Q1196" i="5"/>
  <c r="R1196" i="5" s="1"/>
  <c r="P1196" i="5"/>
  <c r="P1195" i="5"/>
  <c r="Q1195" i="5" s="1"/>
  <c r="R1195" i="5" s="1"/>
  <c r="P1194" i="5"/>
  <c r="Q1194" i="5" s="1"/>
  <c r="R1194" i="5" s="1"/>
  <c r="Q1193" i="5"/>
  <c r="R1193" i="5" s="1"/>
  <c r="P1193" i="5"/>
  <c r="R1192" i="5"/>
  <c r="Q1192" i="5"/>
  <c r="P1192" i="5"/>
  <c r="Q1191" i="5"/>
  <c r="R1191" i="5" s="1"/>
  <c r="P1191" i="5"/>
  <c r="P1190" i="5"/>
  <c r="Q1190" i="5" s="1"/>
  <c r="R1190" i="5" s="1"/>
  <c r="P1189" i="5"/>
  <c r="Q1189" i="5" s="1"/>
  <c r="R1189" i="5" s="1"/>
  <c r="Q1188" i="5"/>
  <c r="R1188" i="5" s="1"/>
  <c r="P1188" i="5"/>
  <c r="P1187" i="5"/>
  <c r="Q1187" i="5" s="1"/>
  <c r="R1187" i="5" s="1"/>
  <c r="P1186" i="5"/>
  <c r="Q1186" i="5" s="1"/>
  <c r="R1186" i="5" s="1"/>
  <c r="Q1185" i="5"/>
  <c r="R1185" i="5" s="1"/>
  <c r="P1185" i="5"/>
  <c r="R1184" i="5"/>
  <c r="Q1184" i="5"/>
  <c r="P1184" i="5"/>
  <c r="Q1183" i="5"/>
  <c r="R1183" i="5" s="1"/>
  <c r="P1183" i="5"/>
  <c r="P1182" i="5"/>
  <c r="Q1182" i="5" s="1"/>
  <c r="R1182" i="5" s="1"/>
  <c r="P1181" i="5"/>
  <c r="Q1181" i="5" s="1"/>
  <c r="R1181" i="5" s="1"/>
  <c r="Q1180" i="5"/>
  <c r="R1180" i="5" s="1"/>
  <c r="P1180" i="5"/>
  <c r="P1179" i="5"/>
  <c r="Q1179" i="5" s="1"/>
  <c r="R1179" i="5" s="1"/>
  <c r="P1178" i="5"/>
  <c r="Q1178" i="5" s="1"/>
  <c r="R1178" i="5" s="1"/>
  <c r="Q1177" i="5"/>
  <c r="R1177" i="5" s="1"/>
  <c r="P1177" i="5"/>
  <c r="R1176" i="5"/>
  <c r="Q1176" i="5"/>
  <c r="P1176" i="5"/>
  <c r="Q1175" i="5"/>
  <c r="R1175" i="5" s="1"/>
  <c r="P1175" i="5"/>
  <c r="R1174" i="5"/>
  <c r="P1174" i="5"/>
  <c r="Q1174" i="5" s="1"/>
  <c r="P1173" i="5"/>
  <c r="Q1173" i="5" s="1"/>
  <c r="R1173" i="5" s="1"/>
  <c r="Q1172" i="5"/>
  <c r="R1172" i="5" s="1"/>
  <c r="P1172" i="5"/>
  <c r="P1171" i="5"/>
  <c r="Q1171" i="5" s="1"/>
  <c r="R1171" i="5" s="1"/>
  <c r="P1170" i="5"/>
  <c r="Q1170" i="5" s="1"/>
  <c r="R1170" i="5" s="1"/>
  <c r="Q1169" i="5"/>
  <c r="R1169" i="5" s="1"/>
  <c r="P1169" i="5"/>
  <c r="R1168" i="5"/>
  <c r="Q1168" i="5"/>
  <c r="P1168" i="5"/>
  <c r="Q1167" i="5"/>
  <c r="R1167" i="5" s="1"/>
  <c r="P1167" i="5"/>
  <c r="P1166" i="5"/>
  <c r="Q1166" i="5" s="1"/>
  <c r="R1166" i="5" s="1"/>
  <c r="P1165" i="5"/>
  <c r="Q1165" i="5" s="1"/>
  <c r="R1165" i="5" s="1"/>
  <c r="Q1164" i="5"/>
  <c r="R1164" i="5" s="1"/>
  <c r="P1164" i="5"/>
  <c r="R1163" i="5"/>
  <c r="P1163" i="5"/>
  <c r="Q1163" i="5" s="1"/>
  <c r="P1162" i="5"/>
  <c r="Q1162" i="5" s="1"/>
  <c r="R1162" i="5" s="1"/>
  <c r="Q1161" i="5"/>
  <c r="R1161" i="5" s="1"/>
  <c r="P1161" i="5"/>
  <c r="R1160" i="5"/>
  <c r="Q1160" i="5"/>
  <c r="P1160" i="5"/>
  <c r="Q1159" i="5"/>
  <c r="R1159" i="5" s="1"/>
  <c r="P1159" i="5"/>
  <c r="R1158" i="5"/>
  <c r="P1158" i="5"/>
  <c r="Q1158" i="5" s="1"/>
  <c r="P1157" i="5"/>
  <c r="Q1157" i="5" s="1"/>
  <c r="R1157" i="5" s="1"/>
  <c r="Q1156" i="5"/>
  <c r="R1156" i="5" s="1"/>
  <c r="P1156" i="5"/>
  <c r="P1155" i="5"/>
  <c r="Q1155" i="5" s="1"/>
  <c r="R1155" i="5" s="1"/>
  <c r="P1154" i="5"/>
  <c r="Q1154" i="5" s="1"/>
  <c r="R1154" i="5" s="1"/>
  <c r="Q1153" i="5"/>
  <c r="R1153" i="5" s="1"/>
  <c r="P1153" i="5"/>
  <c r="R1152" i="5"/>
  <c r="Q1152" i="5"/>
  <c r="P1152" i="5"/>
  <c r="Q1151" i="5"/>
  <c r="R1151" i="5" s="1"/>
  <c r="P1151" i="5"/>
  <c r="P1150" i="5"/>
  <c r="Q1150" i="5" s="1"/>
  <c r="R1150" i="5" s="1"/>
  <c r="P1149" i="5"/>
  <c r="Q1148" i="5"/>
  <c r="R1148" i="5" s="1"/>
  <c r="P1148" i="5"/>
  <c r="P1147" i="5"/>
  <c r="Q1147" i="5" s="1"/>
  <c r="R1147" i="5" s="1"/>
  <c r="Q1146" i="5"/>
  <c r="R1146" i="5" s="1"/>
  <c r="P1146" i="5"/>
  <c r="R1145" i="5"/>
  <c r="P1145" i="5"/>
  <c r="Q1145" i="5" s="1"/>
  <c r="Q1144" i="5"/>
  <c r="R1144" i="5" s="1"/>
  <c r="P1144" i="5"/>
  <c r="P1143" i="5"/>
  <c r="Q1143" i="5" s="1"/>
  <c r="R1143" i="5" s="1"/>
  <c r="Q1142" i="5"/>
  <c r="R1142" i="5" s="1"/>
  <c r="P1142" i="5"/>
  <c r="P1141" i="5"/>
  <c r="Q1141" i="5" s="1"/>
  <c r="R1141" i="5" s="1"/>
  <c r="Q1140" i="5"/>
  <c r="R1140" i="5" s="1"/>
  <c r="P1140" i="5"/>
  <c r="P1139" i="5"/>
  <c r="Q1139" i="5" s="1"/>
  <c r="R1139" i="5" s="1"/>
  <c r="Q1138" i="5"/>
  <c r="R1138" i="5" s="1"/>
  <c r="P1138" i="5"/>
  <c r="P1137" i="5"/>
  <c r="Q1137" i="5" s="1"/>
  <c r="R1137" i="5" s="1"/>
  <c r="Q1136" i="5"/>
  <c r="R1136" i="5" s="1"/>
  <c r="P1136" i="5"/>
  <c r="P1135" i="5"/>
  <c r="Q1135" i="5" s="1"/>
  <c r="R1135" i="5" s="1"/>
  <c r="Q1134" i="5"/>
  <c r="R1134" i="5" s="1"/>
  <c r="P1134" i="5"/>
  <c r="P1133" i="5"/>
  <c r="Q1133" i="5" s="1"/>
  <c r="R1133" i="5" s="1"/>
  <c r="Q1132" i="5"/>
  <c r="R1132" i="5" s="1"/>
  <c r="P1132" i="5"/>
  <c r="P1131" i="5"/>
  <c r="Q1131" i="5" s="1"/>
  <c r="R1131" i="5" s="1"/>
  <c r="Q1130" i="5"/>
  <c r="R1130" i="5" s="1"/>
  <c r="P1130" i="5"/>
  <c r="P1129" i="5"/>
  <c r="Q1129" i="5" s="1"/>
  <c r="R1129" i="5" s="1"/>
  <c r="Q1128" i="5"/>
  <c r="R1128" i="5" s="1"/>
  <c r="P1128" i="5"/>
  <c r="P1127" i="5"/>
  <c r="Q1127" i="5" s="1"/>
  <c r="R1127" i="5" s="1"/>
  <c r="Q1126" i="5"/>
  <c r="R1126" i="5" s="1"/>
  <c r="P1126" i="5"/>
  <c r="P1125" i="5"/>
  <c r="Q1125" i="5" s="1"/>
  <c r="R1125" i="5" s="1"/>
  <c r="Q1124" i="5"/>
  <c r="R1124" i="5" s="1"/>
  <c r="P1124" i="5"/>
  <c r="P1123" i="5"/>
  <c r="Q1123" i="5" s="1"/>
  <c r="R1123" i="5" s="1"/>
  <c r="Q1122" i="5"/>
  <c r="R1122" i="5" s="1"/>
  <c r="P1122" i="5"/>
  <c r="P1121" i="5"/>
  <c r="Q1121" i="5" s="1"/>
  <c r="R1121" i="5" s="1"/>
  <c r="Q1120" i="5"/>
  <c r="R1120" i="5" s="1"/>
  <c r="P1120" i="5"/>
  <c r="P1119" i="5"/>
  <c r="Q1119" i="5" s="1"/>
  <c r="R1119" i="5" s="1"/>
  <c r="Q1118" i="5"/>
  <c r="R1118" i="5" s="1"/>
  <c r="P1118" i="5"/>
  <c r="P1117" i="5"/>
  <c r="Q1117" i="5" s="1"/>
  <c r="R1117" i="5" s="1"/>
  <c r="Q1116" i="5"/>
  <c r="R1116" i="5" s="1"/>
  <c r="P1116" i="5"/>
  <c r="P1115" i="5"/>
  <c r="Q1115" i="5" s="1"/>
  <c r="R1115" i="5" s="1"/>
  <c r="Q1114" i="5"/>
  <c r="R1114" i="5" s="1"/>
  <c r="P1114" i="5"/>
  <c r="P1113" i="5"/>
  <c r="Q1113" i="5" s="1"/>
  <c r="R1113" i="5" s="1"/>
  <c r="Q1112" i="5"/>
  <c r="R1112" i="5" s="1"/>
  <c r="P1112" i="5"/>
  <c r="P1111" i="5"/>
  <c r="Q1111" i="5" s="1"/>
  <c r="R1111" i="5" s="1"/>
  <c r="Q1110" i="5"/>
  <c r="R1110" i="5" s="1"/>
  <c r="P1110" i="5"/>
  <c r="P1109" i="5"/>
  <c r="Q1109" i="5" s="1"/>
  <c r="R1109" i="5" s="1"/>
  <c r="Q1108" i="5"/>
  <c r="R1108" i="5" s="1"/>
  <c r="P1108" i="5"/>
  <c r="P1107" i="5"/>
  <c r="Q1107" i="5" s="1"/>
  <c r="R1107" i="5" s="1"/>
  <c r="Q1106" i="5"/>
  <c r="R1106" i="5" s="1"/>
  <c r="P1106" i="5"/>
  <c r="P1105" i="5"/>
  <c r="Q1105" i="5" s="1"/>
  <c r="R1105" i="5" s="1"/>
  <c r="Q1104" i="5"/>
  <c r="R1104" i="5" s="1"/>
  <c r="P1104" i="5"/>
  <c r="P1103" i="5"/>
  <c r="Q1103" i="5" s="1"/>
  <c r="R1103" i="5" s="1"/>
  <c r="Q1102" i="5"/>
  <c r="R1102" i="5" s="1"/>
  <c r="P1102" i="5"/>
  <c r="P1101" i="5"/>
  <c r="Q1101" i="5" s="1"/>
  <c r="R1101" i="5" s="1"/>
  <c r="Q1100" i="5"/>
  <c r="R1100" i="5" s="1"/>
  <c r="P1100" i="5"/>
  <c r="P1099" i="5"/>
  <c r="Q1099" i="5" s="1"/>
  <c r="R1099" i="5" s="1"/>
  <c r="Q1098" i="5"/>
  <c r="R1098" i="5" s="1"/>
  <c r="P1098" i="5"/>
  <c r="P1097" i="5"/>
  <c r="Q1097" i="5" s="1"/>
  <c r="R1097" i="5" s="1"/>
  <c r="Q1096" i="5"/>
  <c r="R1096" i="5" s="1"/>
  <c r="P1096" i="5"/>
  <c r="P1095" i="5"/>
  <c r="Q1095" i="5" s="1"/>
  <c r="R1095" i="5" s="1"/>
  <c r="Q1094" i="5"/>
  <c r="R1094" i="5" s="1"/>
  <c r="P1094" i="5"/>
  <c r="P1093" i="5"/>
  <c r="Q1093" i="5" s="1"/>
  <c r="R1093" i="5" s="1"/>
  <c r="Q1092" i="5"/>
  <c r="R1092" i="5" s="1"/>
  <c r="P1092" i="5"/>
  <c r="P1091" i="5"/>
  <c r="Q1091" i="5" s="1"/>
  <c r="R1091" i="5" s="1"/>
  <c r="Q1090" i="5"/>
  <c r="R1090" i="5" s="1"/>
  <c r="P1090" i="5"/>
  <c r="P1089" i="5"/>
  <c r="Q1089" i="5" s="1"/>
  <c r="R1089" i="5" s="1"/>
  <c r="Q1088" i="5"/>
  <c r="R1088" i="5" s="1"/>
  <c r="P1088" i="5"/>
  <c r="P1087" i="5"/>
  <c r="Q1087" i="5" s="1"/>
  <c r="R1087" i="5" s="1"/>
  <c r="Q1086" i="5"/>
  <c r="R1086" i="5" s="1"/>
  <c r="P1086" i="5"/>
  <c r="P1085" i="5"/>
  <c r="Q1085" i="5" s="1"/>
  <c r="R1085" i="5" s="1"/>
  <c r="Q1084" i="5"/>
  <c r="R1084" i="5" s="1"/>
  <c r="P1084" i="5"/>
  <c r="P1083" i="5"/>
  <c r="Q1083" i="5" s="1"/>
  <c r="R1083" i="5" s="1"/>
  <c r="Q1082" i="5"/>
  <c r="R1082" i="5" s="1"/>
  <c r="P1082" i="5"/>
  <c r="P1081" i="5"/>
  <c r="Q1081" i="5" s="1"/>
  <c r="R1081" i="5" s="1"/>
  <c r="Q1080" i="5"/>
  <c r="R1080" i="5" s="1"/>
  <c r="P1080" i="5"/>
  <c r="P1079" i="5"/>
  <c r="Q1079" i="5" s="1"/>
  <c r="R1079" i="5" s="1"/>
  <c r="Q1078" i="5"/>
  <c r="R1078" i="5" s="1"/>
  <c r="P1078" i="5"/>
  <c r="P1077" i="5"/>
  <c r="Q1077" i="5" s="1"/>
  <c r="R1077" i="5" s="1"/>
  <c r="Q1076" i="5"/>
  <c r="R1076" i="5" s="1"/>
  <c r="P1076" i="5"/>
  <c r="P1075" i="5"/>
  <c r="Q1075" i="5" s="1"/>
  <c r="R1075" i="5" s="1"/>
  <c r="Q1074" i="5"/>
  <c r="R1074" i="5" s="1"/>
  <c r="P1074" i="5"/>
  <c r="P1073" i="5"/>
  <c r="Q1073" i="5" s="1"/>
  <c r="R1073" i="5" s="1"/>
  <c r="Q1072" i="5"/>
  <c r="R1072" i="5" s="1"/>
  <c r="P1072" i="5"/>
  <c r="P1071" i="5"/>
  <c r="Q1071" i="5" s="1"/>
  <c r="R1071" i="5" s="1"/>
  <c r="Q1070" i="5"/>
  <c r="R1070" i="5" s="1"/>
  <c r="P1070" i="5"/>
  <c r="P1069" i="5"/>
  <c r="Q1069" i="5" s="1"/>
  <c r="R1069" i="5" s="1"/>
  <c r="Q1068" i="5"/>
  <c r="R1068" i="5" s="1"/>
  <c r="P1068" i="5"/>
  <c r="P1067" i="5"/>
  <c r="Q1067" i="5" s="1"/>
  <c r="R1067" i="5" s="1"/>
  <c r="Q1066" i="5"/>
  <c r="R1066" i="5" s="1"/>
  <c r="P1066" i="5"/>
  <c r="P1065" i="5"/>
  <c r="Q1065" i="5" s="1"/>
  <c r="R1065" i="5" s="1"/>
  <c r="Q1064" i="5"/>
  <c r="R1064" i="5" s="1"/>
  <c r="P1064" i="5"/>
  <c r="P1063" i="5"/>
  <c r="Q1063" i="5" s="1"/>
  <c r="R1063" i="5" s="1"/>
  <c r="Q1062" i="5"/>
  <c r="R1062" i="5" s="1"/>
  <c r="P1062" i="5"/>
  <c r="P1061" i="5"/>
  <c r="Q1061" i="5" s="1"/>
  <c r="R1061" i="5" s="1"/>
  <c r="Q1060" i="5"/>
  <c r="R1060" i="5" s="1"/>
  <c r="P1060" i="5"/>
  <c r="P1059" i="5"/>
  <c r="Q1059" i="5" s="1"/>
  <c r="R1059" i="5" s="1"/>
  <c r="Q1058" i="5"/>
  <c r="R1058" i="5" s="1"/>
  <c r="P1058" i="5"/>
  <c r="P1057" i="5"/>
  <c r="Q1057" i="5" s="1"/>
  <c r="R1057" i="5" s="1"/>
  <c r="Q1056" i="5"/>
  <c r="R1056" i="5" s="1"/>
  <c r="P1056" i="5"/>
  <c r="P1055" i="5"/>
  <c r="Q1055" i="5" s="1"/>
  <c r="R1055" i="5" s="1"/>
  <c r="Q1054" i="5"/>
  <c r="R1054" i="5" s="1"/>
  <c r="P1054" i="5"/>
  <c r="P1053" i="5"/>
  <c r="Q1053" i="5" s="1"/>
  <c r="R1053" i="5" s="1"/>
  <c r="Q1052" i="5"/>
  <c r="R1052" i="5" s="1"/>
  <c r="P1052" i="5"/>
  <c r="P1051" i="5"/>
  <c r="Q1051" i="5" s="1"/>
  <c r="R1051" i="5" s="1"/>
  <c r="Q1050" i="5"/>
  <c r="R1050" i="5" s="1"/>
  <c r="P1050" i="5"/>
  <c r="P1049" i="5"/>
  <c r="Q1049" i="5" s="1"/>
  <c r="R1049" i="5" s="1"/>
  <c r="Q1048" i="5"/>
  <c r="R1048" i="5" s="1"/>
  <c r="P1048" i="5"/>
  <c r="P1047" i="5"/>
  <c r="Q1047" i="5" s="1"/>
  <c r="R1047" i="5" s="1"/>
  <c r="Q1046" i="5"/>
  <c r="R1046" i="5" s="1"/>
  <c r="P1046" i="5"/>
  <c r="P1045" i="5"/>
  <c r="Q1045" i="5" s="1"/>
  <c r="R1045" i="5" s="1"/>
  <c r="Q1044" i="5"/>
  <c r="R1044" i="5" s="1"/>
  <c r="P1044" i="5"/>
  <c r="P1043" i="5"/>
  <c r="Q1043" i="5" s="1"/>
  <c r="R1043" i="5" s="1"/>
  <c r="Q1042" i="5"/>
  <c r="R1042" i="5" s="1"/>
  <c r="P1042" i="5"/>
  <c r="P1041" i="5"/>
  <c r="Q1041" i="5" s="1"/>
  <c r="R1041" i="5" s="1"/>
  <c r="Q1040" i="5"/>
  <c r="R1040" i="5" s="1"/>
  <c r="P1040" i="5"/>
  <c r="P1039" i="5"/>
  <c r="Q1039" i="5" s="1"/>
  <c r="R1039" i="5" s="1"/>
  <c r="Q1038" i="5"/>
  <c r="R1038" i="5" s="1"/>
  <c r="P1038" i="5"/>
  <c r="P1037" i="5"/>
  <c r="Q1037" i="5" s="1"/>
  <c r="R1037" i="5" s="1"/>
  <c r="Q1036" i="5"/>
  <c r="R1036" i="5" s="1"/>
  <c r="P1036" i="5"/>
  <c r="P1035" i="5"/>
  <c r="Q1035" i="5" s="1"/>
  <c r="R1035" i="5" s="1"/>
  <c r="Q1034" i="5"/>
  <c r="R1034" i="5" s="1"/>
  <c r="P1034" i="5"/>
  <c r="Q1033" i="5"/>
  <c r="R1033" i="5" s="1"/>
  <c r="P1033" i="5"/>
  <c r="Q1032" i="5"/>
  <c r="R1032" i="5" s="1"/>
  <c r="P1032" i="5"/>
  <c r="R1031" i="5"/>
  <c r="P1031" i="5"/>
  <c r="Q1031" i="5" s="1"/>
  <c r="Q1030" i="5"/>
  <c r="R1030" i="5" s="1"/>
  <c r="P1030" i="5"/>
  <c r="R1029" i="5"/>
  <c r="P1029" i="5"/>
  <c r="Q1029" i="5" s="1"/>
  <c r="P1028" i="5"/>
  <c r="Q1028" i="5" s="1"/>
  <c r="R1028" i="5" s="1"/>
  <c r="R1027" i="5"/>
  <c r="P1027" i="5"/>
  <c r="Q1027" i="5" s="1"/>
  <c r="Q1026" i="5"/>
  <c r="R1026" i="5" s="1"/>
  <c r="P1026" i="5"/>
  <c r="R1025" i="5"/>
  <c r="Q1025" i="5"/>
  <c r="P1025" i="5"/>
  <c r="Q1024" i="5"/>
  <c r="R1024" i="5" s="1"/>
  <c r="P1024" i="5"/>
  <c r="P1023" i="5"/>
  <c r="Q1023" i="5" s="1"/>
  <c r="R1023" i="5" s="1"/>
  <c r="R1022" i="5"/>
  <c r="Q1022" i="5"/>
  <c r="P1022" i="5"/>
  <c r="P1021" i="5"/>
  <c r="Q1021" i="5" s="1"/>
  <c r="R1021" i="5" s="1"/>
  <c r="Q1020" i="5"/>
  <c r="R1020" i="5" s="1"/>
  <c r="P1020" i="5"/>
  <c r="P1019" i="5"/>
  <c r="Q1019" i="5" s="1"/>
  <c r="R1019" i="5" s="1"/>
  <c r="Q1018" i="5"/>
  <c r="R1018" i="5" s="1"/>
  <c r="P1018" i="5"/>
  <c r="Q1017" i="5"/>
  <c r="R1017" i="5" s="1"/>
  <c r="P1017" i="5"/>
  <c r="Q1016" i="5"/>
  <c r="R1016" i="5" s="1"/>
  <c r="P1016" i="5"/>
  <c r="R1015" i="5"/>
  <c r="P1015" i="5"/>
  <c r="Q1015" i="5" s="1"/>
  <c r="R1014" i="5"/>
  <c r="Q1014" i="5"/>
  <c r="P1014" i="5"/>
  <c r="R1013" i="5"/>
  <c r="P1013" i="5"/>
  <c r="Q1013" i="5" s="1"/>
  <c r="P1012" i="5"/>
  <c r="Q1012" i="5" s="1"/>
  <c r="R1012" i="5" s="1"/>
  <c r="R1011" i="5"/>
  <c r="P1011" i="5"/>
  <c r="Q1011" i="5" s="1"/>
  <c r="Q1010" i="5"/>
  <c r="R1010" i="5" s="1"/>
  <c r="P1010" i="5"/>
  <c r="P1009" i="5"/>
  <c r="Q1009" i="5" s="1"/>
  <c r="R1009" i="5" s="1"/>
  <c r="Q1008" i="5"/>
  <c r="R1008" i="5" s="1"/>
  <c r="P1008" i="5"/>
  <c r="R1007" i="5"/>
  <c r="P1007" i="5"/>
  <c r="Q1007" i="5" s="1"/>
  <c r="R1006" i="5"/>
  <c r="Q1006" i="5"/>
  <c r="P1006" i="5"/>
  <c r="P1005" i="5"/>
  <c r="Q1005" i="5" s="1"/>
  <c r="R1005" i="5" s="1"/>
  <c r="Q1004" i="5"/>
  <c r="R1004" i="5" s="1"/>
  <c r="P1004" i="5"/>
  <c r="Q1003" i="5"/>
  <c r="R1003" i="5" s="1"/>
  <c r="P1003" i="5"/>
  <c r="Q1002" i="5"/>
  <c r="R1002" i="5" s="1"/>
  <c r="P1002" i="5"/>
  <c r="R1001" i="5"/>
  <c r="Q1001" i="5"/>
  <c r="P1001" i="5"/>
  <c r="Q1000" i="5"/>
  <c r="R1000" i="5" s="1"/>
  <c r="P1000" i="5"/>
  <c r="P999" i="5"/>
  <c r="Q999" i="5" s="1"/>
  <c r="R999" i="5" s="1"/>
  <c r="R998" i="5"/>
  <c r="Q998" i="5"/>
  <c r="P998" i="5"/>
  <c r="P997" i="5"/>
  <c r="Q997" i="5" s="1"/>
  <c r="R997" i="5" s="1"/>
  <c r="Q996" i="5"/>
  <c r="R996" i="5" s="1"/>
  <c r="P996" i="5"/>
  <c r="Q995" i="5"/>
  <c r="R995" i="5" s="1"/>
  <c r="P995" i="5"/>
  <c r="Q994" i="5"/>
  <c r="R994" i="5" s="1"/>
  <c r="P994" i="5"/>
  <c r="R993" i="5"/>
  <c r="Q993" i="5"/>
  <c r="P993" i="5"/>
  <c r="Q992" i="5"/>
  <c r="R992" i="5" s="1"/>
  <c r="P992" i="5"/>
  <c r="P991" i="5"/>
  <c r="Q991" i="5" s="1"/>
  <c r="R991" i="5" s="1"/>
  <c r="P990" i="5"/>
  <c r="Q990" i="5" s="1"/>
  <c r="R990" i="5" s="1"/>
  <c r="P989" i="5"/>
  <c r="Q989" i="5" s="1"/>
  <c r="R989" i="5" s="1"/>
  <c r="P988" i="5"/>
  <c r="Q988" i="5" s="1"/>
  <c r="R988" i="5" s="1"/>
  <c r="P987" i="5"/>
  <c r="Q987" i="5" s="1"/>
  <c r="R987" i="5" s="1"/>
  <c r="P986" i="5"/>
  <c r="Q986" i="5" s="1"/>
  <c r="R986" i="5" s="1"/>
  <c r="P985" i="5"/>
  <c r="Q985" i="5" s="1"/>
  <c r="R985" i="5" s="1"/>
  <c r="R984" i="5"/>
  <c r="Q984" i="5"/>
  <c r="P984" i="5"/>
  <c r="R983" i="5"/>
  <c r="Q983" i="5"/>
  <c r="P983" i="5"/>
  <c r="Q982" i="5"/>
  <c r="R982" i="5" s="1"/>
  <c r="P982" i="5"/>
  <c r="P981" i="5"/>
  <c r="Q981" i="5" s="1"/>
  <c r="R981" i="5" s="1"/>
  <c r="Q980" i="5"/>
  <c r="R980" i="5" s="1"/>
  <c r="P980" i="5"/>
  <c r="Q979" i="5"/>
  <c r="R979" i="5" s="1"/>
  <c r="P979" i="5"/>
  <c r="P978" i="5"/>
  <c r="Q978" i="5" s="1"/>
  <c r="R978" i="5" s="1"/>
  <c r="R977" i="5"/>
  <c r="Q977" i="5"/>
  <c r="P977" i="5"/>
  <c r="Q976" i="5"/>
  <c r="R976" i="5" s="1"/>
  <c r="P976" i="5"/>
  <c r="P975" i="5"/>
  <c r="Q975" i="5" s="1"/>
  <c r="R975" i="5" s="1"/>
  <c r="R974" i="5"/>
  <c r="Q974" i="5"/>
  <c r="P974" i="5"/>
  <c r="R973" i="5"/>
  <c r="Q973" i="5"/>
  <c r="P973" i="5"/>
  <c r="Q972" i="5"/>
  <c r="R972" i="5" s="1"/>
  <c r="P972" i="5"/>
  <c r="P971" i="5"/>
  <c r="Q971" i="5" s="1"/>
  <c r="R971" i="5" s="1"/>
  <c r="R970" i="5"/>
  <c r="P970" i="5"/>
  <c r="Q970" i="5" s="1"/>
  <c r="R969" i="5"/>
  <c r="Q969" i="5"/>
  <c r="P969" i="5"/>
  <c r="Q968" i="5"/>
  <c r="R968" i="5" s="1"/>
  <c r="P968" i="5"/>
  <c r="P967" i="5"/>
  <c r="Q967" i="5" s="1"/>
  <c r="R967" i="5" s="1"/>
  <c r="R966" i="5"/>
  <c r="Q966" i="5"/>
  <c r="P966" i="5"/>
  <c r="Q965" i="5"/>
  <c r="R965" i="5" s="1"/>
  <c r="P965" i="5"/>
  <c r="P964" i="5"/>
  <c r="Q964" i="5" s="1"/>
  <c r="R964" i="5" s="1"/>
  <c r="P963" i="5"/>
  <c r="Q963" i="5" s="1"/>
  <c r="R963" i="5" s="1"/>
  <c r="R962" i="5"/>
  <c r="P962" i="5"/>
  <c r="Q962" i="5" s="1"/>
  <c r="Q961" i="5"/>
  <c r="R961" i="5" s="1"/>
  <c r="P961" i="5"/>
  <c r="P960" i="5"/>
  <c r="Q960" i="5" s="1"/>
  <c r="R960" i="5" s="1"/>
  <c r="P959" i="5"/>
  <c r="Q959" i="5" s="1"/>
  <c r="R959" i="5" s="1"/>
  <c r="R958" i="5"/>
  <c r="Q958" i="5"/>
  <c r="P958" i="5"/>
  <c r="Q957" i="5"/>
  <c r="R957" i="5" s="1"/>
  <c r="P957" i="5"/>
  <c r="Q956" i="5"/>
  <c r="R956" i="5" s="1"/>
  <c r="P956" i="5"/>
  <c r="P955" i="5"/>
  <c r="Q955" i="5" s="1"/>
  <c r="R955" i="5" s="1"/>
  <c r="R954" i="5"/>
  <c r="P954" i="5"/>
  <c r="Q954" i="5" s="1"/>
  <c r="Q953" i="5"/>
  <c r="R953" i="5" s="1"/>
  <c r="P953" i="5"/>
  <c r="Q952" i="5"/>
  <c r="R952" i="5" s="1"/>
  <c r="P952" i="5"/>
  <c r="P951" i="5"/>
  <c r="Q951" i="5" s="1"/>
  <c r="R951" i="5" s="1"/>
  <c r="R950" i="5"/>
  <c r="Q950" i="5"/>
  <c r="P950" i="5"/>
  <c r="R949" i="5"/>
  <c r="Q949" i="5"/>
  <c r="P949" i="5"/>
  <c r="Q948" i="5"/>
  <c r="R948" i="5" s="1"/>
  <c r="P948" i="5"/>
  <c r="P947" i="5"/>
  <c r="Q947" i="5" s="1"/>
  <c r="R947" i="5" s="1"/>
  <c r="P946" i="5"/>
  <c r="Q946" i="5" s="1"/>
  <c r="R946" i="5" s="1"/>
  <c r="R945" i="5"/>
  <c r="Q945" i="5"/>
  <c r="P945" i="5"/>
  <c r="Q944" i="5"/>
  <c r="R944" i="5" s="1"/>
  <c r="P944" i="5"/>
  <c r="P943" i="5"/>
  <c r="Q943" i="5" s="1"/>
  <c r="R943" i="5" s="1"/>
  <c r="R942" i="5"/>
  <c r="Q942" i="5"/>
  <c r="P942" i="5"/>
  <c r="Q941" i="5"/>
  <c r="R941" i="5" s="1"/>
  <c r="P941" i="5"/>
  <c r="Q940" i="5"/>
  <c r="R940" i="5" s="1"/>
  <c r="P940" i="5"/>
  <c r="P939" i="5"/>
  <c r="Q939" i="5" s="1"/>
  <c r="R939" i="5" s="1"/>
  <c r="P938" i="5"/>
  <c r="Q938" i="5" s="1"/>
  <c r="R938" i="5" s="1"/>
  <c r="Q937" i="5"/>
  <c r="R937" i="5" s="1"/>
  <c r="P937" i="5"/>
  <c r="Q936" i="5"/>
  <c r="R936" i="5" s="1"/>
  <c r="P936" i="5"/>
  <c r="P935" i="5"/>
  <c r="Q935" i="5" s="1"/>
  <c r="R935" i="5" s="1"/>
  <c r="R934" i="5"/>
  <c r="Q934" i="5"/>
  <c r="P934" i="5"/>
  <c r="Q933" i="5"/>
  <c r="R933" i="5" s="1"/>
  <c r="P933" i="5"/>
  <c r="Q932" i="5"/>
  <c r="R932" i="5" s="1"/>
  <c r="P932" i="5"/>
  <c r="P931" i="5"/>
  <c r="Q931" i="5" s="1"/>
  <c r="R931" i="5" s="1"/>
  <c r="R930" i="5"/>
  <c r="P930" i="5"/>
  <c r="Q930" i="5" s="1"/>
  <c r="Q929" i="5"/>
  <c r="R929" i="5" s="1"/>
  <c r="P929" i="5"/>
  <c r="Q928" i="5"/>
  <c r="R928" i="5" s="1"/>
  <c r="P928" i="5"/>
  <c r="P927" i="5"/>
  <c r="Q927" i="5" s="1"/>
  <c r="R927" i="5" s="1"/>
  <c r="R926" i="5"/>
  <c r="Q926" i="5"/>
  <c r="P926" i="5"/>
  <c r="R925" i="5"/>
  <c r="Q925" i="5"/>
  <c r="P925" i="5"/>
  <c r="P924" i="5"/>
  <c r="Q924" i="5" s="1"/>
  <c r="R924" i="5" s="1"/>
  <c r="P923" i="5"/>
  <c r="Q923" i="5" s="1"/>
  <c r="R923" i="5" s="1"/>
  <c r="P922" i="5"/>
  <c r="Q922" i="5" s="1"/>
  <c r="R922" i="5" s="1"/>
  <c r="R921" i="5"/>
  <c r="Q921" i="5"/>
  <c r="P921" i="5"/>
  <c r="P920" i="5"/>
  <c r="Q920" i="5" s="1"/>
  <c r="R920" i="5" s="1"/>
  <c r="P919" i="5"/>
  <c r="Q919" i="5" s="1"/>
  <c r="R919" i="5" s="1"/>
  <c r="R918" i="5"/>
  <c r="Q918" i="5"/>
  <c r="P918" i="5"/>
  <c r="R917" i="5"/>
  <c r="Q917" i="5"/>
  <c r="P917" i="5"/>
  <c r="P916" i="5"/>
  <c r="Q916" i="5" s="1"/>
  <c r="R916" i="5" s="1"/>
  <c r="P915" i="5"/>
  <c r="Q915" i="5" s="1"/>
  <c r="R915" i="5" s="1"/>
  <c r="P914" i="5"/>
  <c r="Q914" i="5" s="1"/>
  <c r="R914" i="5" s="1"/>
  <c r="R913" i="5"/>
  <c r="Q913" i="5"/>
  <c r="P913" i="5"/>
  <c r="P912" i="5"/>
  <c r="Q912" i="5" s="1"/>
  <c r="R912" i="5" s="1"/>
  <c r="P911" i="5"/>
  <c r="Q911" i="5" s="1"/>
  <c r="R911" i="5" s="1"/>
  <c r="R910" i="5"/>
  <c r="Q910" i="5"/>
  <c r="P910" i="5"/>
  <c r="R909" i="5"/>
  <c r="Q909" i="5"/>
  <c r="P909" i="5"/>
  <c r="Q908" i="5"/>
  <c r="R908" i="5" s="1"/>
  <c r="P908" i="5"/>
  <c r="P907" i="5"/>
  <c r="Q907" i="5" s="1"/>
  <c r="R907" i="5" s="1"/>
  <c r="R906" i="5"/>
  <c r="P906" i="5"/>
  <c r="Q906" i="5" s="1"/>
  <c r="R905" i="5"/>
  <c r="Q905" i="5"/>
  <c r="P905" i="5"/>
  <c r="Q904" i="5"/>
  <c r="R904" i="5" s="1"/>
  <c r="P904" i="5"/>
  <c r="P903" i="5"/>
  <c r="Q903" i="5" s="1"/>
  <c r="R903" i="5" s="1"/>
  <c r="R902" i="5"/>
  <c r="Q902" i="5"/>
  <c r="P902" i="5"/>
  <c r="Q901" i="5"/>
  <c r="R901" i="5" s="1"/>
  <c r="P901" i="5"/>
  <c r="P900" i="5"/>
  <c r="Q900" i="5" s="1"/>
  <c r="R900" i="5" s="1"/>
  <c r="P899" i="5"/>
  <c r="Q899" i="5" s="1"/>
  <c r="R899" i="5" s="1"/>
  <c r="R898" i="5"/>
  <c r="P898" i="5"/>
  <c r="Q898" i="5" s="1"/>
  <c r="Q897" i="5"/>
  <c r="R897" i="5" s="1"/>
  <c r="P897" i="5"/>
  <c r="P896" i="5"/>
  <c r="Q896" i="5" s="1"/>
  <c r="R896" i="5" s="1"/>
  <c r="P895" i="5"/>
  <c r="Q895" i="5" s="1"/>
  <c r="R895" i="5" s="1"/>
  <c r="R894" i="5"/>
  <c r="Q894" i="5"/>
  <c r="P894" i="5"/>
  <c r="Q893" i="5"/>
  <c r="R893" i="5" s="1"/>
  <c r="P893" i="5"/>
  <c r="P892" i="5"/>
  <c r="Q892" i="5" s="1"/>
  <c r="R892" i="5" s="1"/>
  <c r="P891" i="5"/>
  <c r="Q891" i="5" s="1"/>
  <c r="R891" i="5" s="1"/>
  <c r="P890" i="5"/>
  <c r="Q889" i="5"/>
  <c r="R889" i="5" s="1"/>
  <c r="P889" i="5"/>
  <c r="P888" i="5"/>
  <c r="Q888" i="5" s="1"/>
  <c r="R888" i="5" s="1"/>
  <c r="P887" i="5"/>
  <c r="Q887" i="5" s="1"/>
  <c r="R887" i="5" s="1"/>
  <c r="R886" i="5"/>
  <c r="Q886" i="5"/>
  <c r="P886" i="5"/>
  <c r="R885" i="5"/>
  <c r="Q885" i="5"/>
  <c r="P885" i="5"/>
  <c r="Q884" i="5"/>
  <c r="R884" i="5" s="1"/>
  <c r="P884" i="5"/>
  <c r="P883" i="5"/>
  <c r="Q883" i="5" s="1"/>
  <c r="R883" i="5" s="1"/>
  <c r="P882" i="5"/>
  <c r="Q882" i="5" s="1"/>
  <c r="R882" i="5" s="1"/>
  <c r="R881" i="5"/>
  <c r="Q881" i="5"/>
  <c r="P881" i="5"/>
  <c r="Q880" i="5"/>
  <c r="R880" i="5" s="1"/>
  <c r="P880" i="5"/>
  <c r="P879" i="5"/>
  <c r="Q879" i="5" s="1"/>
  <c r="R879" i="5" s="1"/>
  <c r="Q878" i="5"/>
  <c r="R878" i="5" s="1"/>
  <c r="P878" i="5"/>
  <c r="Q877" i="5"/>
  <c r="R877" i="5" s="1"/>
  <c r="P877" i="5"/>
  <c r="Q876" i="5"/>
  <c r="R876" i="5" s="1"/>
  <c r="P876" i="5"/>
  <c r="P875" i="5"/>
  <c r="Q875" i="5" s="1"/>
  <c r="R875" i="5" s="1"/>
  <c r="P874" i="5"/>
  <c r="Q874" i="5" s="1"/>
  <c r="R874" i="5" s="1"/>
  <c r="Q873" i="5"/>
  <c r="R873" i="5" s="1"/>
  <c r="P873" i="5"/>
  <c r="Q872" i="5"/>
  <c r="R872" i="5" s="1"/>
  <c r="P872" i="5"/>
  <c r="P871" i="5"/>
  <c r="Q871" i="5" s="1"/>
  <c r="R871" i="5" s="1"/>
  <c r="Q870" i="5"/>
  <c r="R870" i="5" s="1"/>
  <c r="P870" i="5"/>
  <c r="R869" i="5"/>
  <c r="Q869" i="5"/>
  <c r="P869" i="5"/>
  <c r="P868" i="5"/>
  <c r="Q868" i="5" s="1"/>
  <c r="R868" i="5" s="1"/>
  <c r="P867" i="5"/>
  <c r="Q867" i="5" s="1"/>
  <c r="R867" i="5" s="1"/>
  <c r="R866" i="5"/>
  <c r="P866" i="5"/>
  <c r="Q866" i="5" s="1"/>
  <c r="P865" i="5"/>
  <c r="Q865" i="5" s="1"/>
  <c r="R865" i="5" s="1"/>
  <c r="P864" i="5"/>
  <c r="Q864" i="5" s="1"/>
  <c r="R864" i="5" s="1"/>
  <c r="Q863" i="5"/>
  <c r="R863" i="5" s="1"/>
  <c r="P863" i="5"/>
  <c r="R862" i="5"/>
  <c r="Q862" i="5"/>
  <c r="P862" i="5"/>
  <c r="Q861" i="5"/>
  <c r="R861" i="5" s="1"/>
  <c r="P861" i="5"/>
  <c r="R860" i="5"/>
  <c r="Q860" i="5"/>
  <c r="P860" i="5"/>
  <c r="P859" i="5"/>
  <c r="Q859" i="5" s="1"/>
  <c r="R859" i="5" s="1"/>
  <c r="P858" i="5"/>
  <c r="Q858" i="5" s="1"/>
  <c r="R858" i="5" s="1"/>
  <c r="Q857" i="5"/>
  <c r="R857" i="5" s="1"/>
  <c r="P857" i="5"/>
  <c r="Q856" i="5"/>
  <c r="R856" i="5" s="1"/>
  <c r="P856" i="5"/>
  <c r="Q855" i="5"/>
  <c r="R855" i="5" s="1"/>
  <c r="P855" i="5"/>
  <c r="R854" i="5"/>
  <c r="Q854" i="5"/>
  <c r="P854" i="5"/>
  <c r="R853" i="5"/>
  <c r="Q853" i="5"/>
  <c r="P853" i="5"/>
  <c r="P852" i="5"/>
  <c r="Q852" i="5" s="1"/>
  <c r="R852" i="5" s="1"/>
  <c r="P851" i="5"/>
  <c r="Q851" i="5" s="1"/>
  <c r="R851" i="5" s="1"/>
  <c r="R850" i="5"/>
  <c r="P850" i="5"/>
  <c r="Q850" i="5" s="1"/>
  <c r="Q849" i="5"/>
  <c r="R849" i="5" s="1"/>
  <c r="P849" i="5"/>
  <c r="Q848" i="5"/>
  <c r="R848" i="5" s="1"/>
  <c r="P848" i="5"/>
  <c r="Q847" i="5"/>
  <c r="R847" i="5" s="1"/>
  <c r="P847" i="5"/>
  <c r="R846" i="5"/>
  <c r="Q846" i="5"/>
  <c r="P846" i="5"/>
  <c r="Q845" i="5"/>
  <c r="R845" i="5" s="1"/>
  <c r="P845" i="5"/>
  <c r="R844" i="5"/>
  <c r="Q844" i="5"/>
  <c r="P844" i="5"/>
  <c r="P843" i="5"/>
  <c r="Q843" i="5" s="1"/>
  <c r="R843" i="5" s="1"/>
  <c r="P842" i="5"/>
  <c r="Q842" i="5" s="1"/>
  <c r="R842" i="5" s="1"/>
  <c r="Q841" i="5"/>
  <c r="R841" i="5" s="1"/>
  <c r="P841" i="5"/>
  <c r="Q840" i="5"/>
  <c r="R840" i="5" s="1"/>
  <c r="P840" i="5"/>
  <c r="Q839" i="5"/>
  <c r="R839" i="5" s="1"/>
  <c r="P839" i="5"/>
  <c r="R838" i="5"/>
  <c r="Q838" i="5"/>
  <c r="P838" i="5"/>
  <c r="R837" i="5"/>
  <c r="Q837" i="5"/>
  <c r="P837" i="5"/>
  <c r="P836" i="5"/>
  <c r="Q836" i="5" s="1"/>
  <c r="R836" i="5" s="1"/>
  <c r="P835" i="5"/>
  <c r="Q835" i="5" s="1"/>
  <c r="R835" i="5" s="1"/>
  <c r="R834" i="5"/>
  <c r="P834" i="5"/>
  <c r="Q834" i="5" s="1"/>
  <c r="Q833" i="5"/>
  <c r="R833" i="5" s="1"/>
  <c r="P833" i="5"/>
  <c r="Q832" i="5"/>
  <c r="R832" i="5" s="1"/>
  <c r="P832" i="5"/>
  <c r="Q831" i="5"/>
  <c r="R831" i="5" s="1"/>
  <c r="P831" i="5"/>
  <c r="R830" i="5"/>
  <c r="Q830" i="5"/>
  <c r="P830" i="5"/>
  <c r="Q829" i="5"/>
  <c r="R829" i="5" s="1"/>
  <c r="P829" i="5"/>
  <c r="R828" i="5"/>
  <c r="Q828" i="5"/>
  <c r="P828" i="5"/>
  <c r="P827" i="5"/>
  <c r="Q827" i="5" s="1"/>
  <c r="R827" i="5" s="1"/>
  <c r="P826" i="5"/>
  <c r="Q826" i="5" s="1"/>
  <c r="R826" i="5" s="1"/>
  <c r="Q825" i="5"/>
  <c r="R825" i="5" s="1"/>
  <c r="P825" i="5"/>
  <c r="Q824" i="5"/>
  <c r="R824" i="5" s="1"/>
  <c r="P824" i="5"/>
  <c r="Q823" i="5"/>
  <c r="R823" i="5" s="1"/>
  <c r="P823" i="5"/>
  <c r="R822" i="5"/>
  <c r="Q822" i="5"/>
  <c r="P822" i="5"/>
  <c r="R821" i="5"/>
  <c r="Q821" i="5"/>
  <c r="P821" i="5"/>
  <c r="P820" i="5"/>
  <c r="Q820" i="5" s="1"/>
  <c r="R820" i="5" s="1"/>
  <c r="P819" i="5"/>
  <c r="Q819" i="5" s="1"/>
  <c r="R819" i="5" s="1"/>
  <c r="R818" i="5"/>
  <c r="P818" i="5"/>
  <c r="Q818" i="5" s="1"/>
  <c r="Q817" i="5"/>
  <c r="R817" i="5" s="1"/>
  <c r="P817" i="5"/>
  <c r="Q816" i="5"/>
  <c r="R816" i="5" s="1"/>
  <c r="P816" i="5"/>
  <c r="Q815" i="5"/>
  <c r="R815" i="5" s="1"/>
  <c r="P815" i="5"/>
  <c r="R814" i="5"/>
  <c r="Q814" i="5"/>
  <c r="P814" i="5"/>
  <c r="Q813" i="5"/>
  <c r="R813" i="5" s="1"/>
  <c r="P813" i="5"/>
  <c r="R812" i="5"/>
  <c r="Q812" i="5"/>
  <c r="P812" i="5"/>
  <c r="P811" i="5"/>
  <c r="Q811" i="5" s="1"/>
  <c r="R811" i="5" s="1"/>
  <c r="P810" i="5"/>
  <c r="P809" i="5"/>
  <c r="P808" i="5"/>
  <c r="Q807" i="5"/>
  <c r="R807" i="5" s="1"/>
  <c r="P807" i="5"/>
  <c r="R806" i="5"/>
  <c r="Q806" i="5"/>
  <c r="P806" i="5"/>
  <c r="R805" i="5"/>
  <c r="Q805" i="5"/>
  <c r="P805" i="5"/>
  <c r="P804" i="5"/>
  <c r="Q804" i="5" s="1"/>
  <c r="R804" i="5" s="1"/>
  <c r="P803" i="5"/>
  <c r="Q803" i="5" s="1"/>
  <c r="R803" i="5" s="1"/>
  <c r="P802" i="5"/>
  <c r="Q802" i="5" s="1"/>
  <c r="R802" i="5" s="1"/>
  <c r="Q801" i="5"/>
  <c r="R801" i="5" s="1"/>
  <c r="P801" i="5"/>
  <c r="Q800" i="5"/>
  <c r="R800" i="5" s="1"/>
  <c r="P800" i="5"/>
  <c r="Q799" i="5"/>
  <c r="R799" i="5" s="1"/>
  <c r="P799" i="5"/>
  <c r="P798" i="5"/>
  <c r="Q798" i="5" s="1"/>
  <c r="R798" i="5" s="1"/>
  <c r="Q797" i="5"/>
  <c r="R797" i="5" s="1"/>
  <c r="P797" i="5"/>
  <c r="P796" i="5"/>
  <c r="Q796" i="5" s="1"/>
  <c r="R796" i="5" s="1"/>
  <c r="Q795" i="5"/>
  <c r="R795" i="5" s="1"/>
  <c r="P795" i="5"/>
  <c r="R794" i="5"/>
  <c r="P794" i="5"/>
  <c r="Q794" i="5" s="1"/>
  <c r="P793" i="5"/>
  <c r="Q793" i="5" s="1"/>
  <c r="R793" i="5" s="1"/>
  <c r="Q792" i="5"/>
  <c r="R792" i="5" s="1"/>
  <c r="P792" i="5"/>
  <c r="Q791" i="5"/>
  <c r="R791" i="5" s="1"/>
  <c r="P791" i="5"/>
  <c r="P790" i="5"/>
  <c r="Q790" i="5" s="1"/>
  <c r="R790" i="5" s="1"/>
  <c r="Q789" i="5"/>
  <c r="R789" i="5" s="1"/>
  <c r="P789" i="5"/>
  <c r="P788" i="5"/>
  <c r="Q788" i="5" s="1"/>
  <c r="R788" i="5" s="1"/>
  <c r="Q787" i="5"/>
  <c r="R787" i="5" s="1"/>
  <c r="P787" i="5"/>
  <c r="P786" i="5"/>
  <c r="Q786" i="5" s="1"/>
  <c r="R786" i="5" s="1"/>
  <c r="Q785" i="5"/>
  <c r="R785" i="5" s="1"/>
  <c r="P785" i="5"/>
  <c r="P784" i="5"/>
  <c r="Q784" i="5" s="1"/>
  <c r="R784" i="5" s="1"/>
  <c r="Q783" i="5"/>
  <c r="R783" i="5" s="1"/>
  <c r="P783" i="5"/>
  <c r="P782" i="5"/>
  <c r="Q782" i="5" s="1"/>
  <c r="R782" i="5" s="1"/>
  <c r="Q781" i="5"/>
  <c r="R781" i="5" s="1"/>
  <c r="P781" i="5"/>
  <c r="P780" i="5"/>
  <c r="Q780" i="5" s="1"/>
  <c r="R780" i="5" s="1"/>
  <c r="Q779" i="5"/>
  <c r="R779" i="5" s="1"/>
  <c r="P779" i="5"/>
  <c r="P778" i="5"/>
  <c r="Q778" i="5" s="1"/>
  <c r="R778" i="5" s="1"/>
  <c r="Q777" i="5"/>
  <c r="R777" i="5" s="1"/>
  <c r="P777" i="5"/>
  <c r="P776" i="5"/>
  <c r="Q776" i="5" s="1"/>
  <c r="R776" i="5" s="1"/>
  <c r="Q775" i="5"/>
  <c r="R775" i="5" s="1"/>
  <c r="P775" i="5"/>
  <c r="P774" i="5"/>
  <c r="Q774" i="5" s="1"/>
  <c r="R774" i="5" s="1"/>
  <c r="Q773" i="5"/>
  <c r="R773" i="5" s="1"/>
  <c r="P773" i="5"/>
  <c r="P772" i="5"/>
  <c r="Q772" i="5" s="1"/>
  <c r="R772" i="5" s="1"/>
  <c r="Q771" i="5"/>
  <c r="R771" i="5" s="1"/>
  <c r="P771" i="5"/>
  <c r="P770" i="5"/>
  <c r="Q770" i="5" s="1"/>
  <c r="R770" i="5" s="1"/>
  <c r="Q769" i="5"/>
  <c r="R769" i="5" s="1"/>
  <c r="P769" i="5"/>
  <c r="P768" i="5"/>
  <c r="Q768" i="5" s="1"/>
  <c r="R768" i="5" s="1"/>
  <c r="Q767" i="5"/>
  <c r="R767" i="5" s="1"/>
  <c r="P767" i="5"/>
  <c r="P766" i="5"/>
  <c r="Q766" i="5" s="1"/>
  <c r="R766" i="5" s="1"/>
  <c r="Q765" i="5"/>
  <c r="R765" i="5" s="1"/>
  <c r="P765" i="5"/>
  <c r="P764" i="5"/>
  <c r="Q764" i="5" s="1"/>
  <c r="R764" i="5" s="1"/>
  <c r="Q763" i="5"/>
  <c r="R763" i="5" s="1"/>
  <c r="P763" i="5"/>
  <c r="P762" i="5"/>
  <c r="Q762" i="5" s="1"/>
  <c r="R762" i="5" s="1"/>
  <c r="Q761" i="5"/>
  <c r="R761" i="5" s="1"/>
  <c r="P761" i="5"/>
  <c r="P760" i="5"/>
  <c r="Q760" i="5" s="1"/>
  <c r="R760" i="5" s="1"/>
  <c r="Q759" i="5"/>
  <c r="R759" i="5" s="1"/>
  <c r="P759" i="5"/>
  <c r="P758" i="5"/>
  <c r="Q758" i="5" s="1"/>
  <c r="R758" i="5" s="1"/>
  <c r="Q757" i="5"/>
  <c r="R757" i="5" s="1"/>
  <c r="P757" i="5"/>
  <c r="P756" i="5"/>
  <c r="Q756" i="5" s="1"/>
  <c r="R756" i="5" s="1"/>
  <c r="Q755" i="5"/>
  <c r="R755" i="5" s="1"/>
  <c r="P755" i="5"/>
  <c r="P754" i="5"/>
  <c r="Q754" i="5" s="1"/>
  <c r="R754" i="5" s="1"/>
  <c r="Q753" i="5"/>
  <c r="R753" i="5" s="1"/>
  <c r="P753" i="5"/>
  <c r="P752" i="5"/>
  <c r="Q752" i="5" s="1"/>
  <c r="R752" i="5" s="1"/>
  <c r="Q751" i="5"/>
  <c r="R751" i="5" s="1"/>
  <c r="P751" i="5"/>
  <c r="P750" i="5"/>
  <c r="Q750" i="5" s="1"/>
  <c r="R750" i="5" s="1"/>
  <c r="Q749" i="5"/>
  <c r="R749" i="5" s="1"/>
  <c r="P749" i="5"/>
  <c r="P748" i="5"/>
  <c r="Q748" i="5" s="1"/>
  <c r="R748" i="5" s="1"/>
  <c r="Q747" i="5"/>
  <c r="R747" i="5" s="1"/>
  <c r="P747" i="5"/>
  <c r="P746" i="5"/>
  <c r="Q746" i="5" s="1"/>
  <c r="R746" i="5" s="1"/>
  <c r="Q745" i="5"/>
  <c r="R745" i="5" s="1"/>
  <c r="P745" i="5"/>
  <c r="P744" i="5"/>
  <c r="Q744" i="5" s="1"/>
  <c r="R744" i="5" s="1"/>
  <c r="Q743" i="5"/>
  <c r="R743" i="5" s="1"/>
  <c r="P743" i="5"/>
  <c r="P742" i="5"/>
  <c r="Q742" i="5" s="1"/>
  <c r="R742" i="5" s="1"/>
  <c r="Q741" i="5"/>
  <c r="R741" i="5" s="1"/>
  <c r="P741" i="5"/>
  <c r="P740" i="5"/>
  <c r="Q740" i="5" s="1"/>
  <c r="R740" i="5" s="1"/>
  <c r="Q739" i="5"/>
  <c r="R739" i="5" s="1"/>
  <c r="P739" i="5"/>
  <c r="P738" i="5"/>
  <c r="Q738" i="5" s="1"/>
  <c r="R738" i="5" s="1"/>
  <c r="Q737" i="5"/>
  <c r="R737" i="5" s="1"/>
  <c r="P737" i="5"/>
  <c r="P736" i="5"/>
  <c r="Q736" i="5" s="1"/>
  <c r="R736" i="5" s="1"/>
  <c r="Q735" i="5"/>
  <c r="R735" i="5" s="1"/>
  <c r="P735" i="5"/>
  <c r="P734" i="5"/>
  <c r="Q734" i="5" s="1"/>
  <c r="R734" i="5" s="1"/>
  <c r="Q733" i="5"/>
  <c r="R733" i="5" s="1"/>
  <c r="P733" i="5"/>
  <c r="R732" i="5"/>
  <c r="P732" i="5"/>
  <c r="Q732" i="5" s="1"/>
  <c r="Q731" i="5"/>
  <c r="R731" i="5" s="1"/>
  <c r="P731" i="5"/>
  <c r="P730" i="5"/>
  <c r="Q730" i="5" s="1"/>
  <c r="R730" i="5" s="1"/>
  <c r="Q729" i="5"/>
  <c r="R729" i="5" s="1"/>
  <c r="P729" i="5"/>
  <c r="P728" i="5"/>
  <c r="Q728" i="5" s="1"/>
  <c r="R728" i="5" s="1"/>
  <c r="Q727" i="5"/>
  <c r="R727" i="5" s="1"/>
  <c r="P727" i="5"/>
  <c r="P726" i="5"/>
  <c r="Q726" i="5" s="1"/>
  <c r="R726" i="5" s="1"/>
  <c r="Q725" i="5"/>
  <c r="R725" i="5" s="1"/>
  <c r="P725" i="5"/>
  <c r="P724" i="5"/>
  <c r="Q724" i="5" s="1"/>
  <c r="R724" i="5" s="1"/>
  <c r="Q723" i="5"/>
  <c r="R723" i="5" s="1"/>
  <c r="P723" i="5"/>
  <c r="P722" i="5"/>
  <c r="Q722" i="5" s="1"/>
  <c r="R722" i="5" s="1"/>
  <c r="Q721" i="5"/>
  <c r="R721" i="5" s="1"/>
  <c r="P721" i="5"/>
  <c r="P720" i="5"/>
  <c r="Q720" i="5" s="1"/>
  <c r="R720" i="5" s="1"/>
  <c r="Q719" i="5"/>
  <c r="R719" i="5" s="1"/>
  <c r="P719" i="5"/>
  <c r="P718" i="5"/>
  <c r="Q718" i="5" s="1"/>
  <c r="R718" i="5" s="1"/>
  <c r="Q717" i="5"/>
  <c r="R717" i="5" s="1"/>
  <c r="P717" i="5"/>
  <c r="R716" i="5"/>
  <c r="P716" i="5"/>
  <c r="Q716" i="5" s="1"/>
  <c r="Q715" i="5"/>
  <c r="R715" i="5" s="1"/>
  <c r="P715" i="5"/>
  <c r="P714" i="5"/>
  <c r="Q714" i="5" s="1"/>
  <c r="R714" i="5" s="1"/>
  <c r="Q713" i="5"/>
  <c r="R713" i="5" s="1"/>
  <c r="P713" i="5"/>
  <c r="P712" i="5"/>
  <c r="Q712" i="5" s="1"/>
  <c r="R712" i="5" s="1"/>
  <c r="Q711" i="5"/>
  <c r="R711" i="5" s="1"/>
  <c r="P711" i="5"/>
  <c r="P710" i="5"/>
  <c r="Q710" i="5" s="1"/>
  <c r="R710" i="5" s="1"/>
  <c r="Q709" i="5"/>
  <c r="R709" i="5" s="1"/>
  <c r="P709" i="5"/>
  <c r="R708" i="5"/>
  <c r="P708" i="5"/>
  <c r="Q708" i="5" s="1"/>
  <c r="Q707" i="5"/>
  <c r="R707" i="5" s="1"/>
  <c r="P707" i="5"/>
  <c r="R706" i="5"/>
  <c r="P706" i="5"/>
  <c r="Q706" i="5" s="1"/>
  <c r="Q705" i="5"/>
  <c r="R705" i="5" s="1"/>
  <c r="P705" i="5"/>
  <c r="P704" i="5"/>
  <c r="Q704" i="5" s="1"/>
  <c r="R704" i="5" s="1"/>
  <c r="Q703" i="5"/>
  <c r="R703" i="5" s="1"/>
  <c r="P703" i="5"/>
  <c r="P702" i="5"/>
  <c r="Q702" i="5" s="1"/>
  <c r="R702" i="5" s="1"/>
  <c r="Q701" i="5"/>
  <c r="R701" i="5" s="1"/>
  <c r="P701" i="5"/>
  <c r="P700" i="5"/>
  <c r="Q700" i="5" s="1"/>
  <c r="R700" i="5" s="1"/>
  <c r="Q699" i="5"/>
  <c r="R699" i="5" s="1"/>
  <c r="P699" i="5"/>
  <c r="P698" i="5"/>
  <c r="Q698" i="5" s="1"/>
  <c r="R698" i="5" s="1"/>
  <c r="Q697" i="5"/>
  <c r="R697" i="5" s="1"/>
  <c r="P697" i="5"/>
  <c r="P696" i="5"/>
  <c r="Q696" i="5" s="1"/>
  <c r="R696" i="5" s="1"/>
  <c r="Q695" i="5"/>
  <c r="R695" i="5" s="1"/>
  <c r="P695" i="5"/>
  <c r="R694" i="5"/>
  <c r="P694" i="5"/>
  <c r="Q694" i="5" s="1"/>
  <c r="Q693" i="5"/>
  <c r="R693" i="5" s="1"/>
  <c r="P693" i="5"/>
  <c r="P692" i="5"/>
  <c r="Q692" i="5" s="1"/>
  <c r="R692" i="5" s="1"/>
  <c r="Q691" i="5"/>
  <c r="R691" i="5" s="1"/>
  <c r="P691" i="5"/>
  <c r="R690" i="5"/>
  <c r="P690" i="5"/>
  <c r="Q690" i="5" s="1"/>
  <c r="Q689" i="5"/>
  <c r="R689" i="5" s="1"/>
  <c r="P689" i="5"/>
  <c r="P688" i="5"/>
  <c r="Q688" i="5" s="1"/>
  <c r="R688" i="5" s="1"/>
  <c r="Q687" i="5"/>
  <c r="R687" i="5" s="1"/>
  <c r="P687" i="5"/>
  <c r="P686" i="5"/>
  <c r="Q686" i="5" s="1"/>
  <c r="R686" i="5" s="1"/>
  <c r="Q685" i="5"/>
  <c r="R685" i="5" s="1"/>
  <c r="P685" i="5"/>
  <c r="P684" i="5"/>
  <c r="Q684" i="5" s="1"/>
  <c r="R684" i="5" s="1"/>
  <c r="Q683" i="5"/>
  <c r="R683" i="5" s="1"/>
  <c r="P683" i="5"/>
  <c r="P682" i="5"/>
  <c r="Q682" i="5" s="1"/>
  <c r="R682" i="5" s="1"/>
  <c r="Q681" i="5"/>
  <c r="R681" i="5" s="1"/>
  <c r="P681" i="5"/>
  <c r="P680" i="5"/>
  <c r="Q680" i="5" s="1"/>
  <c r="R680" i="5" s="1"/>
  <c r="Q679" i="5"/>
  <c r="R679" i="5" s="1"/>
  <c r="P679" i="5"/>
  <c r="P678" i="5"/>
  <c r="Q678" i="5" s="1"/>
  <c r="R678" i="5" s="1"/>
  <c r="Q677" i="5"/>
  <c r="R677" i="5" s="1"/>
  <c r="P677" i="5"/>
  <c r="P676" i="5"/>
  <c r="Q676" i="5" s="1"/>
  <c r="R676" i="5" s="1"/>
  <c r="Q675" i="5"/>
  <c r="R675" i="5" s="1"/>
  <c r="P675" i="5"/>
  <c r="P674" i="5"/>
  <c r="Q674" i="5" s="1"/>
  <c r="R674" i="5" s="1"/>
  <c r="Q673" i="5"/>
  <c r="R673" i="5" s="1"/>
  <c r="P673" i="5"/>
  <c r="P672" i="5"/>
  <c r="Q672" i="5" s="1"/>
  <c r="R672" i="5" s="1"/>
  <c r="Q671" i="5"/>
  <c r="R671" i="5" s="1"/>
  <c r="P671" i="5"/>
  <c r="P670" i="5"/>
  <c r="Q670" i="5" s="1"/>
  <c r="R670" i="5" s="1"/>
  <c r="Q669" i="5"/>
  <c r="R669" i="5" s="1"/>
  <c r="P669" i="5"/>
  <c r="P668" i="5"/>
  <c r="Q668" i="5" s="1"/>
  <c r="R668" i="5" s="1"/>
  <c r="Q667" i="5"/>
  <c r="R667" i="5" s="1"/>
  <c r="P667" i="5"/>
  <c r="P666" i="5"/>
  <c r="Q666" i="5" s="1"/>
  <c r="R666" i="5" s="1"/>
  <c r="Q665" i="5"/>
  <c r="R665" i="5" s="1"/>
  <c r="P665" i="5"/>
  <c r="P664" i="5"/>
  <c r="Q664" i="5" s="1"/>
  <c r="R664" i="5" s="1"/>
  <c r="Q663" i="5"/>
  <c r="R663" i="5" s="1"/>
  <c r="P663" i="5"/>
  <c r="P662" i="5"/>
  <c r="Q662" i="5" s="1"/>
  <c r="R662" i="5" s="1"/>
  <c r="Q661" i="5"/>
  <c r="R661" i="5" s="1"/>
  <c r="P661" i="5"/>
  <c r="P660" i="5"/>
  <c r="Q660" i="5" s="1"/>
  <c r="R660" i="5" s="1"/>
  <c r="Q659" i="5"/>
  <c r="R659" i="5" s="1"/>
  <c r="P659" i="5"/>
  <c r="P658" i="5"/>
  <c r="Q658" i="5" s="1"/>
  <c r="R658" i="5" s="1"/>
  <c r="Q657" i="5"/>
  <c r="R657" i="5" s="1"/>
  <c r="P657" i="5"/>
  <c r="P656" i="5"/>
  <c r="Q656" i="5" s="1"/>
  <c r="R656" i="5" s="1"/>
  <c r="Q655" i="5"/>
  <c r="R655" i="5" s="1"/>
  <c r="P655" i="5"/>
  <c r="P654" i="5"/>
  <c r="Q654" i="5" s="1"/>
  <c r="R654" i="5" s="1"/>
  <c r="Q653" i="5"/>
  <c r="R653" i="5" s="1"/>
  <c r="P653" i="5"/>
  <c r="P652" i="5"/>
  <c r="Q652" i="5" s="1"/>
  <c r="R652" i="5" s="1"/>
  <c r="Q651" i="5"/>
  <c r="R651" i="5" s="1"/>
  <c r="P651" i="5"/>
  <c r="P650" i="5"/>
  <c r="Q650" i="5" s="1"/>
  <c r="R650" i="5" s="1"/>
  <c r="Q649" i="5"/>
  <c r="R649" i="5" s="1"/>
  <c r="P649" i="5"/>
  <c r="P648" i="5"/>
  <c r="Q648" i="5" s="1"/>
  <c r="R648" i="5" s="1"/>
  <c r="Q647" i="5"/>
  <c r="R647" i="5" s="1"/>
  <c r="P647" i="5"/>
  <c r="P646" i="5"/>
  <c r="Q646" i="5" s="1"/>
  <c r="R646" i="5" s="1"/>
  <c r="Q645" i="5"/>
  <c r="R645" i="5" s="1"/>
  <c r="P645" i="5"/>
  <c r="P644" i="5"/>
  <c r="Q644" i="5" s="1"/>
  <c r="R644" i="5" s="1"/>
  <c r="Q643" i="5"/>
  <c r="R643" i="5" s="1"/>
  <c r="P643" i="5"/>
  <c r="P642" i="5"/>
  <c r="Q642" i="5" s="1"/>
  <c r="R642" i="5" s="1"/>
  <c r="Q641" i="5"/>
  <c r="R641" i="5" s="1"/>
  <c r="P641" i="5"/>
  <c r="P640" i="5"/>
  <c r="Q640" i="5" s="1"/>
  <c r="R640" i="5" s="1"/>
  <c r="Q639" i="5"/>
  <c r="R639" i="5" s="1"/>
  <c r="P639" i="5"/>
  <c r="P638" i="5"/>
  <c r="Q638" i="5" s="1"/>
  <c r="R638" i="5" s="1"/>
  <c r="Q637" i="5"/>
  <c r="R637" i="5" s="1"/>
  <c r="P637" i="5"/>
  <c r="P636" i="5"/>
  <c r="Q636" i="5" s="1"/>
  <c r="R636" i="5" s="1"/>
  <c r="Q635" i="5"/>
  <c r="R635" i="5" s="1"/>
  <c r="P635" i="5"/>
  <c r="P634" i="5"/>
  <c r="Q634" i="5" s="1"/>
  <c r="R634" i="5" s="1"/>
  <c r="Q633" i="5"/>
  <c r="R633" i="5" s="1"/>
  <c r="P633" i="5"/>
  <c r="P632" i="5"/>
  <c r="Q632" i="5" s="1"/>
  <c r="R632" i="5" s="1"/>
  <c r="Q631" i="5"/>
  <c r="R631" i="5" s="1"/>
  <c r="P631" i="5"/>
  <c r="Q630" i="5"/>
  <c r="R630" i="5" s="1"/>
  <c r="P630" i="5"/>
  <c r="Q629" i="5"/>
  <c r="R629" i="5" s="1"/>
  <c r="P629" i="5"/>
  <c r="R628" i="5"/>
  <c r="P628" i="5"/>
  <c r="Q628" i="5" s="1"/>
  <c r="R627" i="5"/>
  <c r="Q627" i="5"/>
  <c r="P627" i="5"/>
  <c r="Q626" i="5"/>
  <c r="R626" i="5" s="1"/>
  <c r="P626" i="5"/>
  <c r="Q625" i="5"/>
  <c r="R625" i="5" s="1"/>
  <c r="P625" i="5"/>
  <c r="R624" i="5"/>
  <c r="P624" i="5"/>
  <c r="Q624" i="5" s="1"/>
  <c r="R623" i="5"/>
  <c r="Q623" i="5"/>
  <c r="P623" i="5"/>
  <c r="Q622" i="5"/>
  <c r="R622" i="5" s="1"/>
  <c r="P622" i="5"/>
  <c r="Q621" i="5"/>
  <c r="R621" i="5" s="1"/>
  <c r="P621" i="5"/>
  <c r="R620" i="5"/>
  <c r="P620" i="5"/>
  <c r="Q620" i="5" s="1"/>
  <c r="R619" i="5"/>
  <c r="Q619" i="5"/>
  <c r="P619" i="5"/>
  <c r="R618" i="5"/>
  <c r="Q618" i="5"/>
  <c r="P618" i="5"/>
  <c r="Q617" i="5"/>
  <c r="R617" i="5" s="1"/>
  <c r="P617" i="5"/>
  <c r="R616" i="5"/>
  <c r="P616" i="5"/>
  <c r="Q616" i="5" s="1"/>
  <c r="R615" i="5"/>
  <c r="Q615" i="5"/>
  <c r="P615" i="5"/>
  <c r="Q614" i="5"/>
  <c r="R614" i="5" s="1"/>
  <c r="P614" i="5"/>
  <c r="Q613" i="5"/>
  <c r="R613" i="5" s="1"/>
  <c r="P613" i="5"/>
  <c r="R612" i="5"/>
  <c r="Q612" i="5"/>
  <c r="P612" i="5"/>
  <c r="Q611" i="5"/>
  <c r="R611" i="5" s="1"/>
  <c r="P611" i="5"/>
  <c r="P610" i="5"/>
  <c r="Q610" i="5" s="1"/>
  <c r="R610" i="5" s="1"/>
  <c r="R609" i="5"/>
  <c r="Q609" i="5"/>
  <c r="P609" i="5"/>
  <c r="R608" i="5"/>
  <c r="P608" i="5"/>
  <c r="Q608" i="5" s="1"/>
  <c r="P607" i="5"/>
  <c r="Q607" i="5" s="1"/>
  <c r="R607" i="5" s="1"/>
  <c r="R606" i="5"/>
  <c r="Q606" i="5"/>
  <c r="P606" i="5"/>
  <c r="Q605" i="5"/>
  <c r="R605" i="5" s="1"/>
  <c r="P605" i="5"/>
  <c r="P604" i="5"/>
  <c r="Q604" i="5" s="1"/>
  <c r="R604" i="5" s="1"/>
  <c r="R603" i="5"/>
  <c r="Q603" i="5"/>
  <c r="P603" i="5"/>
  <c r="R602" i="5"/>
  <c r="Q602" i="5"/>
  <c r="P602" i="5"/>
  <c r="Q601" i="5"/>
  <c r="R601" i="5" s="1"/>
  <c r="P601" i="5"/>
  <c r="R600" i="5"/>
  <c r="P600" i="5"/>
  <c r="Q600" i="5" s="1"/>
  <c r="R599" i="5"/>
  <c r="Q599" i="5"/>
  <c r="P599" i="5"/>
  <c r="Q598" i="5"/>
  <c r="R598" i="5" s="1"/>
  <c r="P598" i="5"/>
  <c r="Q597" i="5"/>
  <c r="R597" i="5" s="1"/>
  <c r="P597" i="5"/>
  <c r="R596" i="5"/>
  <c r="Q596" i="5"/>
  <c r="P596" i="5"/>
  <c r="Q595" i="5"/>
  <c r="R595" i="5" s="1"/>
  <c r="P595" i="5"/>
  <c r="P594" i="5"/>
  <c r="Q594" i="5" s="1"/>
  <c r="R594" i="5" s="1"/>
  <c r="R593" i="5"/>
  <c r="Q593" i="5"/>
  <c r="P593" i="5"/>
  <c r="R592" i="5"/>
  <c r="P592" i="5"/>
  <c r="Q592" i="5" s="1"/>
  <c r="P591" i="5"/>
  <c r="Q591" i="5" s="1"/>
  <c r="R591" i="5" s="1"/>
  <c r="R590" i="5"/>
  <c r="Q590" i="5"/>
  <c r="P590" i="5"/>
  <c r="Q589" i="5"/>
  <c r="R589" i="5" s="1"/>
  <c r="P589" i="5"/>
  <c r="P588" i="5"/>
  <c r="Q588" i="5" s="1"/>
  <c r="R588" i="5" s="1"/>
  <c r="R587" i="5"/>
  <c r="Q587" i="5"/>
  <c r="P587" i="5"/>
  <c r="R586" i="5"/>
  <c r="Q586" i="5"/>
  <c r="P586" i="5"/>
  <c r="Q585" i="5"/>
  <c r="R585" i="5" s="1"/>
  <c r="P585" i="5"/>
  <c r="R584" i="5"/>
  <c r="P584" i="5"/>
  <c r="Q584" i="5" s="1"/>
  <c r="R583" i="5"/>
  <c r="Q583" i="5"/>
  <c r="P583" i="5"/>
  <c r="Q582" i="5"/>
  <c r="R582" i="5" s="1"/>
  <c r="P582" i="5"/>
  <c r="Q581" i="5"/>
  <c r="R581" i="5" s="1"/>
  <c r="P581" i="5"/>
  <c r="R580" i="5"/>
  <c r="Q580" i="5"/>
  <c r="P580" i="5"/>
  <c r="Q579" i="5"/>
  <c r="R579" i="5" s="1"/>
  <c r="P579" i="5"/>
  <c r="P578" i="5"/>
  <c r="Q578" i="5" s="1"/>
  <c r="R578" i="5" s="1"/>
  <c r="R577" i="5"/>
  <c r="Q577" i="5"/>
  <c r="P577" i="5"/>
  <c r="R576" i="5"/>
  <c r="P576" i="5"/>
  <c r="Q576" i="5" s="1"/>
  <c r="P575" i="5"/>
  <c r="Q575" i="5" s="1"/>
  <c r="R575" i="5" s="1"/>
  <c r="R574" i="5"/>
  <c r="Q574" i="5"/>
  <c r="P574" i="5"/>
  <c r="Q573" i="5"/>
  <c r="R573" i="5" s="1"/>
  <c r="P573" i="5"/>
  <c r="P572" i="5"/>
  <c r="Q572" i="5" s="1"/>
  <c r="R572" i="5" s="1"/>
  <c r="R571" i="5"/>
  <c r="Q571" i="5"/>
  <c r="P571" i="5"/>
  <c r="R570" i="5"/>
  <c r="Q570" i="5"/>
  <c r="P570" i="5"/>
  <c r="Q569" i="5"/>
  <c r="R569" i="5" s="1"/>
  <c r="P569" i="5"/>
  <c r="R568" i="5"/>
  <c r="P568" i="5"/>
  <c r="Q568" i="5" s="1"/>
  <c r="R567" i="5"/>
  <c r="Q567" i="5"/>
  <c r="P567" i="5"/>
  <c r="Q566" i="5"/>
  <c r="R566" i="5" s="1"/>
  <c r="P566" i="5"/>
  <c r="Q565" i="5"/>
  <c r="R565" i="5" s="1"/>
  <c r="P565" i="5"/>
  <c r="R564" i="5"/>
  <c r="Q564" i="5"/>
  <c r="P564" i="5"/>
  <c r="Q563" i="5"/>
  <c r="R563" i="5" s="1"/>
  <c r="P563" i="5"/>
  <c r="P562" i="5"/>
  <c r="Q562" i="5" s="1"/>
  <c r="R562" i="5" s="1"/>
  <c r="R561" i="5"/>
  <c r="Q561" i="5"/>
  <c r="P561" i="5"/>
  <c r="R560" i="5"/>
  <c r="P560" i="5"/>
  <c r="Q560" i="5" s="1"/>
  <c r="P559" i="5"/>
  <c r="Q559" i="5" s="1"/>
  <c r="R559" i="5" s="1"/>
  <c r="R558" i="5"/>
  <c r="Q558" i="5"/>
  <c r="P558" i="5"/>
  <c r="Q557" i="5"/>
  <c r="R557" i="5" s="1"/>
  <c r="P557" i="5"/>
  <c r="P556" i="5"/>
  <c r="Q556" i="5" s="1"/>
  <c r="R556" i="5" s="1"/>
  <c r="R555" i="5"/>
  <c r="Q555" i="5"/>
  <c r="P555" i="5"/>
  <c r="R554" i="5"/>
  <c r="Q554" i="5"/>
  <c r="P554" i="5"/>
  <c r="Q553" i="5"/>
  <c r="R553" i="5" s="1"/>
  <c r="P553" i="5"/>
  <c r="R552" i="5"/>
  <c r="P552" i="5"/>
  <c r="Q552" i="5" s="1"/>
  <c r="R551" i="5"/>
  <c r="Q551" i="5"/>
  <c r="P551" i="5"/>
  <c r="Q550" i="5"/>
  <c r="R550" i="5" s="1"/>
  <c r="P550" i="5"/>
  <c r="P549" i="5"/>
  <c r="Q549" i="5" s="1"/>
  <c r="R549" i="5" s="1"/>
  <c r="R548" i="5"/>
  <c r="Q548" i="5"/>
  <c r="P548" i="5"/>
  <c r="R547" i="5"/>
  <c r="Q547" i="5"/>
  <c r="P547" i="5"/>
  <c r="P546" i="5"/>
  <c r="Q546" i="5" s="1"/>
  <c r="R546" i="5" s="1"/>
  <c r="P545" i="5"/>
  <c r="Q545" i="5" s="1"/>
  <c r="R545" i="5" s="1"/>
  <c r="R544" i="5"/>
  <c r="Q544" i="5"/>
  <c r="P544" i="5"/>
  <c r="Q543" i="5"/>
  <c r="R543" i="5" s="1"/>
  <c r="P543" i="5"/>
  <c r="Q542" i="5"/>
  <c r="R542" i="5" s="1"/>
  <c r="P542" i="5"/>
  <c r="P541" i="5"/>
  <c r="Q541" i="5" s="1"/>
  <c r="R541" i="5" s="1"/>
  <c r="R540" i="5"/>
  <c r="Q540" i="5"/>
  <c r="P540" i="5"/>
  <c r="R539" i="5"/>
  <c r="Q539" i="5"/>
  <c r="P539" i="5"/>
  <c r="P538" i="5"/>
  <c r="Q538" i="5" s="1"/>
  <c r="R538" i="5" s="1"/>
  <c r="P537" i="5"/>
  <c r="Q537" i="5" s="1"/>
  <c r="R537" i="5" s="1"/>
  <c r="R536" i="5"/>
  <c r="Q536" i="5"/>
  <c r="P536" i="5"/>
  <c r="Q535" i="5"/>
  <c r="R535" i="5" s="1"/>
  <c r="P535" i="5"/>
  <c r="P534" i="5"/>
  <c r="Q534" i="5" s="1"/>
  <c r="R534" i="5" s="1"/>
  <c r="P533" i="5"/>
  <c r="Q533" i="5" s="1"/>
  <c r="R533" i="5" s="1"/>
  <c r="R532" i="5"/>
  <c r="Q532" i="5"/>
  <c r="P532" i="5"/>
  <c r="Q531" i="5"/>
  <c r="R531" i="5" s="1"/>
  <c r="P531" i="5"/>
  <c r="P530" i="5"/>
  <c r="Q530" i="5" s="1"/>
  <c r="R530" i="5" s="1"/>
  <c r="P529" i="5"/>
  <c r="Q529" i="5" s="1"/>
  <c r="R529" i="5" s="1"/>
  <c r="R528" i="5"/>
  <c r="Q528" i="5"/>
  <c r="P528" i="5"/>
  <c r="Q527" i="5"/>
  <c r="R527" i="5" s="1"/>
  <c r="P527" i="5"/>
  <c r="P526" i="5"/>
  <c r="Q526" i="5" s="1"/>
  <c r="R526" i="5" s="1"/>
  <c r="P525" i="5"/>
  <c r="Q525" i="5" s="1"/>
  <c r="R525" i="5" s="1"/>
  <c r="R524" i="5"/>
  <c r="Q524" i="5"/>
  <c r="P524" i="5"/>
  <c r="Q523" i="5"/>
  <c r="R523" i="5" s="1"/>
  <c r="P523" i="5"/>
  <c r="P522" i="5"/>
  <c r="Q522" i="5" s="1"/>
  <c r="R522" i="5" s="1"/>
  <c r="P521" i="5"/>
  <c r="Q521" i="5" s="1"/>
  <c r="R521" i="5" s="1"/>
  <c r="R520" i="5"/>
  <c r="Q520" i="5"/>
  <c r="P520" i="5"/>
  <c r="Q519" i="5"/>
  <c r="R519" i="5" s="1"/>
  <c r="P519" i="5"/>
  <c r="P518" i="5"/>
  <c r="Q518" i="5" s="1"/>
  <c r="R518" i="5" s="1"/>
  <c r="P517" i="5"/>
  <c r="Q517" i="5" s="1"/>
  <c r="R517" i="5" s="1"/>
  <c r="R516" i="5"/>
  <c r="Q516" i="5"/>
  <c r="P516" i="5"/>
  <c r="Q515" i="5"/>
  <c r="R515" i="5" s="1"/>
  <c r="P515" i="5"/>
  <c r="P514" i="5"/>
  <c r="Q514" i="5" s="1"/>
  <c r="R514" i="5" s="1"/>
  <c r="P513" i="5"/>
  <c r="Q513" i="5" s="1"/>
  <c r="R513" i="5" s="1"/>
  <c r="R512" i="5"/>
  <c r="Q512" i="5"/>
  <c r="P512" i="5"/>
  <c r="Q511" i="5"/>
  <c r="R511" i="5" s="1"/>
  <c r="P511" i="5"/>
  <c r="P510" i="5"/>
  <c r="Q510" i="5" s="1"/>
  <c r="R510" i="5" s="1"/>
  <c r="P509" i="5"/>
  <c r="Q509" i="5" s="1"/>
  <c r="R509" i="5" s="1"/>
  <c r="R508" i="5"/>
  <c r="Q508" i="5"/>
  <c r="P508" i="5"/>
  <c r="Q507" i="5"/>
  <c r="R507" i="5" s="1"/>
  <c r="P507" i="5"/>
  <c r="P506" i="5"/>
  <c r="Q506" i="5" s="1"/>
  <c r="R506" i="5" s="1"/>
  <c r="P505" i="5"/>
  <c r="Q505" i="5" s="1"/>
  <c r="R505" i="5" s="1"/>
  <c r="R504" i="5"/>
  <c r="Q504" i="5"/>
  <c r="P504" i="5"/>
  <c r="Q503" i="5"/>
  <c r="R503" i="5" s="1"/>
  <c r="P503" i="5"/>
  <c r="P502" i="5"/>
  <c r="Q502" i="5" s="1"/>
  <c r="R502" i="5" s="1"/>
  <c r="P501" i="5"/>
  <c r="Q501" i="5" s="1"/>
  <c r="R501" i="5" s="1"/>
  <c r="R500" i="5"/>
  <c r="Q500" i="5"/>
  <c r="P500" i="5"/>
  <c r="Q499" i="5"/>
  <c r="R499" i="5" s="1"/>
  <c r="P499" i="5"/>
  <c r="P498" i="5"/>
  <c r="Q498" i="5" s="1"/>
  <c r="R498" i="5" s="1"/>
  <c r="P497" i="5"/>
  <c r="Q497" i="5" s="1"/>
  <c r="R497" i="5" s="1"/>
  <c r="R496" i="5"/>
  <c r="Q496" i="5"/>
  <c r="P496" i="5"/>
  <c r="Q495" i="5"/>
  <c r="R495" i="5" s="1"/>
  <c r="P495" i="5"/>
  <c r="Q494" i="5"/>
  <c r="R494" i="5" s="1"/>
  <c r="P494" i="5"/>
  <c r="P493" i="5"/>
  <c r="Q493" i="5" s="1"/>
  <c r="R493" i="5" s="1"/>
  <c r="R492" i="5"/>
  <c r="Q492" i="5"/>
  <c r="P492" i="5"/>
  <c r="R491" i="5"/>
  <c r="Q491" i="5"/>
  <c r="P491" i="5"/>
  <c r="Q490" i="5"/>
  <c r="R490" i="5" s="1"/>
  <c r="P490" i="5"/>
  <c r="P489" i="5"/>
  <c r="Q489" i="5" s="1"/>
  <c r="R489" i="5" s="1"/>
  <c r="R488" i="5"/>
  <c r="Q488" i="5"/>
  <c r="P488" i="5"/>
  <c r="Q487" i="5"/>
  <c r="R487" i="5" s="1"/>
  <c r="P487" i="5"/>
  <c r="Q486" i="5"/>
  <c r="R486" i="5" s="1"/>
  <c r="P486" i="5"/>
  <c r="P485" i="5"/>
  <c r="Q485" i="5" s="1"/>
  <c r="R485" i="5" s="1"/>
  <c r="R484" i="5"/>
  <c r="Q484" i="5"/>
  <c r="P484" i="5"/>
  <c r="R483" i="5"/>
  <c r="Q483" i="5"/>
  <c r="P483" i="5"/>
  <c r="P482" i="5"/>
  <c r="Q482" i="5" s="1"/>
  <c r="R482" i="5" s="1"/>
  <c r="P481" i="5"/>
  <c r="Q481" i="5" s="1"/>
  <c r="R481" i="5" s="1"/>
  <c r="R480" i="5"/>
  <c r="Q480" i="5"/>
  <c r="P480" i="5"/>
  <c r="R479" i="5"/>
  <c r="Q479" i="5"/>
  <c r="P479" i="5"/>
  <c r="P478" i="5"/>
  <c r="Q478" i="5" s="1"/>
  <c r="R478" i="5" s="1"/>
  <c r="P477" i="5"/>
  <c r="Q477" i="5" s="1"/>
  <c r="R477" i="5" s="1"/>
  <c r="R476" i="5"/>
  <c r="Q476" i="5"/>
  <c r="P476" i="5"/>
  <c r="R475" i="5"/>
  <c r="Q475" i="5"/>
  <c r="P475" i="5"/>
  <c r="P474" i="5"/>
  <c r="Q474" i="5" s="1"/>
  <c r="R474" i="5" s="1"/>
  <c r="P473" i="5"/>
  <c r="Q473" i="5" s="1"/>
  <c r="R473" i="5" s="1"/>
  <c r="R472" i="5"/>
  <c r="Q472" i="5"/>
  <c r="P472" i="5"/>
  <c r="Q471" i="5"/>
  <c r="R471" i="5" s="1"/>
  <c r="P471" i="5"/>
  <c r="Q470" i="5"/>
  <c r="R470" i="5" s="1"/>
  <c r="P470" i="5"/>
  <c r="P469" i="5"/>
  <c r="Q469" i="5" s="1"/>
  <c r="R469" i="5" s="1"/>
  <c r="R468" i="5"/>
  <c r="Q468" i="5"/>
  <c r="P468" i="5"/>
  <c r="Q467" i="5"/>
  <c r="R467" i="5" s="1"/>
  <c r="P467" i="5"/>
  <c r="P466" i="5"/>
  <c r="Q466" i="5" s="1"/>
  <c r="R466" i="5" s="1"/>
  <c r="P465" i="5"/>
  <c r="Q465" i="5" s="1"/>
  <c r="R465" i="5" s="1"/>
  <c r="R464" i="5"/>
  <c r="Q464" i="5"/>
  <c r="P464" i="5"/>
  <c r="Q463" i="5"/>
  <c r="R463" i="5" s="1"/>
  <c r="P463" i="5"/>
  <c r="Q462" i="5"/>
  <c r="R462" i="5" s="1"/>
  <c r="P462" i="5"/>
  <c r="P461" i="5"/>
  <c r="Q461" i="5" s="1"/>
  <c r="R461" i="5" s="1"/>
  <c r="Q460" i="5"/>
  <c r="R460" i="5" s="1"/>
  <c r="P460" i="5"/>
  <c r="R459" i="5"/>
  <c r="Q459" i="5"/>
  <c r="P459" i="5"/>
  <c r="Q458" i="5"/>
  <c r="R458" i="5" s="1"/>
  <c r="P458" i="5"/>
  <c r="P457" i="5"/>
  <c r="Q457" i="5" s="1"/>
  <c r="R457" i="5" s="1"/>
  <c r="R456" i="5"/>
  <c r="Q456" i="5"/>
  <c r="P456" i="5"/>
  <c r="R455" i="5"/>
  <c r="Q455" i="5"/>
  <c r="P455" i="5"/>
  <c r="P454" i="5"/>
  <c r="Q454" i="5" s="1"/>
  <c r="R454" i="5" s="1"/>
  <c r="P453" i="5"/>
  <c r="Q453" i="5" s="1"/>
  <c r="R453" i="5" s="1"/>
  <c r="R452" i="5"/>
  <c r="Q452" i="5"/>
  <c r="P452" i="5"/>
  <c r="R451" i="5"/>
  <c r="Q451" i="5"/>
  <c r="P451" i="5"/>
  <c r="P450" i="5"/>
  <c r="Q450" i="5" s="1"/>
  <c r="R450" i="5" s="1"/>
  <c r="R449" i="5"/>
  <c r="P449" i="5"/>
  <c r="Q449" i="5" s="1"/>
  <c r="R448" i="5"/>
  <c r="Q448" i="5"/>
  <c r="P448" i="5"/>
  <c r="P447" i="5"/>
  <c r="Q447" i="5" s="1"/>
  <c r="R447" i="5" s="1"/>
  <c r="Q446" i="5"/>
  <c r="R446" i="5" s="1"/>
  <c r="P446" i="5"/>
  <c r="P445" i="5"/>
  <c r="Q445" i="5" s="1"/>
  <c r="R445" i="5" s="1"/>
  <c r="R444" i="5"/>
  <c r="Q444" i="5"/>
  <c r="P444" i="5"/>
  <c r="Q443" i="5"/>
  <c r="R443" i="5" s="1"/>
  <c r="P443" i="5"/>
  <c r="P442" i="5"/>
  <c r="Q442" i="5" s="1"/>
  <c r="R442" i="5" s="1"/>
  <c r="R441" i="5"/>
  <c r="P441" i="5"/>
  <c r="Q441" i="5" s="1"/>
  <c r="R440" i="5"/>
  <c r="Q440" i="5"/>
  <c r="P440" i="5"/>
  <c r="P439" i="5"/>
  <c r="Q439" i="5" s="1"/>
  <c r="R439" i="5" s="1"/>
  <c r="Q438" i="5"/>
  <c r="R438" i="5" s="1"/>
  <c r="P438" i="5"/>
  <c r="P437" i="5"/>
  <c r="Q437" i="5" s="1"/>
  <c r="R437" i="5" s="1"/>
  <c r="Q436" i="5"/>
  <c r="R436" i="5" s="1"/>
  <c r="P436" i="5"/>
  <c r="Q435" i="5"/>
  <c r="R435" i="5" s="1"/>
  <c r="P435" i="5"/>
  <c r="Q434" i="5"/>
  <c r="R434" i="5" s="1"/>
  <c r="P434" i="5"/>
  <c r="P433" i="5"/>
  <c r="Q433" i="5" s="1"/>
  <c r="R433" i="5" s="1"/>
  <c r="R432" i="5"/>
  <c r="Q432" i="5"/>
  <c r="P432" i="5"/>
  <c r="R431" i="5"/>
  <c r="Q431" i="5"/>
  <c r="P431" i="5"/>
  <c r="P430" i="5"/>
  <c r="Q430" i="5" s="1"/>
  <c r="R430" i="5" s="1"/>
  <c r="P429" i="5"/>
  <c r="Q429" i="5" s="1"/>
  <c r="R429" i="5" s="1"/>
  <c r="Q428" i="5"/>
  <c r="R428" i="5" s="1"/>
  <c r="P428" i="5"/>
  <c r="R427" i="5"/>
  <c r="Q427" i="5"/>
  <c r="P427" i="5"/>
  <c r="Q426" i="5"/>
  <c r="R426" i="5" s="1"/>
  <c r="P426" i="5"/>
  <c r="P425" i="5"/>
  <c r="Q425" i="5" s="1"/>
  <c r="R425" i="5" s="1"/>
  <c r="R424" i="5"/>
  <c r="Q424" i="5"/>
  <c r="P424" i="5"/>
  <c r="Q423" i="5"/>
  <c r="R423" i="5" s="1"/>
  <c r="P423" i="5"/>
  <c r="P422" i="5"/>
  <c r="Q422" i="5" s="1"/>
  <c r="R422" i="5" s="1"/>
  <c r="P421" i="5"/>
  <c r="Q421" i="5" s="1"/>
  <c r="R421" i="5" s="1"/>
  <c r="R420" i="5"/>
  <c r="Q420" i="5"/>
  <c r="P420" i="5"/>
  <c r="P419" i="5"/>
  <c r="Q419" i="5" s="1"/>
  <c r="R419" i="5" s="1"/>
  <c r="P418" i="5"/>
  <c r="Q418" i="5" s="1"/>
  <c r="R418" i="5" s="1"/>
  <c r="P417" i="5"/>
  <c r="Q417" i="5" s="1"/>
  <c r="R417" i="5" s="1"/>
  <c r="R416" i="5"/>
  <c r="Q416" i="5"/>
  <c r="P416" i="5"/>
  <c r="P415" i="5"/>
  <c r="Q415" i="5" s="1"/>
  <c r="R415" i="5" s="1"/>
  <c r="P414" i="5"/>
  <c r="Q414" i="5" s="1"/>
  <c r="R414" i="5" s="1"/>
  <c r="R413" i="5"/>
  <c r="P413" i="5"/>
  <c r="Q413" i="5" s="1"/>
  <c r="Q412" i="5"/>
  <c r="R412" i="5" s="1"/>
  <c r="P412" i="5"/>
  <c r="P411" i="5"/>
  <c r="Q411" i="5" s="1"/>
  <c r="R411" i="5" s="1"/>
  <c r="P410" i="5"/>
  <c r="Q410" i="5" s="1"/>
  <c r="R410" i="5" s="1"/>
  <c r="P409" i="5"/>
  <c r="Q409" i="5" s="1"/>
  <c r="R409" i="5" s="1"/>
  <c r="Q408" i="5"/>
  <c r="R408" i="5" s="1"/>
  <c r="P408" i="5"/>
  <c r="P407" i="5"/>
  <c r="Q407" i="5" s="1"/>
  <c r="R407" i="5" s="1"/>
  <c r="P406" i="5"/>
  <c r="Q406" i="5" s="1"/>
  <c r="R406" i="5" s="1"/>
  <c r="P405" i="5"/>
  <c r="Q405" i="5" s="1"/>
  <c r="R405" i="5" s="1"/>
  <c r="Q404" i="5"/>
  <c r="R404" i="5" s="1"/>
  <c r="P404" i="5"/>
  <c r="P403" i="5"/>
  <c r="Q403" i="5" s="1"/>
  <c r="R403" i="5" s="1"/>
  <c r="P402" i="5"/>
  <c r="Q402" i="5" s="1"/>
  <c r="R402" i="5" s="1"/>
  <c r="P401" i="5"/>
  <c r="Q401" i="5" s="1"/>
  <c r="R401" i="5" s="1"/>
  <c r="Q400" i="5"/>
  <c r="R400" i="5" s="1"/>
  <c r="P400" i="5"/>
  <c r="P399" i="5"/>
  <c r="Q399" i="5" s="1"/>
  <c r="R399" i="5" s="1"/>
  <c r="P398" i="5"/>
  <c r="Q398" i="5" s="1"/>
  <c r="R398" i="5" s="1"/>
  <c r="P397" i="5"/>
  <c r="Q397" i="5" s="1"/>
  <c r="R397" i="5" s="1"/>
  <c r="Q396" i="5"/>
  <c r="R396" i="5" s="1"/>
  <c r="P396" i="5"/>
  <c r="P395" i="5"/>
  <c r="Q395" i="5" s="1"/>
  <c r="R395" i="5" s="1"/>
  <c r="P394" i="5"/>
  <c r="Q394" i="5" s="1"/>
  <c r="R394" i="5" s="1"/>
  <c r="P393" i="5"/>
  <c r="Q393" i="5" s="1"/>
  <c r="R393" i="5" s="1"/>
  <c r="Q392" i="5"/>
  <c r="R392" i="5" s="1"/>
  <c r="P392" i="5"/>
  <c r="P391" i="5"/>
  <c r="Q391" i="5" s="1"/>
  <c r="R391" i="5" s="1"/>
  <c r="P390" i="5"/>
  <c r="P389" i="5"/>
  <c r="Q389" i="5" s="1"/>
  <c r="R389" i="5" s="1"/>
  <c r="Q388" i="5"/>
  <c r="R388" i="5" s="1"/>
  <c r="P388" i="5"/>
  <c r="P387" i="5"/>
  <c r="Q387" i="5" s="1"/>
  <c r="R387" i="5" s="1"/>
  <c r="P386" i="5"/>
  <c r="Q386" i="5" s="1"/>
  <c r="R386" i="5" s="1"/>
  <c r="P385" i="5"/>
  <c r="Q385" i="5" s="1"/>
  <c r="R385" i="5" s="1"/>
  <c r="Q384" i="5"/>
  <c r="R384" i="5" s="1"/>
  <c r="P384" i="5"/>
  <c r="P383" i="5"/>
  <c r="Q383" i="5" s="1"/>
  <c r="R383" i="5" s="1"/>
  <c r="P382" i="5"/>
  <c r="Q382" i="5" s="1"/>
  <c r="R382" i="5" s="1"/>
  <c r="P381" i="5"/>
  <c r="Q381" i="5" s="1"/>
  <c r="R381" i="5" s="1"/>
  <c r="Q380" i="5"/>
  <c r="R380" i="5" s="1"/>
  <c r="P380" i="5"/>
  <c r="P379" i="5"/>
  <c r="Q379" i="5" s="1"/>
  <c r="R379" i="5" s="1"/>
  <c r="P378" i="5"/>
  <c r="Q378" i="5" s="1"/>
  <c r="R378" i="5" s="1"/>
  <c r="P377" i="5"/>
  <c r="Q377" i="5" s="1"/>
  <c r="R377" i="5" s="1"/>
  <c r="Q376" i="5"/>
  <c r="R376" i="5" s="1"/>
  <c r="P376" i="5"/>
  <c r="P375" i="5"/>
  <c r="Q375" i="5" s="1"/>
  <c r="R375" i="5" s="1"/>
  <c r="P374" i="5"/>
  <c r="Q374" i="5" s="1"/>
  <c r="R374" i="5" s="1"/>
  <c r="P373" i="5"/>
  <c r="Q373" i="5" s="1"/>
  <c r="R373" i="5" s="1"/>
  <c r="Q372" i="5"/>
  <c r="R372" i="5" s="1"/>
  <c r="P372" i="5"/>
  <c r="P371" i="5"/>
  <c r="Q371" i="5" s="1"/>
  <c r="R371" i="5" s="1"/>
  <c r="P370" i="5"/>
  <c r="Q370" i="5" s="1"/>
  <c r="R370" i="5" s="1"/>
  <c r="P369" i="5"/>
  <c r="Q369" i="5" s="1"/>
  <c r="R369" i="5" s="1"/>
  <c r="Q368" i="5"/>
  <c r="R368" i="5" s="1"/>
  <c r="P368" i="5"/>
  <c r="P367" i="5"/>
  <c r="Q367" i="5" s="1"/>
  <c r="R367" i="5" s="1"/>
  <c r="P366" i="5"/>
  <c r="Q366" i="5" s="1"/>
  <c r="R366" i="5" s="1"/>
  <c r="P365" i="5"/>
  <c r="Q365" i="5" s="1"/>
  <c r="R365" i="5" s="1"/>
  <c r="Q364" i="5"/>
  <c r="R364" i="5" s="1"/>
  <c r="P364" i="5"/>
  <c r="P363" i="5"/>
  <c r="Q363" i="5" s="1"/>
  <c r="R363" i="5" s="1"/>
  <c r="P362" i="5"/>
  <c r="Q362" i="5" s="1"/>
  <c r="R362" i="5" s="1"/>
  <c r="P361" i="5"/>
  <c r="Q361" i="5" s="1"/>
  <c r="R361" i="5" s="1"/>
  <c r="Q360" i="5"/>
  <c r="R360" i="5" s="1"/>
  <c r="P360" i="5"/>
  <c r="P359" i="5"/>
  <c r="Q359" i="5" s="1"/>
  <c r="R359" i="5" s="1"/>
  <c r="P358" i="5"/>
  <c r="Q358" i="5" s="1"/>
  <c r="R358" i="5" s="1"/>
  <c r="P357" i="5"/>
  <c r="Q357" i="5" s="1"/>
  <c r="R357" i="5" s="1"/>
  <c r="Q356" i="5"/>
  <c r="R356" i="5" s="1"/>
  <c r="P356" i="5"/>
  <c r="P355" i="5"/>
  <c r="Q355" i="5" s="1"/>
  <c r="R355" i="5" s="1"/>
  <c r="P354" i="5"/>
  <c r="Q354" i="5" s="1"/>
  <c r="R354" i="5" s="1"/>
  <c r="P353" i="5"/>
  <c r="Q353" i="5" s="1"/>
  <c r="R353" i="5" s="1"/>
  <c r="Q352" i="5"/>
  <c r="R352" i="5" s="1"/>
  <c r="P352" i="5"/>
  <c r="P351" i="5"/>
  <c r="Q351" i="5" s="1"/>
  <c r="R351" i="5" s="1"/>
  <c r="P350" i="5"/>
  <c r="Q350" i="5" s="1"/>
  <c r="R350" i="5" s="1"/>
  <c r="P349" i="5"/>
  <c r="Q349" i="5" s="1"/>
  <c r="R349" i="5" s="1"/>
  <c r="Q348" i="5"/>
  <c r="R348" i="5" s="1"/>
  <c r="P348" i="5"/>
  <c r="P347" i="5"/>
  <c r="Q347" i="5" s="1"/>
  <c r="R347" i="5" s="1"/>
  <c r="P346" i="5"/>
  <c r="Q346" i="5" s="1"/>
  <c r="R346" i="5" s="1"/>
  <c r="P345" i="5"/>
  <c r="Q345" i="5" s="1"/>
  <c r="R345" i="5" s="1"/>
  <c r="Q344" i="5"/>
  <c r="R344" i="5" s="1"/>
  <c r="P344" i="5"/>
  <c r="P343" i="5"/>
  <c r="Q343" i="5" s="1"/>
  <c r="R343" i="5" s="1"/>
  <c r="P342" i="5"/>
  <c r="Q342" i="5" s="1"/>
  <c r="R342" i="5" s="1"/>
  <c r="P341" i="5"/>
  <c r="Q341" i="5" s="1"/>
  <c r="R341" i="5" s="1"/>
  <c r="Q340" i="5"/>
  <c r="R340" i="5" s="1"/>
  <c r="P340" i="5"/>
  <c r="P339" i="5"/>
  <c r="Q339" i="5" s="1"/>
  <c r="R339" i="5" s="1"/>
  <c r="P338" i="5"/>
  <c r="Q338" i="5" s="1"/>
  <c r="R338" i="5" s="1"/>
  <c r="P337" i="5"/>
  <c r="Q337" i="5" s="1"/>
  <c r="R337" i="5" s="1"/>
  <c r="Q336" i="5"/>
  <c r="R336" i="5" s="1"/>
  <c r="P336" i="5"/>
  <c r="R335" i="5"/>
  <c r="P335" i="5"/>
  <c r="Q335" i="5" s="1"/>
  <c r="P334" i="5"/>
  <c r="Q334" i="5" s="1"/>
  <c r="R334" i="5" s="1"/>
  <c r="P333" i="5"/>
  <c r="Q333" i="5" s="1"/>
  <c r="R333" i="5" s="1"/>
  <c r="Q332" i="5"/>
  <c r="R332" i="5" s="1"/>
  <c r="P332" i="5"/>
  <c r="R331" i="5"/>
  <c r="P331" i="5"/>
  <c r="Q331" i="5" s="1"/>
  <c r="P330" i="5"/>
  <c r="Q330" i="5" s="1"/>
  <c r="R330" i="5" s="1"/>
  <c r="P329" i="5"/>
  <c r="Q329" i="5" s="1"/>
  <c r="R329" i="5" s="1"/>
  <c r="Q328" i="5"/>
  <c r="R328" i="5" s="1"/>
  <c r="P328" i="5"/>
  <c r="P327" i="5"/>
  <c r="Q327" i="5" s="1"/>
  <c r="R327" i="5" s="1"/>
  <c r="P326" i="5"/>
  <c r="Q326" i="5" s="1"/>
  <c r="R326" i="5" s="1"/>
  <c r="P325" i="5"/>
  <c r="Q325" i="5" s="1"/>
  <c r="R325" i="5" s="1"/>
  <c r="Q324" i="5"/>
  <c r="R324" i="5" s="1"/>
  <c r="P324" i="5"/>
  <c r="P323" i="5"/>
  <c r="Q323" i="5" s="1"/>
  <c r="R323" i="5" s="1"/>
  <c r="P322" i="5"/>
  <c r="Q322" i="5" s="1"/>
  <c r="R322" i="5" s="1"/>
  <c r="P321" i="5"/>
  <c r="Q321" i="5" s="1"/>
  <c r="R321" i="5" s="1"/>
  <c r="Q320" i="5"/>
  <c r="R320" i="5" s="1"/>
  <c r="P320" i="5"/>
  <c r="R319" i="5"/>
  <c r="P319" i="5"/>
  <c r="Q319" i="5" s="1"/>
  <c r="Q318" i="5"/>
  <c r="R318" i="5" s="1"/>
  <c r="P318" i="5"/>
  <c r="R317" i="5"/>
  <c r="P317" i="5"/>
  <c r="Q317" i="5" s="1"/>
  <c r="P316" i="5"/>
  <c r="Q316" i="5" s="1"/>
  <c r="R316" i="5" s="1"/>
  <c r="Q315" i="5"/>
  <c r="R315" i="5" s="1"/>
  <c r="P315" i="5"/>
  <c r="Q314" i="5"/>
  <c r="R314" i="5" s="1"/>
  <c r="P314" i="5"/>
  <c r="P313" i="5"/>
  <c r="Q313" i="5" s="1"/>
  <c r="R313" i="5" s="1"/>
  <c r="Q312" i="5"/>
  <c r="R312" i="5" s="1"/>
  <c r="P312" i="5"/>
  <c r="P311" i="5"/>
  <c r="Q311" i="5" s="1"/>
  <c r="R311" i="5" s="1"/>
  <c r="Q310" i="5"/>
  <c r="R310" i="5" s="1"/>
  <c r="P310" i="5"/>
  <c r="R309" i="5"/>
  <c r="P309" i="5"/>
  <c r="Q309" i="5" s="1"/>
  <c r="P308" i="5"/>
  <c r="Q308" i="5" s="1"/>
  <c r="R308" i="5" s="1"/>
  <c r="Q307" i="5"/>
  <c r="R307" i="5" s="1"/>
  <c r="P307" i="5"/>
  <c r="Q306" i="5"/>
  <c r="R306" i="5" s="1"/>
  <c r="P306" i="5"/>
  <c r="P305" i="5"/>
  <c r="Q305" i="5" s="1"/>
  <c r="R305" i="5" s="1"/>
  <c r="Q304" i="5"/>
  <c r="R304" i="5" s="1"/>
  <c r="P304" i="5"/>
  <c r="P303" i="5"/>
  <c r="Q303" i="5" s="1"/>
  <c r="R303" i="5" s="1"/>
  <c r="Q302" i="5"/>
  <c r="R302" i="5" s="1"/>
  <c r="P302" i="5"/>
  <c r="R301" i="5"/>
  <c r="P301" i="5"/>
  <c r="Q301" i="5" s="1"/>
  <c r="P300" i="5"/>
  <c r="Q300" i="5" s="1"/>
  <c r="R300" i="5" s="1"/>
  <c r="Q299" i="5"/>
  <c r="R299" i="5" s="1"/>
  <c r="P299" i="5"/>
  <c r="Q298" i="5"/>
  <c r="R298" i="5" s="1"/>
  <c r="P298" i="5"/>
  <c r="P297" i="5"/>
  <c r="Q297" i="5" s="1"/>
  <c r="R297" i="5" s="1"/>
  <c r="Q296" i="5"/>
  <c r="R296" i="5" s="1"/>
  <c r="P296" i="5"/>
  <c r="P295" i="5"/>
  <c r="Q295" i="5" s="1"/>
  <c r="R295" i="5" s="1"/>
  <c r="Q294" i="5"/>
  <c r="R294" i="5" s="1"/>
  <c r="P294" i="5"/>
  <c r="P293" i="5"/>
  <c r="Q293" i="5" s="1"/>
  <c r="R293" i="5" s="1"/>
  <c r="Q292" i="5"/>
  <c r="R292" i="5" s="1"/>
  <c r="P292" i="5"/>
  <c r="P291" i="5"/>
  <c r="Q291" i="5" s="1"/>
  <c r="R291" i="5" s="1"/>
  <c r="Q290" i="5"/>
  <c r="R290" i="5" s="1"/>
  <c r="P290" i="5"/>
  <c r="P289" i="5"/>
  <c r="Q289" i="5" s="1"/>
  <c r="R289" i="5" s="1"/>
  <c r="Q288" i="5"/>
  <c r="R288" i="5" s="1"/>
  <c r="P288" i="5"/>
  <c r="R287" i="5"/>
  <c r="P287" i="5"/>
  <c r="Q287" i="5" s="1"/>
  <c r="Q286" i="5"/>
  <c r="R286" i="5" s="1"/>
  <c r="P286" i="5"/>
  <c r="P285" i="5"/>
  <c r="Q285" i="5" s="1"/>
  <c r="R285" i="5" s="1"/>
  <c r="Q284" i="5"/>
  <c r="R284" i="5" s="1"/>
  <c r="P284" i="5"/>
  <c r="P283" i="5"/>
  <c r="Q283" i="5" s="1"/>
  <c r="R283" i="5" s="1"/>
  <c r="Q282" i="5"/>
  <c r="R282" i="5" s="1"/>
  <c r="P282" i="5"/>
  <c r="P281" i="5"/>
  <c r="Q281" i="5" s="1"/>
  <c r="R281" i="5" s="1"/>
  <c r="Q280" i="5"/>
  <c r="R280" i="5" s="1"/>
  <c r="P280" i="5"/>
  <c r="P279" i="5"/>
  <c r="Q279" i="5" s="1"/>
  <c r="R279" i="5" s="1"/>
  <c r="Q278" i="5"/>
  <c r="R278" i="5" s="1"/>
  <c r="P278" i="5"/>
  <c r="P277" i="5"/>
  <c r="Q277" i="5" s="1"/>
  <c r="R277" i="5" s="1"/>
  <c r="Q276" i="5"/>
  <c r="R276" i="5" s="1"/>
  <c r="P276" i="5"/>
  <c r="P275" i="5"/>
  <c r="Q275" i="5" s="1"/>
  <c r="R275" i="5" s="1"/>
  <c r="Q274" i="5"/>
  <c r="R274" i="5" s="1"/>
  <c r="P274" i="5"/>
  <c r="P273" i="5"/>
  <c r="Q273" i="5" s="1"/>
  <c r="R273" i="5" s="1"/>
  <c r="Q272" i="5"/>
  <c r="R272" i="5" s="1"/>
  <c r="P272" i="5"/>
  <c r="P271" i="5"/>
  <c r="Q271" i="5" s="1"/>
  <c r="R271" i="5" s="1"/>
  <c r="P270" i="5"/>
  <c r="P269" i="5"/>
  <c r="Q269" i="5" s="1"/>
  <c r="R269" i="5" s="1"/>
  <c r="Q268" i="5"/>
  <c r="R268" i="5" s="1"/>
  <c r="P268" i="5"/>
  <c r="P267" i="5"/>
  <c r="Q267" i="5" s="1"/>
  <c r="R267" i="5" s="1"/>
  <c r="Q266" i="5"/>
  <c r="R266" i="5" s="1"/>
  <c r="P266" i="5"/>
  <c r="P265" i="5"/>
  <c r="Q265" i="5" s="1"/>
  <c r="R265" i="5" s="1"/>
  <c r="Q264" i="5"/>
  <c r="R264" i="5" s="1"/>
  <c r="P264" i="5"/>
  <c r="P263" i="5"/>
  <c r="Q263" i="5" s="1"/>
  <c r="R263" i="5" s="1"/>
  <c r="Q262" i="5"/>
  <c r="R262" i="5" s="1"/>
  <c r="P262" i="5"/>
  <c r="R261" i="5"/>
  <c r="P261" i="5"/>
  <c r="Q261" i="5" s="1"/>
  <c r="Q260" i="5"/>
  <c r="R260" i="5" s="1"/>
  <c r="P260" i="5"/>
  <c r="P259" i="5"/>
  <c r="Q259" i="5" s="1"/>
  <c r="R259" i="5" s="1"/>
  <c r="Q258" i="5"/>
  <c r="R258" i="5" s="1"/>
  <c r="P258" i="5"/>
  <c r="P257" i="5"/>
  <c r="Q257" i="5" s="1"/>
  <c r="R257" i="5" s="1"/>
  <c r="Q256" i="5"/>
  <c r="R256" i="5" s="1"/>
  <c r="P256" i="5"/>
  <c r="P255" i="5"/>
  <c r="Q255" i="5" s="1"/>
  <c r="R255" i="5" s="1"/>
  <c r="Q254" i="5"/>
  <c r="R254" i="5" s="1"/>
  <c r="P254" i="5"/>
  <c r="R253" i="5"/>
  <c r="P253" i="5"/>
  <c r="Q253" i="5" s="1"/>
  <c r="Q252" i="5"/>
  <c r="R252" i="5" s="1"/>
  <c r="P252" i="5"/>
  <c r="P251" i="5"/>
  <c r="Q251" i="5" s="1"/>
  <c r="R251" i="5" s="1"/>
  <c r="Q250" i="5"/>
  <c r="R250" i="5" s="1"/>
  <c r="P250" i="5"/>
  <c r="P249" i="5"/>
  <c r="Q249" i="5" s="1"/>
  <c r="R249" i="5" s="1"/>
  <c r="Q248" i="5"/>
  <c r="R248" i="5" s="1"/>
  <c r="P248" i="5"/>
  <c r="R247" i="5"/>
  <c r="P247" i="5"/>
  <c r="Q247" i="5" s="1"/>
  <c r="Q246" i="5"/>
  <c r="R246" i="5" s="1"/>
  <c r="P246" i="5"/>
  <c r="P245" i="5"/>
  <c r="Q245" i="5" s="1"/>
  <c r="R245" i="5" s="1"/>
  <c r="Q244" i="5"/>
  <c r="R244" i="5" s="1"/>
  <c r="P244" i="5"/>
  <c r="P243" i="5"/>
  <c r="Q243" i="5" s="1"/>
  <c r="R243" i="5" s="1"/>
  <c r="Q242" i="5"/>
  <c r="R242" i="5" s="1"/>
  <c r="P242" i="5"/>
  <c r="P241" i="5"/>
  <c r="Q241" i="5" s="1"/>
  <c r="R241" i="5" s="1"/>
  <c r="Q240" i="5"/>
  <c r="R240" i="5" s="1"/>
  <c r="P240" i="5"/>
  <c r="R239" i="5"/>
  <c r="P239" i="5"/>
  <c r="Q239" i="5" s="1"/>
  <c r="Q238" i="5"/>
  <c r="R238" i="5" s="1"/>
  <c r="P238" i="5"/>
  <c r="P237" i="5"/>
  <c r="Q237" i="5" s="1"/>
  <c r="R237" i="5" s="1"/>
  <c r="Q236" i="5"/>
  <c r="R236" i="5" s="1"/>
  <c r="P236" i="5"/>
  <c r="P235" i="5"/>
  <c r="Q235" i="5" s="1"/>
  <c r="R235" i="5" s="1"/>
  <c r="Q234" i="5"/>
  <c r="R234" i="5" s="1"/>
  <c r="P234" i="5"/>
  <c r="P233" i="5"/>
  <c r="Q233" i="5" s="1"/>
  <c r="R233" i="5" s="1"/>
  <c r="Q232" i="5"/>
  <c r="R232" i="5" s="1"/>
  <c r="P232" i="5"/>
  <c r="P231" i="5"/>
  <c r="Q231" i="5" s="1"/>
  <c r="R231" i="5" s="1"/>
  <c r="Q230" i="5"/>
  <c r="R230" i="5" s="1"/>
  <c r="P230" i="5"/>
  <c r="R229" i="5"/>
  <c r="P229" i="5"/>
  <c r="Q229" i="5" s="1"/>
  <c r="Q228" i="5"/>
  <c r="R228" i="5" s="1"/>
  <c r="P228" i="5"/>
  <c r="P227" i="5"/>
  <c r="Q227" i="5" s="1"/>
  <c r="R227" i="5" s="1"/>
  <c r="Q226" i="5"/>
  <c r="R226" i="5" s="1"/>
  <c r="P226" i="5"/>
  <c r="P225" i="5"/>
  <c r="Q225" i="5" s="1"/>
  <c r="R225" i="5" s="1"/>
  <c r="Q224" i="5"/>
  <c r="R224" i="5" s="1"/>
  <c r="P224" i="5"/>
  <c r="P223" i="5"/>
  <c r="Q223" i="5" s="1"/>
  <c r="R223" i="5" s="1"/>
  <c r="Q222" i="5"/>
  <c r="R222" i="5" s="1"/>
  <c r="P222" i="5"/>
  <c r="R221" i="5"/>
  <c r="P221" i="5"/>
  <c r="Q221" i="5" s="1"/>
  <c r="Q220" i="5"/>
  <c r="R220" i="5" s="1"/>
  <c r="P220" i="5"/>
  <c r="P219" i="5"/>
  <c r="Q219" i="5" s="1"/>
  <c r="R219" i="5" s="1"/>
  <c r="Q218" i="5"/>
  <c r="R218" i="5" s="1"/>
  <c r="P218" i="5"/>
  <c r="P217" i="5"/>
  <c r="Q217" i="5" s="1"/>
  <c r="R217" i="5" s="1"/>
  <c r="Q216" i="5"/>
  <c r="R216" i="5" s="1"/>
  <c r="P216" i="5"/>
  <c r="R215" i="5"/>
  <c r="P215" i="5"/>
  <c r="Q215" i="5" s="1"/>
  <c r="Q214" i="5"/>
  <c r="R214" i="5" s="1"/>
  <c r="P214" i="5"/>
  <c r="P213" i="5"/>
  <c r="Q213" i="5" s="1"/>
  <c r="R213" i="5" s="1"/>
  <c r="Q212" i="5"/>
  <c r="R212" i="5" s="1"/>
  <c r="P212" i="5"/>
  <c r="P211" i="5"/>
  <c r="Q211" i="5" s="1"/>
  <c r="R211" i="5" s="1"/>
  <c r="Q210" i="5"/>
  <c r="R210" i="5" s="1"/>
  <c r="P210" i="5"/>
  <c r="P209" i="5"/>
  <c r="Q209" i="5" s="1"/>
  <c r="R209" i="5" s="1"/>
  <c r="Q208" i="5"/>
  <c r="R208" i="5" s="1"/>
  <c r="P208" i="5"/>
  <c r="R207" i="5"/>
  <c r="P207" i="5"/>
  <c r="Q207" i="5" s="1"/>
  <c r="Q206" i="5"/>
  <c r="R206" i="5" s="1"/>
  <c r="P206" i="5"/>
  <c r="P205" i="5"/>
  <c r="Q205" i="5" s="1"/>
  <c r="R205" i="5" s="1"/>
  <c r="Q204" i="5"/>
  <c r="R204" i="5" s="1"/>
  <c r="P204" i="5"/>
  <c r="P203" i="5"/>
  <c r="Q203" i="5" s="1"/>
  <c r="R203" i="5" s="1"/>
  <c r="Q202" i="5"/>
  <c r="R202" i="5" s="1"/>
  <c r="P202" i="5"/>
  <c r="P201" i="5"/>
  <c r="Q201" i="5" s="1"/>
  <c r="R201" i="5" s="1"/>
  <c r="Q200" i="5"/>
  <c r="R200" i="5" s="1"/>
  <c r="P200" i="5"/>
  <c r="P199" i="5"/>
  <c r="Q199" i="5" s="1"/>
  <c r="R199" i="5" s="1"/>
  <c r="Q198" i="5"/>
  <c r="R198" i="5" s="1"/>
  <c r="P198" i="5"/>
  <c r="R197" i="5"/>
  <c r="P197" i="5"/>
  <c r="Q197" i="5" s="1"/>
  <c r="Q196" i="5"/>
  <c r="R196" i="5" s="1"/>
  <c r="P196" i="5"/>
  <c r="P195" i="5"/>
  <c r="Q195" i="5" s="1"/>
  <c r="R195" i="5" s="1"/>
  <c r="Q194" i="5"/>
  <c r="R194" i="5" s="1"/>
  <c r="P194" i="5"/>
  <c r="P193" i="5"/>
  <c r="Q193" i="5" s="1"/>
  <c r="R193" i="5" s="1"/>
  <c r="Q192" i="5"/>
  <c r="R192" i="5" s="1"/>
  <c r="P192" i="5"/>
  <c r="P191" i="5"/>
  <c r="Q191" i="5" s="1"/>
  <c r="R191" i="5" s="1"/>
  <c r="Q190" i="5"/>
  <c r="R190" i="5" s="1"/>
  <c r="P190" i="5"/>
  <c r="R189" i="5"/>
  <c r="P189" i="5"/>
  <c r="Q189" i="5" s="1"/>
  <c r="Q188" i="5"/>
  <c r="R188" i="5" s="1"/>
  <c r="P188" i="5"/>
  <c r="P187" i="5"/>
  <c r="Q187" i="5" s="1"/>
  <c r="R187" i="5" s="1"/>
  <c r="Q186" i="5"/>
  <c r="R186" i="5" s="1"/>
  <c r="P186" i="5"/>
  <c r="P185" i="5"/>
  <c r="Q185" i="5" s="1"/>
  <c r="R185" i="5" s="1"/>
  <c r="Q184" i="5"/>
  <c r="R184" i="5" s="1"/>
  <c r="P184" i="5"/>
  <c r="R183" i="5"/>
  <c r="P183" i="5"/>
  <c r="Q183" i="5" s="1"/>
  <c r="Q182" i="5"/>
  <c r="R182" i="5" s="1"/>
  <c r="P182" i="5"/>
  <c r="P181" i="5"/>
  <c r="Q181" i="5" s="1"/>
  <c r="R181" i="5" s="1"/>
  <c r="Q180" i="5"/>
  <c r="R180" i="5" s="1"/>
  <c r="P180" i="5"/>
  <c r="P179" i="5"/>
  <c r="Q179" i="5" s="1"/>
  <c r="R179" i="5" s="1"/>
  <c r="Q178" i="5"/>
  <c r="R178" i="5" s="1"/>
  <c r="P178" i="5"/>
  <c r="R177" i="5"/>
  <c r="P177" i="5"/>
  <c r="Q177" i="5" s="1"/>
  <c r="Q176" i="5"/>
  <c r="R176" i="5" s="1"/>
  <c r="P176" i="5"/>
  <c r="P175" i="5"/>
  <c r="Q175" i="5" s="1"/>
  <c r="R175" i="5" s="1"/>
  <c r="Q174" i="5"/>
  <c r="R174" i="5" s="1"/>
  <c r="P174" i="5"/>
  <c r="R173" i="5"/>
  <c r="P173" i="5"/>
  <c r="Q173" i="5" s="1"/>
  <c r="Q172" i="5"/>
  <c r="R172" i="5" s="1"/>
  <c r="P172" i="5"/>
  <c r="P171" i="5"/>
  <c r="Q171" i="5" s="1"/>
  <c r="R171" i="5" s="1"/>
  <c r="Q170" i="5"/>
  <c r="R170" i="5" s="1"/>
  <c r="P170" i="5"/>
  <c r="P169" i="5"/>
  <c r="Q169" i="5" s="1"/>
  <c r="R169" i="5" s="1"/>
  <c r="Q168" i="5"/>
  <c r="R168" i="5" s="1"/>
  <c r="P168" i="5"/>
  <c r="R167" i="5"/>
  <c r="P167" i="5"/>
  <c r="Q167" i="5" s="1"/>
  <c r="Q166" i="5"/>
  <c r="R166" i="5" s="1"/>
  <c r="P166" i="5"/>
  <c r="R165" i="5"/>
  <c r="P165" i="5"/>
  <c r="Q165" i="5" s="1"/>
  <c r="P164" i="5"/>
  <c r="Q164" i="5" s="1"/>
  <c r="R164" i="5" s="1"/>
  <c r="P163" i="5"/>
  <c r="Q163" i="5" s="1"/>
  <c r="R163" i="5" s="1"/>
  <c r="Q162" i="5"/>
  <c r="R162" i="5" s="1"/>
  <c r="P162" i="5"/>
  <c r="R161" i="5"/>
  <c r="Q161" i="5"/>
  <c r="P161" i="5"/>
  <c r="Q160" i="5"/>
  <c r="R160" i="5" s="1"/>
  <c r="P160" i="5"/>
  <c r="P159" i="5"/>
  <c r="Q159" i="5" s="1"/>
  <c r="R159" i="5" s="1"/>
  <c r="Q158" i="5"/>
  <c r="R158" i="5" s="1"/>
  <c r="P158" i="5"/>
  <c r="P157" i="5"/>
  <c r="Q157" i="5" s="1"/>
  <c r="R157" i="5" s="1"/>
  <c r="P156" i="5"/>
  <c r="Q156" i="5" s="1"/>
  <c r="R156" i="5" s="1"/>
  <c r="R155" i="5"/>
  <c r="P155" i="5"/>
  <c r="Q155" i="5" s="1"/>
  <c r="Q154" i="5"/>
  <c r="R154" i="5" s="1"/>
  <c r="P154" i="5"/>
  <c r="Q153" i="5"/>
  <c r="R153" i="5" s="1"/>
  <c r="P153" i="5"/>
  <c r="Q152" i="5"/>
  <c r="R152" i="5" s="1"/>
  <c r="P152" i="5"/>
  <c r="P151" i="5"/>
  <c r="Q151" i="5" s="1"/>
  <c r="R151" i="5" s="1"/>
  <c r="R150" i="5"/>
  <c r="Q150" i="5"/>
  <c r="P150" i="5"/>
  <c r="P149" i="5"/>
  <c r="Q149" i="5" s="1"/>
  <c r="R149" i="5" s="1"/>
  <c r="P148" i="5"/>
  <c r="P147" i="5"/>
  <c r="P146" i="5"/>
  <c r="P145" i="5"/>
  <c r="Q144" i="5"/>
  <c r="R144" i="5" s="1"/>
  <c r="P144" i="5"/>
  <c r="P143" i="5"/>
  <c r="R142" i="5"/>
  <c r="Q142" i="5"/>
  <c r="P142" i="5"/>
  <c r="R141" i="5"/>
  <c r="P141" i="5"/>
  <c r="Q141" i="5" s="1"/>
  <c r="P140" i="5"/>
  <c r="Q140" i="5" s="1"/>
  <c r="R140" i="5" s="1"/>
  <c r="P139" i="5"/>
  <c r="Q139" i="5" s="1"/>
  <c r="R139" i="5" s="1"/>
  <c r="Q138" i="5"/>
  <c r="R138" i="5" s="1"/>
  <c r="P138" i="5"/>
  <c r="P137" i="5"/>
  <c r="Q137" i="5" s="1"/>
  <c r="R137" i="5" s="1"/>
  <c r="Q136" i="5"/>
  <c r="R136" i="5" s="1"/>
  <c r="P136" i="5"/>
  <c r="R135" i="5"/>
  <c r="P135" i="5"/>
  <c r="Q135" i="5" s="1"/>
  <c r="Q134" i="5"/>
  <c r="R134" i="5" s="1"/>
  <c r="P134" i="5"/>
  <c r="P133" i="5"/>
  <c r="Q133" i="5" s="1"/>
  <c r="R133" i="5" s="1"/>
  <c r="P132" i="5"/>
  <c r="Q132" i="5" s="1"/>
  <c r="R132" i="5" s="1"/>
  <c r="P131" i="5"/>
  <c r="Q131" i="5" s="1"/>
  <c r="R131" i="5" s="1"/>
  <c r="Q130" i="5"/>
  <c r="R130" i="5" s="1"/>
  <c r="P130" i="5"/>
  <c r="Q129" i="5"/>
  <c r="R129" i="5" s="1"/>
  <c r="P129" i="5"/>
  <c r="Q128" i="5"/>
  <c r="R128" i="5" s="1"/>
  <c r="P128" i="5"/>
  <c r="P127" i="5"/>
  <c r="Q127" i="5" s="1"/>
  <c r="R127" i="5" s="1"/>
  <c r="Q126" i="5"/>
  <c r="R126" i="5" s="1"/>
  <c r="P126" i="5"/>
  <c r="P125" i="5"/>
  <c r="Q125" i="5" s="1"/>
  <c r="R125" i="5" s="1"/>
  <c r="P124" i="5"/>
  <c r="Q124" i="5" s="1"/>
  <c r="R124" i="5" s="1"/>
  <c r="R123" i="5"/>
  <c r="P123" i="5"/>
  <c r="Q123" i="5" s="1"/>
  <c r="Q122" i="5"/>
  <c r="R122" i="5" s="1"/>
  <c r="P122" i="5"/>
  <c r="Q121" i="5"/>
  <c r="R121" i="5" s="1"/>
  <c r="P121" i="5"/>
  <c r="Q120" i="5"/>
  <c r="R120" i="5" s="1"/>
  <c r="P120" i="5"/>
  <c r="P119" i="5"/>
  <c r="Q119" i="5" s="1"/>
  <c r="R119" i="5" s="1"/>
  <c r="R118" i="5"/>
  <c r="Q118" i="5"/>
  <c r="P118" i="5"/>
  <c r="P117" i="5"/>
  <c r="Q117" i="5" s="1"/>
  <c r="R117" i="5" s="1"/>
  <c r="Q116" i="5"/>
  <c r="R116" i="5" s="1"/>
  <c r="P116" i="5"/>
  <c r="P115" i="5"/>
  <c r="Q115" i="5" s="1"/>
  <c r="R115" i="5" s="1"/>
  <c r="Q114" i="5"/>
  <c r="R114" i="5" s="1"/>
  <c r="P114" i="5"/>
  <c r="Q113" i="5"/>
  <c r="R113" i="5" s="1"/>
  <c r="P113" i="5"/>
  <c r="Q112" i="5"/>
  <c r="R112" i="5" s="1"/>
  <c r="P112" i="5"/>
  <c r="R111" i="5"/>
  <c r="P111" i="5"/>
  <c r="Q111" i="5" s="1"/>
  <c r="R110" i="5"/>
  <c r="Q110" i="5"/>
  <c r="P110" i="5"/>
  <c r="P109" i="5"/>
  <c r="Q109" i="5" s="1"/>
  <c r="R109" i="5" s="1"/>
  <c r="P108" i="5"/>
  <c r="Q108" i="5" s="1"/>
  <c r="R108" i="5" s="1"/>
  <c r="P107" i="5"/>
  <c r="Q107" i="5" s="1"/>
  <c r="R107" i="5" s="1"/>
  <c r="Q106" i="5"/>
  <c r="R106" i="5" s="1"/>
  <c r="P106" i="5"/>
  <c r="Q105" i="5"/>
  <c r="R105" i="5" s="1"/>
  <c r="P105" i="5"/>
  <c r="Q104" i="5"/>
  <c r="R104" i="5" s="1"/>
  <c r="P104" i="5"/>
  <c r="R103" i="5"/>
  <c r="P103" i="5"/>
  <c r="Q103" i="5" s="1"/>
  <c r="R102" i="5"/>
  <c r="Q102" i="5"/>
  <c r="P102" i="5"/>
  <c r="P101" i="5"/>
  <c r="Q101" i="5" s="1"/>
  <c r="R101" i="5" s="1"/>
  <c r="P100" i="5"/>
  <c r="Q100" i="5" s="1"/>
  <c r="R100" i="5" s="1"/>
  <c r="P99" i="5"/>
  <c r="Q99" i="5" s="1"/>
  <c r="R99" i="5" s="1"/>
  <c r="Q98" i="5"/>
  <c r="R98" i="5" s="1"/>
  <c r="P98" i="5"/>
  <c r="Q97" i="5"/>
  <c r="R97" i="5" s="1"/>
  <c r="P97" i="5"/>
  <c r="Q96" i="5"/>
  <c r="R96" i="5" s="1"/>
  <c r="P96" i="5"/>
  <c r="P95" i="5"/>
  <c r="Q95" i="5" s="1"/>
  <c r="R95" i="5" s="1"/>
  <c r="R94" i="5"/>
  <c r="Q94" i="5"/>
  <c r="P94" i="5"/>
  <c r="P93" i="5"/>
  <c r="Q93" i="5" s="1"/>
  <c r="R93" i="5" s="1"/>
  <c r="P92" i="5"/>
  <c r="Q92" i="5" s="1"/>
  <c r="R92" i="5" s="1"/>
  <c r="R91" i="5"/>
  <c r="P91" i="5"/>
  <c r="Q91" i="5" s="1"/>
  <c r="Q90" i="5"/>
  <c r="R90" i="5" s="1"/>
  <c r="P90" i="5"/>
  <c r="Q89" i="5"/>
  <c r="R89" i="5" s="1"/>
  <c r="P89" i="5"/>
  <c r="Q88" i="5"/>
  <c r="R88" i="5" s="1"/>
  <c r="P88" i="5"/>
  <c r="R87" i="5"/>
  <c r="P87" i="5"/>
  <c r="Q87" i="5" s="1"/>
  <c r="R86" i="5"/>
  <c r="Q86" i="5"/>
  <c r="P86" i="5"/>
  <c r="P85" i="5"/>
  <c r="Q85" i="5" s="1"/>
  <c r="R85" i="5" s="1"/>
  <c r="P84" i="5"/>
  <c r="Q84" i="5" s="1"/>
  <c r="R84" i="5" s="1"/>
  <c r="P83" i="5"/>
  <c r="Q83" i="5" s="1"/>
  <c r="R83" i="5" s="1"/>
  <c r="Q82" i="5"/>
  <c r="R82" i="5" s="1"/>
  <c r="P82" i="5"/>
  <c r="P81" i="5"/>
  <c r="Q81" i="5" s="1"/>
  <c r="R81" i="5" s="1"/>
  <c r="P80" i="5"/>
  <c r="Q80" i="5" s="1"/>
  <c r="R80" i="5" s="1"/>
  <c r="P79" i="5"/>
  <c r="Q79" i="5" s="1"/>
  <c r="R79" i="5" s="1"/>
  <c r="Q78" i="5"/>
  <c r="R78" i="5" s="1"/>
  <c r="P78" i="5"/>
  <c r="P77" i="5"/>
  <c r="Q77" i="5" s="1"/>
  <c r="R77" i="5" s="1"/>
  <c r="P76" i="5"/>
  <c r="Q76" i="5" s="1"/>
  <c r="R76" i="5" s="1"/>
  <c r="P75" i="5"/>
  <c r="Q75" i="5" s="1"/>
  <c r="R75" i="5" s="1"/>
  <c r="Q74" i="5"/>
  <c r="R74" i="5" s="1"/>
  <c r="P74" i="5"/>
  <c r="P73" i="5"/>
  <c r="Q73" i="5" s="1"/>
  <c r="R73" i="5" s="1"/>
  <c r="P72" i="5"/>
  <c r="P71" i="5"/>
  <c r="Q71" i="5" s="1"/>
  <c r="R71" i="5" s="1"/>
  <c r="Q70" i="5"/>
  <c r="R70" i="5" s="1"/>
  <c r="P70" i="5"/>
  <c r="P69" i="5"/>
  <c r="Q69" i="5" s="1"/>
  <c r="R69" i="5" s="1"/>
  <c r="P68" i="5"/>
  <c r="Q68" i="5" s="1"/>
  <c r="R68" i="5" s="1"/>
  <c r="P67" i="5"/>
  <c r="Q67" i="5" s="1"/>
  <c r="R67" i="5" s="1"/>
  <c r="Q66" i="5"/>
  <c r="R66" i="5" s="1"/>
  <c r="P66" i="5"/>
  <c r="P65" i="5"/>
  <c r="Q65" i="5" s="1"/>
  <c r="R65" i="5" s="1"/>
  <c r="P64" i="5"/>
  <c r="Q64" i="5" s="1"/>
  <c r="R64" i="5" s="1"/>
  <c r="P63" i="5"/>
  <c r="Q63" i="5" s="1"/>
  <c r="R63" i="5" s="1"/>
  <c r="Q62" i="5"/>
  <c r="R62" i="5" s="1"/>
  <c r="P62" i="5"/>
  <c r="P61" i="5"/>
  <c r="Q61" i="5" s="1"/>
  <c r="R61" i="5" s="1"/>
  <c r="P60" i="5"/>
  <c r="Q60" i="5" s="1"/>
  <c r="R60" i="5" s="1"/>
  <c r="P59" i="5"/>
  <c r="Q59" i="5" s="1"/>
  <c r="R59" i="5" s="1"/>
  <c r="Q58" i="5"/>
  <c r="R58" i="5" s="1"/>
  <c r="P58" i="5"/>
  <c r="P57" i="5"/>
  <c r="Q57" i="5" s="1"/>
  <c r="R57" i="5" s="1"/>
  <c r="P56" i="5"/>
  <c r="Q56" i="5" s="1"/>
  <c r="R56" i="5" s="1"/>
  <c r="P55" i="5"/>
  <c r="Q55" i="5" s="1"/>
  <c r="R55" i="5" s="1"/>
  <c r="Q54" i="5"/>
  <c r="R54" i="5" s="1"/>
  <c r="P54" i="5"/>
  <c r="P53" i="5"/>
  <c r="Q53" i="5" s="1"/>
  <c r="R53" i="5" s="1"/>
  <c r="P52" i="5"/>
  <c r="Q52" i="5" s="1"/>
  <c r="R52" i="5" s="1"/>
  <c r="P51" i="5"/>
  <c r="Q51" i="5" s="1"/>
  <c r="R51" i="5" s="1"/>
  <c r="Q50" i="5"/>
  <c r="R50" i="5" s="1"/>
  <c r="P50" i="5"/>
  <c r="P49" i="5"/>
  <c r="Q49" i="5" s="1"/>
  <c r="R49" i="5" s="1"/>
  <c r="P48" i="5"/>
  <c r="Q48" i="5" s="1"/>
  <c r="R48" i="5" s="1"/>
  <c r="P47" i="5"/>
  <c r="Q47" i="5" s="1"/>
  <c r="R47" i="5" s="1"/>
  <c r="Q46" i="5"/>
  <c r="R46" i="5" s="1"/>
  <c r="P46" i="5"/>
  <c r="P45" i="5"/>
  <c r="Q45" i="5" s="1"/>
  <c r="R45" i="5" s="1"/>
  <c r="P44" i="5"/>
  <c r="Q44" i="5" s="1"/>
  <c r="R44" i="5" s="1"/>
  <c r="P43" i="5"/>
  <c r="Q43" i="5" s="1"/>
  <c r="R43" i="5" s="1"/>
  <c r="Q42" i="5"/>
  <c r="R42" i="5" s="1"/>
  <c r="P42" i="5"/>
  <c r="P41" i="5"/>
  <c r="Q41" i="5" s="1"/>
  <c r="R41" i="5" s="1"/>
  <c r="P40" i="5"/>
  <c r="Q40" i="5" s="1"/>
  <c r="R40" i="5" s="1"/>
  <c r="Q39" i="5"/>
  <c r="R39" i="5" s="1"/>
  <c r="P39" i="5"/>
  <c r="R38" i="5"/>
  <c r="Q38" i="5"/>
  <c r="P38" i="5"/>
  <c r="Q37" i="5"/>
  <c r="R37" i="5" s="1"/>
  <c r="P37" i="5"/>
  <c r="P36" i="5"/>
  <c r="Q36" i="5" s="1"/>
  <c r="R36" i="5" s="1"/>
  <c r="P35" i="5"/>
  <c r="Q35" i="5" s="1"/>
  <c r="R35" i="5" s="1"/>
  <c r="Q34" i="5"/>
  <c r="R34" i="5" s="1"/>
  <c r="P34" i="5"/>
  <c r="P33" i="5"/>
  <c r="Q33" i="5" s="1"/>
  <c r="R33" i="5" s="1"/>
  <c r="P32" i="5"/>
  <c r="Q32" i="5" s="1"/>
  <c r="R32" i="5" s="1"/>
  <c r="Q31" i="5"/>
  <c r="R31" i="5" s="1"/>
  <c r="P31" i="5"/>
  <c r="R30" i="5"/>
  <c r="Q30" i="5"/>
  <c r="P30" i="5"/>
  <c r="Q29" i="5"/>
  <c r="R29" i="5" s="1"/>
  <c r="P29" i="5"/>
  <c r="P28" i="5"/>
  <c r="Q28" i="5" s="1"/>
  <c r="R28" i="5" s="1"/>
  <c r="P27" i="5"/>
  <c r="Q27" i="5" s="1"/>
  <c r="R27" i="5" s="1"/>
  <c r="Q26" i="5"/>
  <c r="R26" i="5" s="1"/>
  <c r="P26" i="5"/>
  <c r="P25" i="5"/>
  <c r="Q25" i="5" s="1"/>
  <c r="R25" i="5" s="1"/>
  <c r="P24" i="5"/>
  <c r="Q24" i="5" s="1"/>
  <c r="R24" i="5" s="1"/>
  <c r="Q23" i="5"/>
  <c r="R23" i="5" s="1"/>
  <c r="P23" i="5"/>
  <c r="R22" i="5"/>
  <c r="Q22" i="5"/>
  <c r="P22" i="5"/>
  <c r="Q21" i="5"/>
  <c r="R21" i="5" s="1"/>
  <c r="P21" i="5"/>
  <c r="P20" i="5"/>
  <c r="Q20" i="5" s="1"/>
  <c r="R20" i="5" s="1"/>
  <c r="P19" i="5"/>
  <c r="Q19" i="5" s="1"/>
  <c r="R19" i="5" s="1"/>
  <c r="Q18" i="5"/>
  <c r="R18" i="5" s="1"/>
  <c r="P18" i="5"/>
  <c r="P17" i="5"/>
  <c r="Q17" i="5" s="1"/>
  <c r="R17" i="5" s="1"/>
  <c r="P16" i="5"/>
  <c r="Q16" i="5" s="1"/>
  <c r="R16" i="5" s="1"/>
  <c r="P15" i="5"/>
  <c r="P14" i="5"/>
  <c r="Q13" i="5"/>
  <c r="R13" i="5" s="1"/>
  <c r="P13" i="5"/>
  <c r="P12" i="5"/>
  <c r="Q12" i="5" s="1"/>
  <c r="R12" i="5" s="1"/>
  <c r="P11" i="5"/>
  <c r="Q11" i="5" s="1"/>
  <c r="R11" i="5" s="1"/>
  <c r="Q10" i="5"/>
  <c r="R10" i="5" s="1"/>
  <c r="P10" i="5"/>
  <c r="P9" i="5"/>
  <c r="Q9" i="5" s="1"/>
  <c r="R9" i="5" s="1"/>
  <c r="P8" i="5"/>
  <c r="Q8" i="5" s="1"/>
  <c r="Q7" i="5"/>
  <c r="P7" i="5"/>
  <c r="R6" i="5"/>
  <c r="Q6" i="5"/>
  <c r="P6" i="5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H6" i="4"/>
  <c r="H36" i="4" s="1"/>
  <c r="G6" i="4"/>
  <c r="G36" i="4" s="1"/>
  <c r="F6" i="4"/>
  <c r="F36" i="4" s="1"/>
  <c r="E6" i="4"/>
  <c r="E36" i="4" s="1"/>
  <c r="D6" i="4"/>
  <c r="D36" i="4" s="1"/>
  <c r="C6" i="4"/>
  <c r="B6" i="4"/>
  <c r="B36" i="4" s="1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G23" i="3" s="1"/>
  <c r="F9" i="3"/>
  <c r="F23" i="3" s="1"/>
  <c r="E9" i="3"/>
  <c r="E23" i="3" s="1"/>
  <c r="D9" i="3"/>
  <c r="D23" i="3" s="1"/>
  <c r="C9" i="3"/>
  <c r="C23" i="3" s="1"/>
  <c r="B9" i="3"/>
  <c r="B23" i="3" s="1"/>
  <c r="H27" i="1"/>
  <c r="G27" i="1"/>
  <c r="F27" i="1"/>
  <c r="AC22" i="1" s="1"/>
  <c r="E27" i="1"/>
  <c r="I27" i="1" s="1"/>
  <c r="D27" i="1"/>
  <c r="C27" i="1"/>
  <c r="B27" i="1"/>
  <c r="H26" i="1"/>
  <c r="AE20" i="1" s="1"/>
  <c r="G26" i="1"/>
  <c r="F26" i="1"/>
  <c r="AC20" i="1" s="1"/>
  <c r="E26" i="1"/>
  <c r="D26" i="1"/>
  <c r="C26" i="1"/>
  <c r="B26" i="1"/>
  <c r="I26" i="1" s="1"/>
  <c r="AB25" i="1"/>
  <c r="H25" i="1"/>
  <c r="G25" i="1"/>
  <c r="F25" i="1"/>
  <c r="E25" i="1"/>
  <c r="I25" i="1" s="1"/>
  <c r="D25" i="1"/>
  <c r="C25" i="1"/>
  <c r="B25" i="1"/>
  <c r="AB24" i="1"/>
  <c r="H24" i="1"/>
  <c r="AE18" i="1" s="1"/>
  <c r="G24" i="1"/>
  <c r="F24" i="1"/>
  <c r="AC18" i="1" s="1"/>
  <c r="E24" i="1"/>
  <c r="D24" i="1"/>
  <c r="C24" i="1"/>
  <c r="B24" i="1"/>
  <c r="I24" i="1" s="1"/>
  <c r="AB23" i="1"/>
  <c r="H23" i="1"/>
  <c r="G23" i="1"/>
  <c r="F23" i="1"/>
  <c r="AC15" i="1" s="1"/>
  <c r="E23" i="1"/>
  <c r="I23" i="1" s="1"/>
  <c r="D23" i="1"/>
  <c r="C23" i="1"/>
  <c r="B23" i="1"/>
  <c r="AE22" i="1"/>
  <c r="AD22" i="1"/>
  <c r="AB22" i="1"/>
  <c r="H22" i="1"/>
  <c r="AE24" i="1" s="1"/>
  <c r="G22" i="1"/>
  <c r="AD24" i="1" s="1"/>
  <c r="F22" i="1"/>
  <c r="AC24" i="1" s="1"/>
  <c r="E22" i="1"/>
  <c r="D22" i="1"/>
  <c r="C22" i="1"/>
  <c r="B22" i="1"/>
  <c r="I22" i="1" s="1"/>
  <c r="AB21" i="1"/>
  <c r="H21" i="1"/>
  <c r="AE23" i="1" s="1"/>
  <c r="G21" i="1"/>
  <c r="AD23" i="1" s="1"/>
  <c r="F21" i="1"/>
  <c r="AC23" i="1" s="1"/>
  <c r="E21" i="1"/>
  <c r="I21" i="1" s="1"/>
  <c r="D21" i="1"/>
  <c r="C21" i="1"/>
  <c r="B21" i="1"/>
  <c r="AD20" i="1"/>
  <c r="AB20" i="1"/>
  <c r="H20" i="1"/>
  <c r="AE16" i="1" s="1"/>
  <c r="G20" i="1"/>
  <c r="AD16" i="1" s="1"/>
  <c r="F20" i="1"/>
  <c r="AC16" i="1" s="1"/>
  <c r="E20" i="1"/>
  <c r="D20" i="1"/>
  <c r="C20" i="1"/>
  <c r="B20" i="1"/>
  <c r="I20" i="1" s="1"/>
  <c r="AB19" i="1"/>
  <c r="H19" i="1"/>
  <c r="AE25" i="1" s="1"/>
  <c r="G19" i="1"/>
  <c r="AD25" i="1" s="1"/>
  <c r="F19" i="1"/>
  <c r="AC25" i="1" s="1"/>
  <c r="E19" i="1"/>
  <c r="I19" i="1" s="1"/>
  <c r="D19" i="1"/>
  <c r="C19" i="1"/>
  <c r="B19" i="1"/>
  <c r="AD18" i="1"/>
  <c r="AB18" i="1"/>
  <c r="H18" i="1"/>
  <c r="AE19" i="1" s="1"/>
  <c r="G18" i="1"/>
  <c r="AD19" i="1" s="1"/>
  <c r="F18" i="1"/>
  <c r="AC19" i="1" s="1"/>
  <c r="E18" i="1"/>
  <c r="D18" i="1"/>
  <c r="C18" i="1"/>
  <c r="B18" i="1"/>
  <c r="I18" i="1" s="1"/>
  <c r="AB17" i="1"/>
  <c r="H17" i="1"/>
  <c r="AE21" i="1" s="1"/>
  <c r="G17" i="1"/>
  <c r="AD21" i="1" s="1"/>
  <c r="F17" i="1"/>
  <c r="AC21" i="1" s="1"/>
  <c r="E17" i="1"/>
  <c r="I17" i="1" s="1"/>
  <c r="D17" i="1"/>
  <c r="C17" i="1"/>
  <c r="B17" i="1"/>
  <c r="AB16" i="1"/>
  <c r="H16" i="1"/>
  <c r="AE17" i="1" s="1"/>
  <c r="G16" i="1"/>
  <c r="AD17" i="1" s="1"/>
  <c r="F16" i="1"/>
  <c r="AC17" i="1" s="1"/>
  <c r="E16" i="1"/>
  <c r="D16" i="1"/>
  <c r="C16" i="1"/>
  <c r="B16" i="1"/>
  <c r="I16" i="1" s="1"/>
  <c r="AE15" i="1"/>
  <c r="AD15" i="1"/>
  <c r="AB15" i="1"/>
  <c r="H15" i="1"/>
  <c r="G15" i="1"/>
  <c r="AD13" i="1" s="1"/>
  <c r="F15" i="1"/>
  <c r="AC13" i="1" s="1"/>
  <c r="E15" i="1"/>
  <c r="I15" i="1" s="1"/>
  <c r="D15" i="1"/>
  <c r="D28" i="1" s="1"/>
  <c r="C15" i="1"/>
  <c r="B15" i="1"/>
  <c r="AE14" i="1"/>
  <c r="AD14" i="1"/>
  <c r="AC14" i="1"/>
  <c r="AB14" i="1"/>
  <c r="H14" i="1"/>
  <c r="AE26" i="1" s="1"/>
  <c r="G14" i="1"/>
  <c r="M6" i="1" s="1"/>
  <c r="F14" i="1"/>
  <c r="J6" i="1" s="1"/>
  <c r="E14" i="1"/>
  <c r="AB26" i="1" s="1"/>
  <c r="C14" i="1"/>
  <c r="C28" i="1" s="1"/>
  <c r="B14" i="1"/>
  <c r="I14" i="1" s="1"/>
  <c r="AE13" i="1"/>
  <c r="AB13" i="1"/>
  <c r="S9" i="1"/>
  <c r="P6" i="1"/>
  <c r="G6" i="1"/>
  <c r="D9" i="1" s="1"/>
  <c r="D6" i="1"/>
  <c r="R8" i="5" l="1"/>
  <c r="A113" i="1"/>
  <c r="A114" i="1"/>
  <c r="Q72" i="5"/>
  <c r="R72" i="5" s="1"/>
  <c r="Q15" i="5"/>
  <c r="R15" i="5" s="1"/>
  <c r="BA3" i="5"/>
  <c r="B72" i="1"/>
  <c r="M9" i="1"/>
  <c r="BA4" i="5"/>
  <c r="B74" i="1"/>
  <c r="B28" i="1"/>
  <c r="B73" i="1"/>
  <c r="BA2" i="5"/>
  <c r="R7" i="5"/>
  <c r="A6" i="1"/>
  <c r="G9" i="1" s="1"/>
  <c r="E28" i="1"/>
  <c r="I28" i="1" s="1"/>
  <c r="B75" i="1"/>
  <c r="F28" i="1"/>
  <c r="C36" i="4"/>
  <c r="BA5" i="5"/>
  <c r="Q14" i="5"/>
  <c r="R14" i="5" s="1"/>
  <c r="AC26" i="1"/>
  <c r="G28" i="1"/>
  <c r="AD26" i="1"/>
  <c r="H28" i="1"/>
  <c r="A115" i="1" l="1"/>
  <c r="P9" i="1"/>
  <c r="D115" i="1"/>
  <c r="D114" i="1"/>
  <c r="F113" i="1"/>
  <c r="H115" i="1"/>
  <c r="D113" i="1"/>
  <c r="I114" i="1"/>
  <c r="I113" i="1"/>
  <c r="H114" i="1"/>
  <c r="A9" i="1"/>
  <c r="B116" i="1"/>
  <c r="B115" i="1"/>
  <c r="B114" i="1"/>
  <c r="A116" i="1"/>
  <c r="F116" i="1"/>
  <c r="F115" i="1"/>
  <c r="B113" i="1"/>
  <c r="Q143" i="5"/>
  <c r="J9" i="1"/>
  <c r="F114" i="1"/>
  <c r="H113" i="1"/>
  <c r="I115" i="1"/>
  <c r="R143" i="5" l="1"/>
  <c r="Q145" i="5"/>
  <c r="D116" i="1"/>
  <c r="H116" i="1"/>
  <c r="H117" i="1" l="1"/>
  <c r="F117" i="1"/>
  <c r="I116" i="1"/>
  <c r="A117" i="1"/>
  <c r="R145" i="5"/>
  <c r="Q146" i="5"/>
  <c r="D117" i="1"/>
  <c r="B117" i="1"/>
  <c r="A118" i="1" l="1"/>
  <c r="R146" i="5"/>
  <c r="D118" i="1"/>
  <c r="H118" i="1"/>
  <c r="B118" i="1"/>
  <c r="F118" i="1"/>
  <c r="H119" i="1"/>
  <c r="Q147" i="5"/>
  <c r="I117" i="1"/>
  <c r="F119" i="1"/>
  <c r="D119" i="1"/>
  <c r="B119" i="1" l="1"/>
  <c r="R147" i="5"/>
  <c r="B120" i="1"/>
  <c r="Q148" i="5"/>
  <c r="R148" i="5" l="1"/>
  <c r="A120" i="1"/>
  <c r="Q270" i="5"/>
  <c r="R270" i="5" l="1"/>
  <c r="Q390" i="5"/>
  <c r="R390" i="5" l="1"/>
  <c r="Q808" i="5"/>
  <c r="R808" i="5" l="1"/>
  <c r="Q809" i="5"/>
  <c r="R809" i="5" l="1"/>
  <c r="Q810" i="5"/>
  <c r="R810" i="5" l="1"/>
  <c r="Q890" i="5"/>
  <c r="R890" i="5" l="1"/>
  <c r="Q1149" i="5"/>
  <c r="R1149" i="5" l="1"/>
  <c r="Q1400" i="5"/>
  <c r="R1400" i="5" l="1"/>
  <c r="Q1401" i="5"/>
  <c r="R1401" i="5" l="1"/>
  <c r="Q1402" i="5"/>
  <c r="R1402" i="5" l="1"/>
  <c r="Q1403" i="5"/>
  <c r="R1403" i="5" l="1"/>
  <c r="Q1404" i="5"/>
  <c r="R1404" i="5" l="1"/>
  <c r="Q1405" i="5"/>
  <c r="R1405" i="5" l="1"/>
  <c r="Q1410" i="5"/>
  <c r="R1410" i="5" l="1"/>
  <c r="Q1411" i="5"/>
  <c r="R1411" i="5" l="1"/>
  <c r="Q1413" i="5"/>
  <c r="R1413" i="5" l="1"/>
  <c r="Q1414" i="5"/>
  <c r="R1414" i="5" l="1"/>
  <c r="Q1415" i="5"/>
  <c r="R1415" i="5" l="1"/>
  <c r="H129" i="1"/>
  <c r="F120" i="1"/>
  <c r="D136" i="1"/>
  <c r="I140" i="1"/>
  <c r="I134" i="1"/>
  <c r="B136" i="1"/>
  <c r="D126" i="1"/>
  <c r="F138" i="1"/>
  <c r="B138" i="1"/>
  <c r="F137" i="1"/>
  <c r="D146" i="1"/>
  <c r="H125" i="1"/>
  <c r="A125" i="1"/>
  <c r="I124" i="1"/>
  <c r="H123" i="1"/>
  <c r="A137" i="1"/>
  <c r="I146" i="1"/>
  <c r="F144" i="1"/>
  <c r="I122" i="1"/>
  <c r="H121" i="1"/>
  <c r="F143" i="1"/>
  <c r="D135" i="1"/>
  <c r="H142" i="1"/>
  <c r="F130" i="1"/>
  <c r="D140" i="1"/>
  <c r="B122" i="1"/>
  <c r="A147" i="1"/>
  <c r="F131" i="1"/>
  <c r="A141" i="1"/>
  <c r="B147" i="1"/>
  <c r="I121" i="1"/>
  <c r="A126" i="1"/>
  <c r="H120" i="1"/>
  <c r="D139" i="1"/>
  <c r="D148" i="1"/>
  <c r="A130" i="1"/>
  <c r="H124" i="1"/>
  <c r="D141" i="1"/>
  <c r="B133" i="1"/>
  <c r="F121" i="1"/>
  <c r="A119" i="1"/>
  <c r="H134" i="1"/>
  <c r="A148" i="1"/>
  <c r="F145" i="1"/>
  <c r="B132" i="1"/>
  <c r="D133" i="1"/>
  <c r="A122" i="1"/>
  <c r="H139" i="1"/>
  <c r="B144" i="1"/>
  <c r="H127" i="1"/>
  <c r="A127" i="1"/>
  <c r="B131" i="1"/>
  <c r="A142" i="1"/>
  <c r="B142" i="1"/>
  <c r="A150" i="1"/>
  <c r="D138" i="1"/>
  <c r="I139" i="1"/>
  <c r="A133" i="1"/>
  <c r="A124" i="1"/>
  <c r="I127" i="1"/>
  <c r="I150" i="1"/>
  <c r="F128" i="1"/>
  <c r="A145" i="1"/>
  <c r="H135" i="1"/>
  <c r="B130" i="1"/>
  <c r="B127" i="1"/>
  <c r="A146" i="1"/>
  <c r="B143" i="1"/>
  <c r="D130" i="1"/>
  <c r="B129" i="1"/>
  <c r="A132" i="1"/>
  <c r="D121" i="1"/>
  <c r="H122" i="1"/>
  <c r="D137" i="1"/>
  <c r="B141" i="1"/>
  <c r="B124" i="1"/>
  <c r="F133" i="1"/>
  <c r="A144" i="1"/>
  <c r="D149" i="1"/>
  <c r="F146" i="1"/>
  <c r="I136" i="1"/>
  <c r="B121" i="1"/>
  <c r="I120" i="1"/>
  <c r="B149" i="1"/>
  <c r="D120" i="1"/>
  <c r="A136" i="1"/>
  <c r="F149" i="1"/>
  <c r="I132" i="1"/>
  <c r="F123" i="1"/>
  <c r="D123" i="1"/>
  <c r="H126" i="1"/>
  <c r="I142" i="1"/>
  <c r="I133" i="1"/>
  <c r="F132" i="1"/>
  <c r="A149" i="1"/>
  <c r="B145" i="1"/>
  <c r="I141" i="1"/>
  <c r="D131" i="1"/>
  <c r="D125" i="1"/>
  <c r="H149" i="1"/>
  <c r="I145" i="1"/>
  <c r="D132" i="1"/>
  <c r="I131" i="1"/>
  <c r="D127" i="1"/>
  <c r="H146" i="1"/>
  <c r="H138" i="1"/>
  <c r="I128" i="1"/>
  <c r="H133" i="1"/>
  <c r="A131" i="1"/>
  <c r="I130" i="1"/>
  <c r="B148" i="1"/>
  <c r="F129" i="1"/>
  <c r="A128" i="1"/>
  <c r="D129" i="1"/>
  <c r="A135" i="1"/>
  <c r="A129" i="1"/>
  <c r="D134" i="1"/>
  <c r="H144" i="1"/>
  <c r="F148" i="1"/>
  <c r="H140" i="1"/>
  <c r="F142" i="1"/>
  <c r="H150" i="1"/>
  <c r="F141" i="1"/>
  <c r="B123" i="1"/>
  <c r="F150" i="1"/>
  <c r="I125" i="1"/>
  <c r="H128" i="1"/>
  <c r="B146" i="1"/>
  <c r="D145" i="1"/>
  <c r="F147" i="1"/>
  <c r="I148" i="1"/>
  <c r="H137" i="1"/>
  <c r="H145" i="1"/>
  <c r="B150" i="1"/>
  <c r="H141" i="1"/>
  <c r="I149" i="1"/>
  <c r="I126" i="1"/>
  <c r="B137" i="1"/>
  <c r="B128" i="1"/>
  <c r="F140" i="1"/>
  <c r="H136" i="1"/>
  <c r="S6" i="1"/>
  <c r="A121" i="1"/>
  <c r="B126" i="1"/>
  <c r="F127" i="1"/>
  <c r="I144" i="1"/>
  <c r="F136" i="1"/>
  <c r="F125" i="1"/>
  <c r="H143" i="1"/>
  <c r="I135" i="1"/>
  <c r="B139" i="1"/>
  <c r="H132" i="1"/>
  <c r="A123" i="1"/>
  <c r="A140" i="1"/>
  <c r="F124" i="1"/>
  <c r="F134" i="1"/>
  <c r="A138" i="1"/>
  <c r="B140" i="1"/>
  <c r="D147" i="1"/>
  <c r="F139" i="1"/>
  <c r="H130" i="1"/>
  <c r="D128" i="1"/>
  <c r="I129" i="1"/>
  <c r="F126" i="1"/>
  <c r="D144" i="1"/>
  <c r="D150" i="1"/>
  <c r="D143" i="1"/>
  <c r="D124" i="1"/>
  <c r="D142" i="1"/>
  <c r="H131" i="1"/>
  <c r="A134" i="1"/>
  <c r="H148" i="1"/>
  <c r="B125" i="1"/>
  <c r="H147" i="1"/>
  <c r="I143" i="1"/>
  <c r="I147" i="1"/>
  <c r="B135" i="1"/>
  <c r="A143" i="1"/>
  <c r="F122" i="1"/>
  <c r="D122" i="1"/>
  <c r="F135" i="1"/>
  <c r="A139" i="1"/>
  <c r="I137" i="1"/>
  <c r="I138" i="1"/>
  <c r="B134" i="1"/>
  <c r="I123" i="1"/>
  <c r="A111" i="1" l="1"/>
  <c r="I118" i="1"/>
  <c r="I119" i="1"/>
</calcChain>
</file>

<file path=xl/sharedStrings.xml><?xml version="1.0" encoding="utf-8"?>
<sst xmlns="http://schemas.openxmlformats.org/spreadsheetml/2006/main" count="37428" uniqueCount="4802">
  <si>
    <t>ALYZIA   |   RÉCAPITULATIF</t>
  </si>
  <si>
    <t>COMPTE RENDU DE SUPERVISION  •  SEPTEMBRE 2026  •  TOUTES COMPAGNIES</t>
  </si>
  <si>
    <t>DOSSIERS</t>
  </si>
  <si>
    <t>BAGAGES ATTENDUS</t>
  </si>
  <si>
    <t>SAUVÉS</t>
  </si>
  <si>
    <t>CHARGÉS</t>
  </si>
  <si>
    <t>NON CHARGÉS</t>
  </si>
  <si>
    <t>ANNULÉS</t>
  </si>
  <si>
    <t>TAUX DE TRAITEMENT</t>
  </si>
  <si>
    <t>DOSSIERS TRAITÉS</t>
  </si>
  <si>
    <t>% SAUVÉS</t>
  </si>
  <si>
    <t>% CHARGÉS</t>
  </si>
  <si>
    <t>% NON CHARGÉS</t>
  </si>
  <si>
    <t>% ANNULÉS</t>
  </si>
  <si>
    <t>RÉPARTITION PAR COMPAGNIE</t>
  </si>
  <si>
    <t>COMPAGNIE</t>
  </si>
  <si>
    <t>CIE</t>
  </si>
  <si>
    <t>BAG. TRAITÉS</t>
  </si>
  <si>
    <t>ATTENDUS</t>
  </si>
  <si>
    <t>TAUX SAUVÉS</t>
  </si>
  <si>
    <t>AI</t>
  </si>
  <si>
    <t>SK</t>
  </si>
  <si>
    <t>AT</t>
  </si>
  <si>
    <t>AV</t>
  </si>
  <si>
    <t>EI</t>
  </si>
  <si>
    <t>DE</t>
  </si>
  <si>
    <t>LA</t>
  </si>
  <si>
    <t>HF</t>
  </si>
  <si>
    <t>FI</t>
  </si>
  <si>
    <t>SB</t>
  </si>
  <si>
    <t>JU</t>
  </si>
  <si>
    <t>MH</t>
  </si>
  <si>
    <t>RJ</t>
  </si>
  <si>
    <t>LO</t>
  </si>
  <si>
    <t>TOTAL</t>
  </si>
  <si>
    <t>STATUT</t>
  </si>
  <si>
    <t>Chargés</t>
  </si>
  <si>
    <t>Sauvés</t>
  </si>
  <si>
    <t>Non chargés</t>
  </si>
  <si>
    <t>Annulés</t>
  </si>
  <si>
    <t>ALYZIA   |   DOSSIERS</t>
  </si>
  <si>
    <t>FILTRES EXCEL ▼  •  Sélectionnez DATE, CIE, N° VOL, N° TAG ou STATUT dans les en-têtes. Toutes les journées sont regroupées ici.</t>
  </si>
  <si>
    <t>DATE</t>
  </si>
  <si>
    <t>N° VOL</t>
  </si>
  <si>
    <t>HEURE DÉPART</t>
  </si>
  <si>
    <t>N° TAG</t>
  </si>
  <si>
    <t>NOMBRE BAGAGES</t>
  </si>
  <si>
    <t>VOL APPORT</t>
  </si>
  <si>
    <t>HEURE ARRIVÉE</t>
  </si>
  <si>
    <t>LOCALISATION</t>
  </si>
  <si>
    <t>REMARQUES</t>
  </si>
  <si>
    <t>ANOMALIE</t>
  </si>
  <si>
    <t>COMMENTAIRE/ACTION</t>
  </si>
  <si>
    <t>FAULT STATION</t>
  </si>
  <si>
    <t>01/09/2026</t>
  </si>
  <si>
    <t>AI148</t>
  </si>
  <si>
    <t>12:45</t>
  </si>
  <si>
    <t>AC384224</t>
  </si>
  <si>
    <t>AC870</t>
  </si>
  <si>
    <t>10:08</t>
  </si>
  <si>
    <t>ONLY BSM</t>
  </si>
  <si>
    <t>AUCUNE INJ SUR CDG / CHECK DONE AVEC GEH IDEM BAGS NON LISTE SUR LEUR LOAD SHEET AC870/31AUG//AHL DELAI 26474</t>
  </si>
  <si>
    <t>NON CHARGÉ</t>
  </si>
  <si>
    <t>21 - Bag left at station origin / correctly labelled</t>
  </si>
  <si>
    <t>AC384225</t>
  </si>
  <si>
    <t>AI142</t>
  </si>
  <si>
    <t>20:45</t>
  </si>
  <si>
    <t>AF027425</t>
  </si>
  <si>
    <t>AF0009</t>
  </si>
  <si>
    <t>12:29</t>
  </si>
  <si>
    <t>TBM DEPOSE HF DEPUIS 14H01</t>
  </si>
  <si>
    <t>PAS DE MVT 18H55</t>
  </si>
  <si>
    <t>PRIS EN CHARGE PAR BAGRUNNER ET DEPOSE SUR LA JETEE DEPART A 19H01</t>
  </si>
  <si>
    <t>SAUVÉ</t>
  </si>
  <si>
    <t>LO394849</t>
  </si>
  <si>
    <t>LO335</t>
  </si>
  <si>
    <t>19:02</t>
  </si>
  <si>
    <t>T2C EJECTION C04 19H56</t>
  </si>
  <si>
    <t>HOT CNX</t>
  </si>
  <si>
    <t>APPEL SUP GALERIE T2 A 20H06 ET SIGNALE POUR LE RECUPERER</t>
  </si>
  <si>
    <t>LO394856</t>
  </si>
  <si>
    <t>T2C EJECTION C04 19H49</t>
  </si>
  <si>
    <t>AF065477</t>
  </si>
  <si>
    <t>AF1159</t>
  </si>
  <si>
    <t>18:57</t>
  </si>
  <si>
    <t>T2C INJECTION 19H54</t>
  </si>
  <si>
    <t>PAS DE MVT 20H06</t>
  </si>
  <si>
    <t>APPEL SUP GALERIE T2 A 20H06/DEMANDE DE VERIFIER EN REBUT DU C/BAG TROUVE EN REBUT C05</t>
  </si>
  <si>
    <t>AF065418</t>
  </si>
  <si>
    <t>AT639</t>
  </si>
  <si>
    <t>22:00</t>
  </si>
  <si>
    <t>AT844406</t>
  </si>
  <si>
    <t>LOCAL</t>
  </si>
  <si>
    <t>AUCUNE TRACE 21H20</t>
  </si>
  <si>
    <t>BSM CREATION 20H31</t>
  </si>
  <si>
    <t>APPEL LEADER AT A 21H20 CAR AUCUNE TRACE DU BAG/INJECTE SUITE A NOTRE APPEL/APPEL SUP GAL T2 A 21H30 ET SIGNALE QUE BAGS SUR TAPIS B01</t>
  </si>
  <si>
    <t>AT844408</t>
  </si>
  <si>
    <t>AT844125</t>
  </si>
  <si>
    <t>T2B CHECK IN BANQUE 25 20H06</t>
  </si>
  <si>
    <t>HBAG</t>
  </si>
  <si>
    <t>BSM CREATION 20H06</t>
  </si>
  <si>
    <t>APPEL LEADER AT A 21H20 CAR AUCUNE TRACE DU BAG/DIT QU'IL S'AGIT D'UN BAG CABINE SUREMENT PRIS A BORD PAR PAX</t>
  </si>
  <si>
    <t>CHARGÉ</t>
  </si>
  <si>
    <t>AV55</t>
  </si>
  <si>
    <t>08:55</t>
  </si>
  <si>
    <t>AF878238</t>
  </si>
  <si>
    <t>AF1043/31AUG</t>
  </si>
  <si>
    <t>21:51</t>
  </si>
  <si>
    <t>TME HF 22H33</t>
  </si>
  <si>
    <t>PAS DE MVT</t>
  </si>
  <si>
    <t>VU AVEC PILOTE AF 06H57/ APPEL GTB 07H00 PR VERIF INFRA/ TJS A CE NIVEAU VA ETRE DEPOSE AU TBM</t>
  </si>
  <si>
    <t>AF878043</t>
  </si>
  <si>
    <t>PAS DE LOC</t>
  </si>
  <si>
    <t>BIKE / VU AVEC PILOTE AF 06H57/ APPEL GTB 07H00 PR VERIF INFRA/ NEG / NEG QSE/ NEG A18/ NEG TBM/ NEG SBA//J+1 AHL PEIAV31185</t>
  </si>
  <si>
    <t>54 - Interline bags not made available by inbound carrier per local agreement</t>
  </si>
  <si>
    <t>DE4264</t>
  </si>
  <si>
    <t>11:10</t>
  </si>
  <si>
    <t>MK609826</t>
  </si>
  <si>
    <t>UNK</t>
  </si>
  <si>
    <t>2E VERS TBM</t>
  </si>
  <si>
    <t>COB ADP CTC PR PREVENIR/DMD INTERVENTION BAGRUNNER 09H56</t>
  </si>
  <si>
    <t>MK609825</t>
  </si>
  <si>
    <t>PAS DE  MVT</t>
  </si>
  <si>
    <t>COB ADP CTC PR PREVENIR/DMD INTERVENTION BAGRUNNER 09H57</t>
  </si>
  <si>
    <t>MK609827</t>
  </si>
  <si>
    <t>MK14</t>
  </si>
  <si>
    <t>08:20</t>
  </si>
  <si>
    <t>PAS DE LOC//1ER LOC 16H08 2F</t>
  </si>
  <si>
    <t>2F  RETARD TRAITEMENT</t>
  </si>
  <si>
    <t>NEG TOUS SYSTEMES//J+1 AHL SEADE14645</t>
  </si>
  <si>
    <t>53 - Interline MCT not available ( MCT initialement OK)</t>
  </si>
  <si>
    <t>DE4214</t>
  </si>
  <si>
    <t>16:45</t>
  </si>
  <si>
    <t>DE372126</t>
  </si>
  <si>
    <t>T3 EJECTION</t>
  </si>
  <si>
    <t>APPEL GALLERIE T3 16H02 / RETOUR CONFIRMANT QUE PLUS DE LOCAUX RESTANTS SUR JETEE DEPART</t>
  </si>
  <si>
    <t>EI527</t>
  </si>
  <si>
    <t>17:00</t>
  </si>
  <si>
    <t>EI129754</t>
  </si>
  <si>
    <t>RUSH</t>
  </si>
  <si>
    <t>AUCUNE TRACE</t>
  </si>
  <si>
    <t>BSM ONLY</t>
  </si>
  <si>
    <t>APPEL DIRBY T1 A 16H41 MAIS INJOIGNABLE</t>
  </si>
  <si>
    <t>EI129755</t>
  </si>
  <si>
    <t>EI129756</t>
  </si>
  <si>
    <t>EI129757</t>
  </si>
  <si>
    <t>FI543</t>
  </si>
  <si>
    <t>14:00</t>
  </si>
  <si>
    <t>LY872771</t>
  </si>
  <si>
    <t>LY221</t>
  </si>
  <si>
    <t>11:29</t>
  </si>
  <si>
    <t>2D HORS FORMAT</t>
  </si>
  <si>
    <t>APPEL TMB EN SLB 12H45 POUR DEMANDE A FAIRE DESCENDRE LE TRANSIT / RECU EN 2D HORS FORMAT H-15MN TOO LATE  FWD FI547/01SEP</t>
  </si>
  <si>
    <t>LY872382</t>
  </si>
  <si>
    <t>T2B EJECTION</t>
  </si>
  <si>
    <t>ENVOI BAG RUNNER CHECK DONE AU 2B MAIS PAS DE BAG VUE 12H45+13H00//AHL KEFFI16680</t>
  </si>
  <si>
    <t>AF040653</t>
  </si>
  <si>
    <t>AF7363</t>
  </si>
  <si>
    <t>T1 HORS DFORMAT</t>
  </si>
  <si>
    <t>REFUSE PAR COORDO</t>
  </si>
  <si>
    <t>BAG NON CHARGE PAS DE RAISON RECU MAIS REFUSE PAR COORDO / SIZING OU CONDITIONNEMENT//FWD FI547/01SEP</t>
  </si>
  <si>
    <t>63 - Airport security</t>
  </si>
  <si>
    <t>AF040488</t>
  </si>
  <si>
    <t>11:22</t>
  </si>
  <si>
    <t>TBM T1-T2</t>
  </si>
  <si>
    <t>RECU TARDIF</t>
  </si>
  <si>
    <t>PERTE DE TRACE APRES 2E TRI 11H47 / CHARGE EN NAVETTE TBM 14H08 POUR DEPOSE SAT 1 TOO LATE //FWD FI547/01SEP</t>
  </si>
  <si>
    <t>FI547</t>
  </si>
  <si>
    <t>17:15</t>
  </si>
  <si>
    <t>AF045927</t>
  </si>
  <si>
    <t>AF1179</t>
  </si>
  <si>
    <t>14:52</t>
  </si>
  <si>
    <t>T1 EJECTION SJ06 16H50</t>
  </si>
  <si>
    <t>APPEL GALERIE T1 A 18H00 ET SIGNALE</t>
  </si>
  <si>
    <t>G3268359</t>
  </si>
  <si>
    <t>AF0459</t>
  </si>
  <si>
    <t>11:42</t>
  </si>
  <si>
    <t>CARROUSEL ARRIVEE 32 A 12H18</t>
  </si>
  <si>
    <t>2E SLB T2E 18H50</t>
  </si>
  <si>
    <t>APPEL SALON AF 2E A 17H45/DMD SI BAG P/UP PAR PAX/NEG/RAPPEL AF 2E 18H57/DMD D'INJECTER LE BAG/APPEL GAL T1  20H32 ET SIGNALE EN WJ41 /RAPPEL 21H231</t>
  </si>
  <si>
    <t>JU241</t>
  </si>
  <si>
    <t>10:00</t>
  </si>
  <si>
    <t>AF894926</t>
  </si>
  <si>
    <t>AF4199</t>
  </si>
  <si>
    <t>TBM NAVETTE 09H59</t>
  </si>
  <si>
    <t>RETARD TRAITEMENT</t>
  </si>
  <si>
    <t>TROP TARD PR INTERVENIR //J+1 AHL BEGJU36836 FWD JU241/02SEP</t>
  </si>
  <si>
    <t>64 - Unserviceable  equipment / belt / sortation system</t>
  </si>
  <si>
    <t>JU243</t>
  </si>
  <si>
    <t>20:35</t>
  </si>
  <si>
    <t>AA180770</t>
  </si>
  <si>
    <t>AA0042</t>
  </si>
  <si>
    <t>06:46</t>
  </si>
  <si>
    <t>RUSH /2A HORS FORMAT 18H48</t>
  </si>
  <si>
    <t>DEPOSE AU MAUVAIS ENDROIT</t>
  </si>
  <si>
    <t>SEULE TRACE APPARUE AU 2A HORS FORMAT A 18H48/ENVOI BAGRUNNER POUR VERIFIER A 19H56/NEG AU HF ET CYNO 2A</t>
  </si>
  <si>
    <t>LA8133</t>
  </si>
  <si>
    <t>13:00</t>
  </si>
  <si>
    <t>LA327427</t>
  </si>
  <si>
    <t>POSSIBLE CABIN BAG / ENVOI BAG RUNNER POST DEPART 13H05 POUR VERIF T2C//J+1 PAS DE DOSSIER</t>
  </si>
  <si>
    <t>RJ118</t>
  </si>
  <si>
    <t>15:50</t>
  </si>
  <si>
    <t>SK144375</t>
  </si>
  <si>
    <t>SK837</t>
  </si>
  <si>
    <t>11:59</t>
  </si>
  <si>
    <t>TBM MC80</t>
  </si>
  <si>
    <t>CONFIRME PAR AGENT TBM + AGENT PISTE BAG CERTAINEMENT CHARGE SANS SCAN / //J+1  FWD RJ118/02SEP</t>
  </si>
  <si>
    <t>SK574</t>
  </si>
  <si>
    <t>10:30</t>
  </si>
  <si>
    <t>AF881381</t>
  </si>
  <si>
    <t>AF345</t>
  </si>
  <si>
    <t>07:42</t>
  </si>
  <si>
    <t>APPEL TBM80 10H01 POUR DEPOSER SOUS BORD</t>
  </si>
  <si>
    <t>AF012090</t>
  </si>
  <si>
    <t>NEG TOUS SYSTEMES  //J+1 AHL ARNSK28352</t>
  </si>
  <si>
    <t>SK566</t>
  </si>
  <si>
    <t>11:15</t>
  </si>
  <si>
    <t>AF880683</t>
  </si>
  <si>
    <t>DECHARGE NAVETTE 10H47</t>
  </si>
  <si>
    <t>APPEL TBM80 11H01 PR SAVOIR OU ONT ÉTÉ DEPOSE LES BAGS/ PAS DE REPONSE DE LA GALERIE/ COORDO CONFIRME NE RIEN AVOIR SS BORD//FWD SK560/SK1273/01SEP</t>
  </si>
  <si>
    <t>AF883560</t>
  </si>
  <si>
    <t>APPEL TBM80 11H01 PR SAVOIR OU ONT ÉTÉ DEPOSE LES BAGS/ PAS DE REPONSE DE LA GALERIE/ COORDO CONFIRME NE RIEN AVOIR SS BORD FWD SK560/01SEP</t>
  </si>
  <si>
    <t>AF883636</t>
  </si>
  <si>
    <t>AM294092</t>
  </si>
  <si>
    <t>AM44</t>
  </si>
  <si>
    <t>09:03</t>
  </si>
  <si>
    <t>AF894421</t>
  </si>
  <si>
    <t>EJECTION TBM80 10H24</t>
  </si>
  <si>
    <t>SK834</t>
  </si>
  <si>
    <t>12:20</t>
  </si>
  <si>
    <t>AF883973</t>
  </si>
  <si>
    <t>AF703</t>
  </si>
  <si>
    <t>TBM80 11H49</t>
  </si>
  <si>
    <t>APPEL TBM80 / PAS DE REPONSE/ GALERIE PAS DE REPONSE/ BAG RUNNER N A PAS TROUVE AU TBM</t>
  </si>
  <si>
    <t>LH739429</t>
  </si>
  <si>
    <t>AF099</t>
  </si>
  <si>
    <t>05:34</t>
  </si>
  <si>
    <t>REROUTED BAG</t>
  </si>
  <si>
    <t>AUCUNE INJ SUR CDG / IDEM DIRBY NEG PAS A LEUR NIVEAU J+1 PAS DE DOSSIER</t>
  </si>
  <si>
    <t>SK568</t>
  </si>
  <si>
    <t>AF893394</t>
  </si>
  <si>
    <t>AF0091</t>
  </si>
  <si>
    <t>10:35</t>
  </si>
  <si>
    <t>PAS D INJ SUR CDG / NEG REQUETEUR + BAG RADAR / POSSIBLE CABIN BAG //J+1 PAS DE DOSISIER SUREMENT PRIS EN PORTE</t>
  </si>
  <si>
    <t>DL893979</t>
  </si>
  <si>
    <t>RRTE</t>
  </si>
  <si>
    <t>X 2 BAGS PAS D INJECTION SUR CDG / NEG REQUETEUR + BAG RADAR / VOL D APPORT NON CONNU//+J1 PAS DE DOSSIER</t>
  </si>
  <si>
    <t>DL992699</t>
  </si>
  <si>
    <t>LA113911</t>
  </si>
  <si>
    <t>AF459</t>
  </si>
  <si>
    <t>REROUTED BAGS</t>
  </si>
  <si>
    <t>X 2 BAGS PAS DINJ SUR CDG / RIEN LOCALISE AU T2C //J+1 AHL CPHSK47497</t>
  </si>
  <si>
    <t>LA113912</t>
  </si>
  <si>
    <t>X2 BAGS PAS DINJ SUR CDG / IDEM RIEN RESTANT AU T2C//J+1 AHL CPHSK47497</t>
  </si>
  <si>
    <t>SK836</t>
  </si>
  <si>
    <t>20:30</t>
  </si>
  <si>
    <t>LA114861</t>
  </si>
  <si>
    <t>LA8132</t>
  </si>
  <si>
    <t>10:50</t>
  </si>
  <si>
    <t>T2C TRI SECURISATION 13H04</t>
  </si>
  <si>
    <t>PAS DE MVT 17H45</t>
  </si>
  <si>
    <t>APPEL AGENT LL TMB MNB 2A A 18H18/BAG EN A18/DEMANDE DE LE DEPOSER SUR LE VOL</t>
  </si>
  <si>
    <t>SK580</t>
  </si>
  <si>
    <t>20:10</t>
  </si>
  <si>
    <t>AF016127</t>
  </si>
  <si>
    <t>AF0531</t>
  </si>
  <si>
    <t>16:56</t>
  </si>
  <si>
    <t>JETEE 113 CYNO 17H55</t>
  </si>
  <si>
    <t>PAS DE MVT 18H58</t>
  </si>
  <si>
    <t>APPEL LA JETEE 113 A 18H58/DEMANDE DE LE DEPOSER AU TBM/PRIS EN CHARGE PAR BAGRUNNER 19H08 ET DEPOSE SUR LA JETEE DEPART A 19H19</t>
  </si>
  <si>
    <t>SK560</t>
  </si>
  <si>
    <t>20:15</t>
  </si>
  <si>
    <t>SK171324</t>
  </si>
  <si>
    <t>JETEE 2B 18H45</t>
  </si>
  <si>
    <t>REFUS/BAG INACTIF</t>
  </si>
  <si>
    <t>APPEL LEADER SK A  18H49 ET DEMANDE D'ACTIVER LE TAG</t>
  </si>
  <si>
    <t>AF064046</t>
  </si>
  <si>
    <t>AF7339</t>
  </si>
  <si>
    <t>16:55</t>
  </si>
  <si>
    <t>TBM MC80 18H36</t>
  </si>
  <si>
    <t>DECHARGE MAIS STILL TBM</t>
  </si>
  <si>
    <t>PRIS EN CHARGE PAR BAGRUNNER A 19H08 ET DEPOSE SUR LA JETEE DEPART A 19H12</t>
  </si>
  <si>
    <t>SK171276</t>
  </si>
  <si>
    <t>2B HORS FORMAT 18H26</t>
  </si>
  <si>
    <t>ENVOI BAGRUNNER A 19H20 POUR VERIFIER/SIGNALE A L'AGENT CHARGE DU DEPART</t>
  </si>
  <si>
    <t>SK173563</t>
  </si>
  <si>
    <t>2B HORS FORMAT 18H40</t>
  </si>
  <si>
    <t>XH965526</t>
  </si>
  <si>
    <t>T2B EJECTION B02 16H44</t>
  </si>
  <si>
    <t>ENVOI BAGRUNNER A 19H20 POUR VERIF/SIGNALE A L'AGENT GAL DEPART/RUSH TROUVE AU 2D HF 19H50/CHARGE ET DECHARGE PAR LA PISTE/RAISON INCONNUE</t>
  </si>
  <si>
    <t>SK174151</t>
  </si>
  <si>
    <t>T2B EJECTION B02 19H10</t>
  </si>
  <si>
    <t>BAG SIGNALE PAR BAGRUNNER A 19H18 A L'AGENT GAL DU VOL POUR LE RECUPERER</t>
  </si>
  <si>
    <t>APPEL LEADER AT A 21H20 CAR AUCUNE TRACE DU BAG/DIT QU'IL S'AGIT D'UN BAG CABINE SUREMENT PRIS A BORD PAR PAX/</t>
  </si>
  <si>
    <t>02/09/2026</t>
  </si>
  <si>
    <t>AC467770</t>
  </si>
  <si>
    <t>AC874</t>
  </si>
  <si>
    <t>07:19</t>
  </si>
  <si>
    <t>VERIF AVC AC/ PAS DE TRACE O/B/ SOIT PAS A CDG SOIT HORS FORMAT PAS SCANNE/J+1 MISCNX A YUL/ DELAI26499 FO AC895/AC42/02SEP</t>
  </si>
  <si>
    <t>56 - Online - own carrier - MCT not available</t>
  </si>
  <si>
    <t>AC476231</t>
  </si>
  <si>
    <t>10:25</t>
  </si>
  <si>
    <t>VERIF AVC AC/ PAS DE TRACE O/B/  HF 2A 12H48/ PROBABLE DECHARGE EN SLB/ RECUP ET DEPOSE LL/J+1 DELAI26504 FO AI142/02SEP</t>
  </si>
  <si>
    <t>41 - Delivered to wrong area</t>
  </si>
  <si>
    <t>AC479302</t>
  </si>
  <si>
    <t>VERIF AVC EH/ PAS DE TRACE DE  CHARGEMENT SUR AC /J+1 DELAI26506  AUCUNE LOCALISATION SUR CDG</t>
  </si>
  <si>
    <t>AC463822</t>
  </si>
  <si>
    <t>DECHARGE NAVETTE</t>
  </si>
  <si>
    <t>ERREUR DE TRAITEMENT</t>
  </si>
  <si>
    <t>PAS DE NAVETTE PR LE  2C/ ENVOI BAG RUNNER VERIF →TBM →A →C 12H11/ PLUS DE TRACE JUSQU A 17H53 BAG PRESENTE SUR LE VOL AI142 /J+1 DELAI26501 EN ATTENTE DE FWD</t>
  </si>
  <si>
    <t>AC492720</t>
  </si>
  <si>
    <t>AC872</t>
  </si>
  <si>
    <t>11:47</t>
  </si>
  <si>
    <t>NEG TOUS SYSTEMES/J+1 NON CHARGE A YYZ /DELAI26503 FO AC42/02SEP</t>
  </si>
  <si>
    <t>AC475332</t>
  </si>
  <si>
    <t>EJECTION 2C 12H42</t>
  </si>
  <si>
    <t>BAG BLOQUE A LA CYNO TBM</t>
  </si>
  <si>
    <t>RECUP BAG RUNNER ET DEPOSE LL/J+1 DELAI26498 FO AI142/02SEP</t>
  </si>
  <si>
    <t>AC487081</t>
  </si>
  <si>
    <t>EJECTION 2C 12H44</t>
  </si>
  <si>
    <t>ARRIVEE TARDIVE</t>
  </si>
  <si>
    <t>RECUP BAG RUNNER ET DEPOSE LL/J+1 DELAI26497 FO AI142/02SEP</t>
  </si>
  <si>
    <t>AC487082</t>
  </si>
  <si>
    <t>EJECTION 2C 12H39</t>
  </si>
  <si>
    <t>AC487559</t>
  </si>
  <si>
    <t>EJECTION 2C 12H40</t>
  </si>
  <si>
    <t>RECUP BAG RUNNER ET DEPOSE LL/J+1 DELAI26505 FO AI142/02SEP</t>
  </si>
  <si>
    <t>AC487565</t>
  </si>
  <si>
    <t>EJECTION 2C 12H46</t>
  </si>
  <si>
    <t>RECUP BAG RUNNER ET DEPOSE LL/J+1 DELAI26500 FO AI142/02SEP</t>
  </si>
  <si>
    <t>AC487566</t>
  </si>
  <si>
    <t>AC487579</t>
  </si>
  <si>
    <t>AC487587</t>
  </si>
  <si>
    <t>EJECTION 2C 12H37</t>
  </si>
  <si>
    <t>AC490067</t>
  </si>
  <si>
    <t>RECUP BAG RUNNER ET DEPOSE LL/J+1 DELAI26502 FO AI142/02SEP</t>
  </si>
  <si>
    <t>AC490068</t>
  </si>
  <si>
    <t>AC490074</t>
  </si>
  <si>
    <t>AC490075</t>
  </si>
  <si>
    <t>AC490271</t>
  </si>
  <si>
    <t>AC492717</t>
  </si>
  <si>
    <t>RECUP BAG RUNNER ET DEPOSE LL/J+1 DELAI26503 FO AI142/02SEP</t>
  </si>
  <si>
    <t>AC492721</t>
  </si>
  <si>
    <t>EJECTION 2C 12H45</t>
  </si>
  <si>
    <t>AC492839</t>
  </si>
  <si>
    <t>AC487547</t>
  </si>
  <si>
    <t>EJECTION 2C 12H38</t>
  </si>
  <si>
    <t>AC487548</t>
  </si>
  <si>
    <t>EJECTION 2C 12H43</t>
  </si>
  <si>
    <t>AC487549</t>
  </si>
  <si>
    <t>AC487557</t>
  </si>
  <si>
    <t>EJECTION 2C 12H4</t>
  </si>
  <si>
    <t>AC487558</t>
  </si>
  <si>
    <t>AC487564</t>
  </si>
  <si>
    <t>AC487577</t>
  </si>
  <si>
    <t>AC487578</t>
  </si>
  <si>
    <t>AC487586</t>
  </si>
  <si>
    <t>AC492718</t>
  </si>
  <si>
    <t>AF122976</t>
  </si>
  <si>
    <t>AF7465</t>
  </si>
  <si>
    <t>QSETRI 18H37</t>
  </si>
  <si>
    <t>PAS DE MVT 19H40</t>
  </si>
  <si>
    <t>APPEL QSE A 19H41/CONFIRME BAG  AU QSE/ENVOI BAGRUNNER 19H42/PRIS EN CHARGE PAR BAGRUNNER ET DEPOSE SUR LA JETEE DEPART A 19H58 MAIS SCANNE APRES MANUELLEMENT</t>
  </si>
  <si>
    <t>AI939542</t>
  </si>
  <si>
    <t>2C HORS FORMAT 19H45</t>
  </si>
  <si>
    <t>APPEL SUP GALERIE T2 A 20H02 ET SIGNALE POUR LE RECUPERER</t>
  </si>
  <si>
    <t>AI940268</t>
  </si>
  <si>
    <t>AUCUNE TRACE 19H45</t>
  </si>
  <si>
    <t>BSM 18H57</t>
  </si>
  <si>
    <t>APPEL SUP GAL T2 A 19H45 ET DEMANDE DE VERIFIER EN REBUT DU 2C/BAG TROUVE EN C05 SANS AUCUNE TRACE D'INJECTION</t>
  </si>
  <si>
    <t>AT789</t>
  </si>
  <si>
    <t>18:30</t>
  </si>
  <si>
    <t>AT868890</t>
  </si>
  <si>
    <t>T2B EJECTION B02 17H37</t>
  </si>
  <si>
    <t>HOT</t>
  </si>
  <si>
    <t>APPEL SUP GALERIE T2 A 17H37 ET SIGNALE</t>
  </si>
  <si>
    <t>AT868923</t>
  </si>
  <si>
    <t>AT868931</t>
  </si>
  <si>
    <t>T2B TRI SECURISATION 17H37</t>
  </si>
  <si>
    <t>AT866174</t>
  </si>
  <si>
    <t>T2B CHECK IN BANQUE 23 15H54</t>
  </si>
  <si>
    <t>SEULE TRACE EN BAGRADAR CHECK/NEG EN REQUETEUR/APPEL LEAD AT A 17H45/CONFIRME QU'IL S'AGIT D'UN BAGAGE  EN SOUTE /LIVRE S/BORD SANS AUCUNE TRACE/CONFIRME PAR AGENT FLUX</t>
  </si>
  <si>
    <t>AT869908</t>
  </si>
  <si>
    <t>T2B CHECK IN BANQUE 23 17H04</t>
  </si>
  <si>
    <t>AUCUNE TRACE DU BAGAGE DEPUIS LA ZONE CHECK IN/BAG EN SOUTE COMME CONFIRME PAR LEAD AT/LIVRE SOUS BORD DIRECTEMENT/CONFIRME PAR AGENT FLUX QUI EST ALLE VERIF A L'AVION</t>
  </si>
  <si>
    <t>LO397687</t>
  </si>
  <si>
    <t>LO333</t>
  </si>
  <si>
    <t>23:03</t>
  </si>
  <si>
    <t>T2BD TAPIS 6 - 23H38</t>
  </si>
  <si>
    <t>06H37 : APPELTMB 2B - BAG DÉJÀ REDESCENDU POUR ETRE REMIS DANS LE SYSTÈME - RECUP PAR BAGRUNNER 07H52 POUR DEPOSE AU T1</t>
  </si>
  <si>
    <t>AF060279</t>
  </si>
  <si>
    <t>AF1231</t>
  </si>
  <si>
    <t>17:50</t>
  </si>
  <si>
    <t>TMEXY</t>
  </si>
  <si>
    <t>06H44 : VU AVEC PILOTE TME ET BOB - BAG AU HF DU 2E / APPEL GTB AF POUR RECUP BAG ET ASSURER TRSF BAG</t>
  </si>
  <si>
    <t>ET318004</t>
  </si>
  <si>
    <t>4H0098</t>
  </si>
  <si>
    <t>22:52</t>
  </si>
  <si>
    <t>T1 ARRIVEE 2 - 22H50</t>
  </si>
  <si>
    <t>06H32 : APPEL DIRBY T1 - SANS REPONSE / 07H26 : 2EME APPEL SANS REPONSE/J+1 BOGAV24907 FO AV055/03SEP</t>
  </si>
  <si>
    <t>ET318005</t>
  </si>
  <si>
    <t>ET318006</t>
  </si>
  <si>
    <t>ET318007</t>
  </si>
  <si>
    <t>ET318010</t>
  </si>
  <si>
    <t>ET318001</t>
  </si>
  <si>
    <t>21:34</t>
  </si>
  <si>
    <t>PAS DE TRACE</t>
  </si>
  <si>
    <t>ET318002</t>
  </si>
  <si>
    <t>PAS DETRACE</t>
  </si>
  <si>
    <t>09:05</t>
  </si>
  <si>
    <t>TN105668</t>
  </si>
  <si>
    <t>TN008</t>
  </si>
  <si>
    <t>TBM CYNO</t>
  </si>
  <si>
    <t>10H26 : PRISE EN CHARGE PAR BAGRUNNER POUR DEPOSE T3</t>
  </si>
  <si>
    <t>TN105675</t>
  </si>
  <si>
    <t>EM92</t>
  </si>
  <si>
    <t>10H29 : PRISE EN CHARGE PAR BAGRUNNER POUR DEPOSE T3</t>
  </si>
  <si>
    <t>TN105676</t>
  </si>
  <si>
    <t>DE404300</t>
  </si>
  <si>
    <t>T3 HALL B CYNO 16H27</t>
  </si>
  <si>
    <t>APPEL GALERIE T3 A 16H38 ET SIGNALE/BAGAGE BLOQUE PAR ADP CAR "NON-CONFORME POUR LA SECURISATION"/ADP S'EST CHARGE DE LE DEPOSER AU LL T3</t>
  </si>
  <si>
    <t>WS429025</t>
  </si>
  <si>
    <t>WS0010</t>
  </si>
  <si>
    <t>11:28</t>
  </si>
  <si>
    <t>MJ92 TBM</t>
  </si>
  <si>
    <t>PRIS EN CHARGE PAR BAG RUNNER 16H02 / VOL ARRIVE SEULEMENT A 16H19 / SERA INJ AU T3 A PARTIR DE 16H30</t>
  </si>
  <si>
    <t>EI521</t>
  </si>
  <si>
    <t>10:20</t>
  </si>
  <si>
    <t>SQ658922</t>
  </si>
  <si>
    <t>NON NOTIFIE</t>
  </si>
  <si>
    <t>09H41 : NEG DS TOUS SYSTEMES/J+1  MISCNX A  SIN /RECU SUR LE SQ338/02SEP LOCALISE AN SLB 21H41 /DUBEI28745 FO EI523/03SEP</t>
  </si>
  <si>
    <t>EI523</t>
  </si>
  <si>
    <t>EI129848</t>
  </si>
  <si>
    <t>LOCAL/RUSH</t>
  </si>
  <si>
    <t>T1 HORS FORMAT</t>
  </si>
  <si>
    <t>10H37 : APPEL HORS FORMAT PUIS GALERIE T1 -  BAG SERA DEPOSE SS BORD DES QU IL SERA TROUVE - PEUT ETRE CHARGE SS SCAN/J+1 DOSSIER TOUJOUR OUVERT</t>
  </si>
  <si>
    <t>EI525</t>
  </si>
  <si>
    <t>13:15</t>
  </si>
  <si>
    <t>EI215344</t>
  </si>
  <si>
    <t>7KG PROBABLEMENT PRIS EN PORTE</t>
  </si>
  <si>
    <t>EI215655</t>
  </si>
  <si>
    <t>CYNO OK 13H22</t>
  </si>
  <si>
    <t>RETARD TRAITEMENT/J+1 DUBEI28761 EN ATTENTE DE FWD</t>
  </si>
  <si>
    <t>EI529</t>
  </si>
  <si>
    <t>21:55</t>
  </si>
  <si>
    <t>EI129974</t>
  </si>
  <si>
    <t>BAG SOUTE S/SCAN</t>
  </si>
  <si>
    <t>APPEL DIRBY T1 A 20H32 ET DEMANDE DE FAIRE LE NECESSAIRE/RUSH PAS EN GALERIE  DOIT VERIF AVEC SES COLLEGUES EN SLB</t>
  </si>
  <si>
    <t>FI549</t>
  </si>
  <si>
    <t>07:15</t>
  </si>
  <si>
    <t>FI620121</t>
  </si>
  <si>
    <t>T1 INJECTION</t>
  </si>
  <si>
    <t>06H01 : APPEL GALERIE T1 - PAS DE TRACE DU BAG - VU AVEC CHEF GALERIE QUI ÉTAIT A LA RECHERCHE DU BAG/J+1 KEFFI16709 FO FI547/02SEP</t>
  </si>
  <si>
    <t>LY009453</t>
  </si>
  <si>
    <t>LY323</t>
  </si>
  <si>
    <t>15:33</t>
  </si>
  <si>
    <t>T2BD ARRIVEE TAPIS  2 DEPUIS 16H04</t>
  </si>
  <si>
    <t>TRANSIT BAG LIVRE EN SLB</t>
  </si>
  <si>
    <t>APPEL LEADER TMB A 16H41 ET DEMANDE DE LE FAIRE DESCENDREAUSSITOT CAR HOT CNX/RAPPEL A 16H55 POUR LA MEME RAISON/BAGAGE TOUJOURS PAS DESCENDU APRES LE DEPART DU VOL</t>
  </si>
  <si>
    <t>AF132368</t>
  </si>
  <si>
    <t>AF1161</t>
  </si>
  <si>
    <t>15:12</t>
  </si>
  <si>
    <t>T1 EJECTION SJ06 16H32</t>
  </si>
  <si>
    <t>APPEL GALERIE T1 A 16H40 ET SIGNALE POUR LE RECUPERER</t>
  </si>
  <si>
    <t>LY010161</t>
  </si>
  <si>
    <t>MJ91 16H45</t>
  </si>
  <si>
    <t>APPEL NAVETTE T1/T2 A 16H45/DEMANDE DE NE PAS LE CHARGER/PRIS EN CHARGE PAR BAGRUNNER A 16H55 ET LIVRE SOUS BORD A 17H06</t>
  </si>
  <si>
    <t>AF132435</t>
  </si>
  <si>
    <t>T1 EJECTION SJ06 16H53</t>
  </si>
  <si>
    <t>APPEL GALERIE T1 A 16H55 ET SIGNALE POUR LE RECUPERER</t>
  </si>
  <si>
    <t>LY007108</t>
  </si>
  <si>
    <t>LY007109</t>
  </si>
  <si>
    <t>LY009478</t>
  </si>
  <si>
    <t>T1 EJECTION SJ06 16H54</t>
  </si>
  <si>
    <t>LY010136</t>
  </si>
  <si>
    <t>HF179</t>
  </si>
  <si>
    <t>11:55</t>
  </si>
  <si>
    <t>HF044562</t>
  </si>
  <si>
    <t>CHARGE/ DECHARGE</t>
  </si>
  <si>
    <t>REFUS CHARGEMENT/PAS DE DOSSIER OUVERT</t>
  </si>
  <si>
    <t>AF151684</t>
  </si>
  <si>
    <t>AF1817</t>
  </si>
  <si>
    <t>TBM MC80 20H01</t>
  </si>
  <si>
    <t>PRIS EN CHARGE PAR BAGRUNNER ET LIVRE SOUS BORD A 20H15</t>
  </si>
  <si>
    <t>AF151655</t>
  </si>
  <si>
    <t>TBM MC80 19H54</t>
  </si>
  <si>
    <t>AF114193</t>
  </si>
  <si>
    <t>AF1107</t>
  </si>
  <si>
    <t>08:15</t>
  </si>
  <si>
    <t>11H50 : RECHERCHE BOB - 5KGS - PAS EMBARQUE - AUCUNE TRACE DU BAG SUR CDG</t>
  </si>
  <si>
    <t>AF114200</t>
  </si>
  <si>
    <t>MH21</t>
  </si>
  <si>
    <t>11:20</t>
  </si>
  <si>
    <t>AF114420</t>
  </si>
  <si>
    <t>AF1415</t>
  </si>
  <si>
    <t>09:10</t>
  </si>
  <si>
    <t>TDS3</t>
  </si>
  <si>
    <t>10H42 : ENVOI BAGRUNNER TDS3 - BAG NON TROUVE - RECHERCHE TBM - NEG/J+1 LBUMH23963  FO MH21/04SEP/MH2608/05SEP</t>
  </si>
  <si>
    <t>AF114470</t>
  </si>
  <si>
    <t>AF105634</t>
  </si>
  <si>
    <t>AF1089</t>
  </si>
  <si>
    <t>T2B NAVETTE</t>
  </si>
  <si>
    <t>10H14 : ENVOI BAGRUNNER JETEE 2B - BAG NON TROUVE/J+1 SFTSK32247 FO SK568/SK1408/03SEP/SK1016/04SEP</t>
  </si>
  <si>
    <t>AF112990</t>
  </si>
  <si>
    <t>AF7423</t>
  </si>
  <si>
    <t>08:33</t>
  </si>
  <si>
    <t>10H14 : ENVOI BAGRUNNER JETEE 2B - BAG NON TROUVE /J+1 LLASK37303 FO SK574/SK10/04SEP</t>
  </si>
  <si>
    <t>LY001918</t>
  </si>
  <si>
    <t>LY319</t>
  </si>
  <si>
    <t>09:43</t>
  </si>
  <si>
    <t>10H52 : AUCUNE TRACE - 11H29 ARV TARDIVE AU TBM/J+1 JFKSK10918 FO SK564/SK915/04SEP</t>
  </si>
  <si>
    <t>AF112768</t>
  </si>
  <si>
    <t>AF1777</t>
  </si>
  <si>
    <t>10:36</t>
  </si>
  <si>
    <t>2E SECURISATION 12H02</t>
  </si>
  <si>
    <t>IMPOSSIBLE D INTERVENIR AVANT DEPART DU VOL/J+1 BOOSK52022 FO SK830/SK4016/04SEP</t>
  </si>
  <si>
    <t>CX111460</t>
  </si>
  <si>
    <t>NO LOC</t>
  </si>
  <si>
    <t>REROUTED PAX</t>
  </si>
  <si>
    <t>PAS D INJ SUR CDG / NEG REQUETEUR+BAG RADAR/J+1 CPHSK47528 FO SK568/03SEP</t>
  </si>
  <si>
    <t>66-  responsibility airport services</t>
  </si>
  <si>
    <t>CX111510</t>
  </si>
  <si>
    <t>CHECK DONE BY BAG RUNNER MJ91+92 ET MC80 PAS DE BAG EN VUE 12H35+13H15/J+1 CPHSK47528 FO SK568/03SEP</t>
  </si>
  <si>
    <t>AF087400</t>
  </si>
  <si>
    <t>12:06</t>
  </si>
  <si>
    <t>CONFIRME PAR AGENT NAVETTE PAS DÉJÀ PRIS EN CHARGE ET DEPOSE SOUS BORD /J+1 CPHSK47531 FO SK568/03SEP</t>
  </si>
  <si>
    <t>AF124010</t>
  </si>
  <si>
    <t>AF1149</t>
  </si>
  <si>
    <t>11:57</t>
  </si>
  <si>
    <t>TME204</t>
  </si>
  <si>
    <t>APPEL JETEE 113 13H15 POUR RECUP PAR BAG RUNNER / BAG DÉJÀ PRIS EN CHARGE POUR TBM/ DERNIERE TRACE MJ80 17H00/J+1 CPHSK47529 EN ATTENTE DE RUSH</t>
  </si>
  <si>
    <t>03/09/2026</t>
  </si>
  <si>
    <t>AC552692</t>
  </si>
  <si>
    <t>06:51</t>
  </si>
  <si>
    <t>VU AVEC AC 11H15/BAG PAS CHARGE AU DEPART DU VOL D APPORT AC874/J+1  DELAI26528 FO AC874/03SEP/AI148/04SEP</t>
  </si>
  <si>
    <t>AC552693</t>
  </si>
  <si>
    <t>VU AVEC AC 11H15/BAG PAS CHARGE AU DEPART DU VOL D APPORT AC874/J+1 DELAI26528 FO AC895/AC42/04SEP</t>
  </si>
  <si>
    <t>AC552694</t>
  </si>
  <si>
    <t>VU AVEC AC 11H15/BAG PAS CHARGE AU DEPART DU VOL D APPORT AC874/J+1 DELAI26528 FO AC874/03SEP/AI148/04SEP</t>
  </si>
  <si>
    <t>AC552722</t>
  </si>
  <si>
    <t>VU AVEC AC 11H15/BAG PAS CHARGE AU DEPART DU VOL D APPORT AC874/J+1 DELAI26528  FO AI148/04SEP</t>
  </si>
  <si>
    <t>AC552723</t>
  </si>
  <si>
    <t>AC552724</t>
  </si>
  <si>
    <t>AC586171</t>
  </si>
  <si>
    <t>12:39</t>
  </si>
  <si>
    <t>T2C EJECTION C03 13H14</t>
  </si>
  <si>
    <t>RRTE DU AI148/APPEL LEADER TMB A 19H00/NEG AU LL TMB A18/APPEL GALERIE 2C A 19H20 ET DEMANDE DE VERIF EN REBUT C05/BAG TROUVE EN REBUT</t>
  </si>
  <si>
    <t>AC586230</t>
  </si>
  <si>
    <t>T2C INJECTION  13H20</t>
  </si>
  <si>
    <t>RRTE DU AI148/APPEL LEADER TMB A 19H00/NEG AU LL TMB A18/TROUVE PAR BAGRUNNER EN REBUT C05 A 19H28 ET DEPOSE SUR LA JETEE DEPART A 19H31</t>
  </si>
  <si>
    <t>AI547073</t>
  </si>
  <si>
    <t>BSM CREATION 17H25</t>
  </si>
  <si>
    <t>BAG TROUVE PAR BAGRUNNER EN REBUT C05 A 19H28 ET DEPOSE SUR LA JETEE DEPART A 19H31</t>
  </si>
  <si>
    <t>AI546655</t>
  </si>
  <si>
    <t>JETEE 2C 17H26</t>
  </si>
  <si>
    <t>REFUS/BAG NON-COHERENT</t>
  </si>
  <si>
    <t>APPEL SUP GALERIE T2 A 20H40 QUI CONFIRME LE CHARGEMENT  AKE MAIS PROBLEME DE SCAN  (MAUVAIS RESEAU)</t>
  </si>
  <si>
    <t>AI546698</t>
  </si>
  <si>
    <t>AI545154</t>
  </si>
  <si>
    <t>BSM CREATION 16H48</t>
  </si>
  <si>
    <t>LY039216</t>
  </si>
  <si>
    <t>LY0323</t>
  </si>
  <si>
    <t>13:43</t>
  </si>
  <si>
    <t>TBM CYNO 16H48</t>
  </si>
  <si>
    <t>PRIS EN CHARGE PAR BAGRUNNER A 17H11 ET DEPOSE SUR LA JETEE DEPART A 17H20/APPEL SUP GAL T2 A 18H06 ET SIGNALE CAR TOUJOURS PAS CHARGE</t>
  </si>
  <si>
    <t>AT895785</t>
  </si>
  <si>
    <t>T2B EJECTION B02 17H16</t>
  </si>
  <si>
    <t>PA DE MVT 18H06</t>
  </si>
  <si>
    <t>APPEL SUP GALERIE T2 A 18H06 ET SIGNALE/VA VOIR AVEC SON CHEF D'EQUIPE 2C</t>
  </si>
  <si>
    <t>AT892131</t>
  </si>
  <si>
    <t>JETEE 2B DEPUIS 17H10</t>
  </si>
  <si>
    <t>CHARGE/DECHARGE</t>
  </si>
  <si>
    <t>AT896058</t>
  </si>
  <si>
    <t>T2B EJECTION B02 17H29</t>
  </si>
  <si>
    <t>PAS DE MVT 18H06</t>
  </si>
  <si>
    <t>AT896204</t>
  </si>
  <si>
    <t>T2B EJECTION B02 17H40</t>
  </si>
  <si>
    <t>AT896208</t>
  </si>
  <si>
    <t>AT897236</t>
  </si>
  <si>
    <t>BSM CREATION 18H14</t>
  </si>
  <si>
    <t>APPEL LEADER AT A 18H20/DEMANDE D'APPELER LE SUP POUR AVOIR LE CTC DU LEAD GATE/PAX INAD AVEC LA POLICE/SERA ACCOMPAGNE A BORD AVEC LE BAG</t>
  </si>
  <si>
    <t>AT893720</t>
  </si>
  <si>
    <t>WCH</t>
  </si>
  <si>
    <t>BSM CREATION 15H50</t>
  </si>
  <si>
    <t>APPEL LEADER AT A 18H20/DEMANDE D'APPELER LE SUP POUR AVOIR LE CTC DU LEAD GATE/WCH AVEC PAX</t>
  </si>
  <si>
    <t>AT174289</t>
  </si>
  <si>
    <t>BSM CREATION 18H27</t>
  </si>
  <si>
    <t>APPEL LEADER AT A 18H20/DEMANDE D'APPELER LE SUP POUR AVOIR LE CTC DU LEAD GATE/RAPPEL A 19H11 MAIS INJOIGNABLE/J+1 PAS DE DOSSIER OUVERT</t>
  </si>
  <si>
    <t>AA040834</t>
  </si>
  <si>
    <t>AA754</t>
  </si>
  <si>
    <t>13:46</t>
  </si>
  <si>
    <t>BSM CONFIRMEE 21H13</t>
  </si>
  <si>
    <t>RRTE DU AT779/APPEL LEADER TMB A 21H22 POUR VERIFIER MAIS  PAS D AGENT DISPONIBLE  EN GALERIE /NEG EN REQUETEUR ET BAGRADAR/NO FWD/J+1 RAKAT20088 EN ATTENTE DE FWD</t>
  </si>
  <si>
    <t>LO418606</t>
  </si>
  <si>
    <t>23:06/02SEP</t>
  </si>
  <si>
    <t>ARRIVEE 2D</t>
  </si>
  <si>
    <t>06H15 APPEL TMB POUR INJECTION BAG AU MONTE CHARGE DU D / RECUP PAR  BAGRUNNER 06H32 ET DEPOSE CORRES</t>
  </si>
  <si>
    <t>AV408205</t>
  </si>
  <si>
    <t>WJ43</t>
  </si>
  <si>
    <t>PAS DE SCAN</t>
  </si>
  <si>
    <t>APPEL GALERIE T1 POUR CHECK / PEUT ETRE CHARGE SANS SCAN</t>
  </si>
  <si>
    <t>AV408854</t>
  </si>
  <si>
    <t>BAG 10 KG POTENTIEL BAG A MAIN /J+1 PA SDE DOSSIER OUVERT</t>
  </si>
  <si>
    <t>WS431100</t>
  </si>
  <si>
    <t>WS10</t>
  </si>
  <si>
    <t>12:07</t>
  </si>
  <si>
    <t>EM92 / 12H55</t>
  </si>
  <si>
    <t>RECUPERE PAR BAG RUNNER 13H14 ET LIVRE S/VOL</t>
  </si>
  <si>
    <t>WS431101</t>
  </si>
  <si>
    <t>WS431102</t>
  </si>
  <si>
    <t>WS431103</t>
  </si>
  <si>
    <t>WS431104</t>
  </si>
  <si>
    <t>WS431105</t>
  </si>
  <si>
    <t>WS431106</t>
  </si>
  <si>
    <t>WS431109</t>
  </si>
  <si>
    <t>WS431110</t>
  </si>
  <si>
    <t>DE021932</t>
  </si>
  <si>
    <t>BSM 14H42</t>
  </si>
  <si>
    <t>APPEL DIRBY T3 A PLUSIEURS REPRISES AVANT D4AVOIR ENFIN QUELQU'UN A 16H30/ASSURE QUE SON BAGO L'A ENVOYE SUR LE VOL MAIS AUCUNE TRACE</t>
  </si>
  <si>
    <t>EI909</t>
  </si>
  <si>
    <t>EI217604</t>
  </si>
  <si>
    <t>JETEE T1 09H06</t>
  </si>
  <si>
    <t>CLASSE NON CORRECTE</t>
  </si>
  <si>
    <t>BAG CHARGE EN CONTENANT AKH67388EI/ J+1 SNNEI76763 EN ATTENTE DE FWD</t>
  </si>
  <si>
    <t>18 - Bag not authorized to load</t>
  </si>
  <si>
    <t>EI217607</t>
  </si>
  <si>
    <t>T1 ARRIVEE 2 10H45</t>
  </si>
  <si>
    <t>BAG DECHARGE DE CONTENANT AKH67388EI ET DEPOSE T1 ARRIVEE/ J+1 SNNEI76763  EN ATTENTE DE FWD</t>
  </si>
  <si>
    <t>MH871123</t>
  </si>
  <si>
    <t>MH021</t>
  </si>
  <si>
    <t>06:21</t>
  </si>
  <si>
    <t>DECHARGE DE NAVETTE 08H22 SAT 1 /  BAG ENVOYE SOUS BORD MAIS REFUSE /ENOIYE JETEE T1 10H44/RETOUR LL ET DEPOSE T1 ARRIVEE 10H44/ J+1  SNNEI76762  EN ATTENTE DE FWD</t>
  </si>
  <si>
    <t>EI218542</t>
  </si>
  <si>
    <t>T1 EJECTION 10H34</t>
  </si>
  <si>
    <t>EJECTION TARDIVE/ J+1  DUBEI28845  EN ATTENTE DE FWD</t>
  </si>
  <si>
    <t>EI218708</t>
  </si>
  <si>
    <t>JETEE T1 11H41</t>
  </si>
  <si>
    <t>EJECTION TARDIVE</t>
  </si>
  <si>
    <t>EJECTION TARDIVE BAG SCANNE SUR LE MAUVAIS VOL  /J+1 DUBEI28845  EN ATTENTE DE FWD</t>
  </si>
  <si>
    <t>UA238710</t>
  </si>
  <si>
    <t>UA915</t>
  </si>
  <si>
    <t>07:49</t>
  </si>
  <si>
    <t>SAT 1 /08H09</t>
  </si>
  <si>
    <t>EJETION JETEE T1 A 10H44/DEPOSE T1 ARRIVEE LL/ J+1 DUBEI28848</t>
  </si>
  <si>
    <t>UA189600</t>
  </si>
  <si>
    <t>JETEE T1 10H43</t>
  </si>
  <si>
    <t>UA032310</t>
  </si>
  <si>
    <t>MH870031</t>
  </si>
  <si>
    <t>JETEE T1 10GH44</t>
  </si>
  <si>
    <t>EJETION JETEE T1 A 10H44/DEPOSE T1 ARRIVEE LL/ J+1 DUBEI28855</t>
  </si>
  <si>
    <t>MH869996</t>
  </si>
  <si>
    <t>JETEE T1 10H44</t>
  </si>
  <si>
    <t>MH869978</t>
  </si>
  <si>
    <t>MH869966</t>
  </si>
  <si>
    <t>MH872323</t>
  </si>
  <si>
    <t>EI218711</t>
  </si>
  <si>
    <t>JETEE T1 11H42</t>
  </si>
  <si>
    <t>BAG SCANNE SUR UN AUTRE VOL EI525/ J+1 DUBEI28841</t>
  </si>
  <si>
    <t>AF155186</t>
  </si>
  <si>
    <t>AF453</t>
  </si>
  <si>
    <t>07:05</t>
  </si>
  <si>
    <t>JETEE T1 11H55</t>
  </si>
  <si>
    <t>BAG SCANNE SUR UN AUTRE VOL EI525/ J+1  DUBEI28857</t>
  </si>
  <si>
    <t>AC574766</t>
  </si>
  <si>
    <t>VU EN REQUETEUR/PAS DE TRACE A CDG/  MICNX  IAD J+1 DUBEI28847 FO UA915/02SEP/EI521/03SEP NON RECU</t>
  </si>
  <si>
    <t>MH872673</t>
  </si>
  <si>
    <t>VU EN REQUETEUR/PAS DE TRACE A CDG/ J+1  DUBEI28842</t>
  </si>
  <si>
    <t>UA015580</t>
  </si>
  <si>
    <t>VU EN REQUETEUR/PAS DE TRACE A CDG/ J+1 PAS DE DOSSIER OUVERT AVEC CE TAG</t>
  </si>
  <si>
    <t>UA879071</t>
  </si>
  <si>
    <t>VU EN REQUETEUR/PAS DE TRACE A CDG MISCNX AT IAD / J+1 DUBEI28843 FO UA310/05SEP</t>
  </si>
  <si>
    <t>EI218815</t>
  </si>
  <si>
    <t>STRL</t>
  </si>
  <si>
    <t>STROLLER</t>
  </si>
  <si>
    <t>16:30</t>
  </si>
  <si>
    <t>EI219420</t>
  </si>
  <si>
    <t>WCHR/APPEL LEAD EI A 16H30/APPELE LE COORDO A SON TOUR/ASSURE QUE LA CHAISE A ÉTÉ CHARGEE MAIS PAS SCANNE/SCANNE MANUELLEMENT  APRES LE DEP</t>
  </si>
  <si>
    <t>EI130152</t>
  </si>
  <si>
    <t>BSM ONLY 16H27</t>
  </si>
  <si>
    <t>APPEL DIRBY T1 A 21H07/DIT QUE LE RUSH A BIEN ÉTÉ ENVOYE MALGRE LE MANQUE DE TRACE/APPEL SUP GALERIE T1 /RUSH EN GAL MAIS PAS SCANNE</t>
  </si>
  <si>
    <t>EI130151</t>
  </si>
  <si>
    <t>T1 CYNO MJ90 21H09</t>
  </si>
  <si>
    <t>APPEL GALERIE T1 A 21H12 ET SIGNALE POUR LE RECUPERER</t>
  </si>
  <si>
    <t>AF200915</t>
  </si>
  <si>
    <t>AF7461</t>
  </si>
  <si>
    <t>11:16</t>
  </si>
  <si>
    <t>TDS JETEE 342/ 12H30</t>
  </si>
  <si>
    <t>PAS DE MVMT</t>
  </si>
  <si>
    <t>APPEL TDS 3 12H45/ENVOI BAG RUNNER 12H55/RECUPERE ET LIVRE S/BORD</t>
  </si>
  <si>
    <t>FI635585</t>
  </si>
  <si>
    <t>T1 EJECTION 11H50</t>
  </si>
  <si>
    <t>APPEL GALERIE T1 POUR VERIF/PAS DE TRACE/POSS PAS SCANNE/J+1 PAS DE DOSSIER OUVERT</t>
  </si>
  <si>
    <t>AF186373</t>
  </si>
  <si>
    <t>AF431</t>
  </si>
  <si>
    <t>15:06</t>
  </si>
  <si>
    <t>MJ92 16H35</t>
  </si>
  <si>
    <t>ENVOI BAG RUNNER 16H10 /PRIS EN CHARGE PAR BAGRUNNER A 16H36 ET LIVRE SOUS BORD A 16H45</t>
  </si>
  <si>
    <t>AF173547</t>
  </si>
  <si>
    <t>08:25</t>
  </si>
  <si>
    <t>M80</t>
  </si>
  <si>
    <t>ENVOIE BAGRUNNER POUR RECUP / BAG NON TROUVE/J+1 BEGJU36909  FO JU241/04SEP</t>
  </si>
  <si>
    <t>AF192303</t>
  </si>
  <si>
    <t>AF7509</t>
  </si>
  <si>
    <t>07:12</t>
  </si>
  <si>
    <t>M80 09H48</t>
  </si>
  <si>
    <t>PRIS EN CHARGE PAR BAGRUNNER ET DEPOSE SOUS BORD  09H53</t>
  </si>
  <si>
    <t>JU213545</t>
  </si>
  <si>
    <t>AF7481</t>
  </si>
  <si>
    <t>13:35</t>
  </si>
  <si>
    <t>AUCUNE TRACE AVEC JU</t>
  </si>
  <si>
    <t>TN MAL RENTRE/JU ISO AF</t>
  </si>
  <si>
    <t>BSM CREE TARD/TN RENTRE EN JU ISO AF/VU EN BOB A 20H45/BAG ENVOYE PAR QSE A LA HALLE A 20H53/LEADER JU INJOIGNABLE POUR VERIF AVANT LE DEPART/J+1 BEG JU36924 FWD ATTENTE DE FWD</t>
  </si>
  <si>
    <t>11 - Incorrect or no entries on tag</t>
  </si>
  <si>
    <t>JU213752</t>
  </si>
  <si>
    <t>KL506246</t>
  </si>
  <si>
    <t>KL1405</t>
  </si>
  <si>
    <t>09:24</t>
  </si>
  <si>
    <t>TBM 11H00</t>
  </si>
  <si>
    <t>ENVOI BAG RUNNER AU TBM 10H50/RECUPERE ET LIVRE S/BORD /TROP TARD POUR CHARGEMENT/RETOUR LL/J+1 MYYMH42999 FO MH21/04SEP CTC TMB POUR FREFAIRE LE RUSH JUSQU A MYY</t>
  </si>
  <si>
    <t>27 - Local passenger rerouted / Bag not rerouted</t>
  </si>
  <si>
    <t>KL506246508110</t>
  </si>
  <si>
    <t>ENVOI BAG RUNNER AU TBM 10H50/RECUPERE ET LIVRE S/BORD /TROP TARD POUR CHARGEMENT/RETOUR LL/J+1 KULMH95598 FO MH21/04SEP</t>
  </si>
  <si>
    <t>KL506192</t>
  </si>
  <si>
    <t>ENVOI BAG RUNNER AU TBM 10H50/RECUPERE ET LIVRE S/BORD /TROP TARD POUR CHARGEMENT/RETOUR LL/J+1 MYYMH43000 FO MH21/04SEP CTC TMB POUR FREFAIRE LE RUSH JUSQU A MYY</t>
  </si>
  <si>
    <t>SK564</t>
  </si>
  <si>
    <t>09:50</t>
  </si>
  <si>
    <t>AV382672</t>
  </si>
  <si>
    <t>AV54</t>
  </si>
  <si>
    <t>M80 09H42</t>
  </si>
  <si>
    <t>ARRIVEE TARDIVE DU VOL D/APPORT / M80 09H42 TROP TARD POUR CHARGEMENT/J+1 CPHSK47576</t>
  </si>
  <si>
    <t>AF178406</t>
  </si>
  <si>
    <t>AF075</t>
  </si>
  <si>
    <t>07:47</t>
  </si>
  <si>
    <t>PISTE</t>
  </si>
  <si>
    <t>CHARGE PUIS BAG EN REFUS /J+1 CPHSK47580 FO SK560/03SEP</t>
  </si>
  <si>
    <t>12:30</t>
  </si>
  <si>
    <t>AF195481</t>
  </si>
  <si>
    <t>AF1055</t>
  </si>
  <si>
    <t>10:07</t>
  </si>
  <si>
    <t>TBM EJECTION 12H32</t>
  </si>
  <si>
    <t>ARRVEE TARDIVE AU TBM 12H32/J+1 OSLSK60838  FO SK830/04SEP</t>
  </si>
  <si>
    <t>SK232276</t>
  </si>
  <si>
    <t>ENVOI BAG RUNNER  11H55 POUR VERIF AU 2B /AUCUNE TRACE/J+1 OSLSK60833  FOSK830/04SEP</t>
  </si>
  <si>
    <t>AF204870</t>
  </si>
  <si>
    <t>TDS3 KETEE 342/12H35</t>
  </si>
  <si>
    <t>LA123175</t>
  </si>
  <si>
    <t>AF465</t>
  </si>
  <si>
    <t>TMB LL</t>
  </si>
  <si>
    <t>RRTE SK564</t>
  </si>
  <si>
    <t>PAX RRTE / APPEL LL TMB 11H00 POUR REETIQUETAGE/J+1  CPHSK47590 FO SK560/03SEP</t>
  </si>
  <si>
    <t>LA123684</t>
  </si>
  <si>
    <t>AF204933</t>
  </si>
  <si>
    <t>AF7501</t>
  </si>
  <si>
    <t>11:51</t>
  </si>
  <si>
    <t>TBM EJECTION 13H50</t>
  </si>
  <si>
    <t>ARRIVEE TARDIVE AU TBM/J+1 CPHSK47589 FO SK564/04SEP</t>
  </si>
  <si>
    <t>AF204956</t>
  </si>
  <si>
    <t>SK245150</t>
  </si>
  <si>
    <t>BSM CONFIRMEE  A 19H38</t>
  </si>
  <si>
    <t>NEGATIF EN BAGRADAR ET REQUETEUR/PAX EN STAND BY ET CONFIRME TARD/APPEL LEAD SK A 20H01 MAIS INJOIGNABLE/J+1 PAS DE DOSSIER OUVERT</t>
  </si>
  <si>
    <t>SK245504</t>
  </si>
  <si>
    <t>BSM CONFIRMEE A 19H41</t>
  </si>
  <si>
    <t>SK245505</t>
  </si>
  <si>
    <t>04/09/2026</t>
  </si>
  <si>
    <t>REBUT C5</t>
  </si>
  <si>
    <t>09H20  ENVOIE BAGRUNNER POUR RECUP / RUSH O/B AI148/03SEP / BAG DEPOSE EN A18 POUR REFAIRE RUSH O/B AI148/04SEP TMB INFORME 09H55 / XH965847</t>
  </si>
  <si>
    <t>09H20  ENVOIE BAGRUNNER POUR RECUP / BAG DEPOSE EN A18 POUR REFAIRE RUSH O/B AI1458/04SEP TMB INFORME 09H55 / XH965848</t>
  </si>
  <si>
    <t>09H20  ENVOIE BAGRUNNER POUR RECUP / BAG DEPOSE EN A18 POUR REFAIRE RUSH O/B AI1458/04SEP TMB INFORME 09H55 / XH965851</t>
  </si>
  <si>
    <t>09H20 ENVOIE BAGRUNNER POUR RECUP / BAG DEPOSE EN A18 POUR REFAIRE RUSH O/B AI148/04SEP TMB INFORME 09H55 / XH965850</t>
  </si>
  <si>
    <t>TBM</t>
  </si>
  <si>
    <t>RUSH O/B AI148/04SEP / XH 965849</t>
  </si>
  <si>
    <t>AC579664</t>
  </si>
  <si>
    <t>AC870/03SEP</t>
  </si>
  <si>
    <t>A18 LL</t>
  </si>
  <si>
    <t>PAX O/BAI148/04SEP / APPEL TMB 12H05  POUR REETIQUETAGE</t>
  </si>
  <si>
    <t>AC579663</t>
  </si>
  <si>
    <t>AC584769</t>
  </si>
  <si>
    <t>AC582874</t>
  </si>
  <si>
    <t>AC582873</t>
  </si>
  <si>
    <t>AT703</t>
  </si>
  <si>
    <t>07:45</t>
  </si>
  <si>
    <t>AT356169</t>
  </si>
  <si>
    <t>BSM CREA 07H16</t>
  </si>
  <si>
    <t>BAG 5KG PROBABLE BAG A MAIN - PAS DE DOSSIER OUVERT A J+1</t>
  </si>
  <si>
    <t>AV452638</t>
  </si>
  <si>
    <t>WJ43 07H29</t>
  </si>
  <si>
    <t>08H27 APPEL GALERIE T1 POUR CHECK CARROUSEL ET ENVOIE SOUS BORD / DEPART VERS PISTE A 08H35 / RETOUR LL 09H11 - PAS D ERUSH PREVU NI DE DOSSIER OUVERT A J+1</t>
  </si>
  <si>
    <t>AV453161</t>
  </si>
  <si>
    <t>WJ43 07H53</t>
  </si>
  <si>
    <t>08H27 APPEL GALERIE T1 POUR CHECK CARROUSEL ET ENVOIE SOUS BORD / DEPART VERS PISTE A 08H35 / RETOUR LL 09H11 - O/B AV55/05SEP</t>
  </si>
  <si>
    <t>TN107829</t>
  </si>
  <si>
    <t>ARRIVE T3 CONNEX 10H38</t>
  </si>
  <si>
    <t>APPEL GALERIE T3 POUR ENVOIE SOUS BORD 10H40 - AHLMUCDE16165 PAS DE RUSH PREVU A J+1</t>
  </si>
  <si>
    <t>TN107830</t>
  </si>
  <si>
    <t>APPEL GALERIEE T3 POUR ENVOIE SOUS BORD 10H40 - AHLMUCDE16164 PAS DE RUSH PREVU A J+1</t>
  </si>
  <si>
    <t>WS434465</t>
  </si>
  <si>
    <t>11:50</t>
  </si>
  <si>
    <t>TBM EM92/12H41</t>
  </si>
  <si>
    <t>RECUPERE PAR BAG RUNNER ET LIVRE S/VOL</t>
  </si>
  <si>
    <t>WS434466</t>
  </si>
  <si>
    <t>TBM EM92/12H52</t>
  </si>
  <si>
    <t>AF256896</t>
  </si>
  <si>
    <t>WJ43 09H53</t>
  </si>
  <si>
    <t>SHORT CONNEX</t>
  </si>
  <si>
    <t>APPEL GALERIE T1 POUR ENVOIE SOUS BORD</t>
  </si>
  <si>
    <t>BR703261</t>
  </si>
  <si>
    <t>REBUT T1</t>
  </si>
  <si>
    <t>APPEL GALERIE T1 POUR ENVOIE SOUS BORD A 09H40 PUIS LOCALISE AU REBUT T1 A 09H53 - AHLDUBEI28991 PAS DE RUSH PREVU A J+1</t>
  </si>
  <si>
    <t>AF245898</t>
  </si>
  <si>
    <t>DECHARGE AU SAT1 A 10H29</t>
  </si>
  <si>
    <t>ARRIVE AU SAT T1  A 10H29 TROP TARD POUR CHARGEMENT - AHLDUBEI28990 PAS DE RUSH PREVU A J+1</t>
  </si>
  <si>
    <t>52 - Interline MCT not available  ( MCT initialement non respecté)</t>
  </si>
  <si>
    <t>AF256220</t>
  </si>
  <si>
    <t>ARRIVE AU SAT T1  A 10H29 TROP TARD POUR CHARGEMENT - AHLDUBEI28993 PAS DE RUSH PREVU A J+1</t>
  </si>
  <si>
    <t>AF245882</t>
  </si>
  <si>
    <t>2E TRI A 09H58</t>
  </si>
  <si>
    <t>BAG INJEC CONNEX 2E A 09H57/ LOCALISE EN JETEE 113 CYNO A 10H07 PUIS AU QSE A 10H43 POUR ETRE ENTREE AU KUBE A 12H19 ET EN SORTIR A 16H36 - AHLDUBEI28990 PAS DE RUSH PREVU A J+1</t>
  </si>
  <si>
    <t>HM513129</t>
  </si>
  <si>
    <t>DEPART VERS PISTE 10H24</t>
  </si>
  <si>
    <t>PAS DE TRACE DE CHARGEMENT</t>
  </si>
  <si>
    <t>CHECK BAGRADAR DEPART VERS PISTE 10H24 - PROBABLEMENT CHARGE SANS SCAN - PAS DE DOSSIER OUVERT A J+1</t>
  </si>
  <si>
    <t>EI130458</t>
  </si>
  <si>
    <t>REBUT T1 16H13</t>
  </si>
  <si>
    <t>APPEL GALERIE T1 A 16H28/DIT QUE C'EST TROP TARD POUR CHARGEMENT -  AHLCDGEI12284 PAS DE RUSH PREVU A J+1</t>
  </si>
  <si>
    <t>AF273447</t>
  </si>
  <si>
    <t>AF0473</t>
  </si>
  <si>
    <t>19:27</t>
  </si>
  <si>
    <t>T1 EJECTION WJ34 20H49</t>
  </si>
  <si>
    <t>AF573447 RENTRE ISO AF273447</t>
  </si>
  <si>
    <t>APPEL LEADER EI A 20H57 ET DEMANDE DE CORRIGER LE TN CAR LE BON TN EN ATTENTE ET LE TN ERRONE PAS DE TRACE</t>
  </si>
  <si>
    <t>AF244480</t>
  </si>
  <si>
    <t>08:23</t>
  </si>
  <si>
    <t>WJ41 10H43/M91  A 21H35</t>
  </si>
  <si>
    <t>BSM CREE 21H35</t>
  </si>
  <si>
    <t>RRTE DU EI521/APPEL NAV T1/T2 21H45/NEG EN M91/APPEL GAL T1 21H50/NEG EN WJ41 ET REBUT T1/APPEL DIRBY T1  21H59/DIT QUE PLUS PERSONNE EN GAL ET TROP DE TRAVAIL - AHLDUBEI29070 PAS DE RUSH PREVU A J+1</t>
  </si>
  <si>
    <t>EY539260</t>
  </si>
  <si>
    <t>INCONNU</t>
  </si>
  <si>
    <t>BSM CREE 21H32</t>
  </si>
  <si>
    <t>NEGATIF EN BAGRADAR ET REQUETEUR/PAS DE TRACE EN BOB/NON VU DANS LES TRIEURS SUR CDG/PAD DE FWD - PAS DE DOSSIER NI RUSH PREVU</t>
  </si>
  <si>
    <t>FI647710</t>
  </si>
  <si>
    <t>REBUT T1 13H15</t>
  </si>
  <si>
    <t>APPEL GALERIE T1 13H25  POUR RECUPERE ET LIVRE S/BORD</t>
  </si>
  <si>
    <t>FI648045</t>
  </si>
  <si>
    <t>REBUT T1 12H14</t>
  </si>
  <si>
    <t>FI649309</t>
  </si>
  <si>
    <t>HF HX1 13H14</t>
  </si>
  <si>
    <t>LY068017</t>
  </si>
  <si>
    <t>13:45</t>
  </si>
  <si>
    <t>T2BD ARRIVEE</t>
  </si>
  <si>
    <t>ERREUR DECHARGEMENT</t>
  </si>
  <si>
    <t>BAG DECHARGE PAR ERREUR SUR SLB /APPEL TMB 14H30 POUR ENVOYER/RECUPERE AU 2D HF PAR BAG RUNNER A 16H24 ET LIVRE S/BORD 16H48</t>
  </si>
  <si>
    <t>17:45</t>
  </si>
  <si>
    <t>LY068418</t>
  </si>
  <si>
    <t>BAG DECHARGE PAR ERREUR SUR SLB /APPEL TMB 14H30 POUR ENVOYER/RECUPERE AU 2D HF PAR BAG RUNNER ET DEPOSE TBM/APPEL GAL T1  16H37 ET SIGNALE BAG EN SJ06</t>
  </si>
  <si>
    <t>LY068444</t>
  </si>
  <si>
    <t>LY068449</t>
  </si>
  <si>
    <t>LY068454</t>
  </si>
  <si>
    <t>BAG DECHARGE PAR ERREUR SUR SLB /APPEL TMB 14H30 POUR ENVOYER/RECUPERE AU 2D HF PAR BAG RUNNER ET DEPOSE TBM/APPEL GAL T1  16H51 ET SIGNALE BAG EN HX2 - AHLKEFFI16796 PAS DE RUSH PREVU A J+1</t>
  </si>
  <si>
    <t>LY068458</t>
  </si>
  <si>
    <t>LY068000</t>
  </si>
  <si>
    <t>LY067994</t>
  </si>
  <si>
    <t>BAG DECHARGE PAR ERREUR SUR SLB /APPEL TMB 14H30 POUR ENVOYER/RECUPERE PAR BAGRUNNER  AU 2D HF A 16H16 ET LIVRE SOUS BORD A 16H48</t>
  </si>
  <si>
    <t>LY068464</t>
  </si>
  <si>
    <t>LY068474</t>
  </si>
  <si>
    <t>FI651581</t>
  </si>
  <si>
    <t>T1 EJECTION SJ06 16H19</t>
  </si>
  <si>
    <t>LAST MINUTE</t>
  </si>
  <si>
    <t>APPEL GALERIE T1 A 16H37 ET SIGNALE POUR LE RECUPERER</t>
  </si>
  <si>
    <t>FI651036</t>
  </si>
  <si>
    <t>FI651033</t>
  </si>
  <si>
    <t>T1 EJECTION SJ06 16H33</t>
  </si>
  <si>
    <t>AF314943</t>
  </si>
  <si>
    <t>19:08</t>
  </si>
  <si>
    <t>TME ZHF 19H43</t>
  </si>
  <si>
    <t>APPEL TME ZHF A 20H10/BAG TOUJOURS LA-BAS/DEMANDE DE LE DEPOSER AU TBM/PRIS EN CHARGE PAR BAGRUNNER AU TBM HF A 20H17 ET LIVRE SOUS BORD A 20h23</t>
  </si>
  <si>
    <t>XH965853</t>
  </si>
  <si>
    <t>2D HF 11H34</t>
  </si>
  <si>
    <t>ENVOI BAG RUNNER 12H10 POUR VERIF/PAS DE TRACE/ AHLCDGSK38697 O/B LA8133/05SEP</t>
  </si>
  <si>
    <t>XH965771</t>
  </si>
  <si>
    <t>JETEE 2A 10H09</t>
  </si>
  <si>
    <t>BAG ENREGISTRE S/AUTRE VOL</t>
  </si>
  <si>
    <t>BAG CHARGE EN CONTENANT VRA16267 / DOSSIER AHLASULA25075 TOUJOURS OUVERT A J+1 PAS DE RUSH PREVU</t>
  </si>
  <si>
    <t>QR382240</t>
  </si>
  <si>
    <t>QR037</t>
  </si>
  <si>
    <t>21:20/03SEP</t>
  </si>
  <si>
    <t>ARRIVEE T1</t>
  </si>
  <si>
    <t>DECHARGE AUX ARRIVEES T1</t>
  </si>
  <si>
    <t>07H55 APPEL DIRBY T1 POUR INJECTION / 09H25 PAS D'INJECTION / L'AGENT CONFIRME BAG DESCENDU 09H43 / CHARGEMENT CONNEX T1 A 10H42 - AHLCPHSK47630 O/B SK566/05SEP</t>
  </si>
  <si>
    <t>AF286191</t>
  </si>
  <si>
    <t>11:58</t>
  </si>
  <si>
    <t>TDS3 JETEE 342 12H54</t>
  </si>
  <si>
    <t>APPEL TDS3 13H00 POUR ENVOYER AU TBM/ENVOI BAG RUNNER AU TBM/RECUPERE ET LIVRE S/BORD</t>
  </si>
  <si>
    <t>LH522415</t>
  </si>
  <si>
    <t>2E VERS TBM 12H23</t>
  </si>
  <si>
    <t>ENVOI BAG RUNNER AU TBM 13H00/RECUPERE ET LIVRE S/BORD</t>
  </si>
  <si>
    <t>AF257557</t>
  </si>
  <si>
    <t>TBM 13H13</t>
  </si>
  <si>
    <t>AF252292</t>
  </si>
  <si>
    <t>AF253151</t>
  </si>
  <si>
    <t>AF253157</t>
  </si>
  <si>
    <t>AF247451</t>
  </si>
  <si>
    <t>AF337</t>
  </si>
  <si>
    <t>A18 LL 13H30</t>
  </si>
  <si>
    <t>BSM MODIF 13H21</t>
  </si>
  <si>
    <t>REROUTE DU SK564 /APPEL TMB 13H30 POUR  REETIQUETAGE /LIVRE S/BORD</t>
  </si>
  <si>
    <t>SK576</t>
  </si>
  <si>
    <t>17:35</t>
  </si>
  <si>
    <t>SK285562</t>
  </si>
  <si>
    <t>T2B EJECTION B02 15H55</t>
  </si>
  <si>
    <t>PAS DE MVT 17H11</t>
  </si>
  <si>
    <t>APPEL SUP GALERIE T2 A 17H11 ET SIGNALE POUR RECUPERER</t>
  </si>
  <si>
    <t>SK285824</t>
  </si>
  <si>
    <t>T2B EJECTION B02 16H07</t>
  </si>
  <si>
    <t>SK286617</t>
  </si>
  <si>
    <t>T2B EJECTION B02 16H31</t>
  </si>
  <si>
    <t>SK285592</t>
  </si>
  <si>
    <t>JETEE 2B 15H56</t>
  </si>
  <si>
    <t>SCANNE SUR AT789 ISO SK576</t>
  </si>
  <si>
    <t>AF264746</t>
  </si>
  <si>
    <t>AF0099</t>
  </si>
  <si>
    <t>11:46</t>
  </si>
  <si>
    <t>DECHARGE TBM NAVETTE 16H27</t>
  </si>
  <si>
    <t>PAS DE MVT 17H25</t>
  </si>
  <si>
    <t>RRTE SK574/APPEL SUP GAL T2 17H11 ET SIGNALE/NEG/APPEL TBM MC80 17H35/CONFIRME AVOIR LIVRE LE BAG SUR LE VOL/BAG TROUVE AU LL A18 A 18H10/LIVRE AU LL PAR TBM - AHLARNSK28466 O/B SK574/05SEP</t>
  </si>
  <si>
    <t>AF264750</t>
  </si>
  <si>
    <t>RRTE SK574/APPEL SUP GAL T2 17H11 ET SIGNALE/NEG/APPEL TBM MC80 17H35/CONFIRME AVOIR LIVRE LE BAG SUR LE VOL/BAG TROUVE AU LL A18 A 18H10/LIVRE AU LL PAR TBM - AHLARNSK28467 O/B SK574/05SEP</t>
  </si>
  <si>
    <t>AF315364</t>
  </si>
  <si>
    <t>AF1143</t>
  </si>
  <si>
    <t>18:07</t>
  </si>
  <si>
    <t>CARROUSEL ARRIVEE 32 A 18H23</t>
  </si>
  <si>
    <t>APPEL SALON AF AU 2F A 18H59 ET DEMANDE DE FAIRE DESCENDRE LE BAG/PRIS EN CHARGE PAR BAGRUNNER EN MC80 A 19H43 ET LIVRE SOUS BORD A 19H48</t>
  </si>
  <si>
    <t>KE426762</t>
  </si>
  <si>
    <t>KE0901</t>
  </si>
  <si>
    <t>18:39</t>
  </si>
  <si>
    <t>TBM MC80 19H43</t>
  </si>
  <si>
    <t>PRIS EN CHARGE PAR BAGRUNNER A 19H43 ET DEPOSE SUR LA JETEE DEPART A 19H53</t>
  </si>
  <si>
    <t>AM298667</t>
  </si>
  <si>
    <t>AM0005</t>
  </si>
  <si>
    <t>12:03</t>
  </si>
  <si>
    <t>T2B TRI SEC DEPUIS 18H53</t>
  </si>
  <si>
    <t>PAS DE MVT 19H30</t>
  </si>
  <si>
    <t>APPEL SUP GALERIE 19H30 ET SIGNALE/BAG TROUVE EN HORS FORMAT</t>
  </si>
  <si>
    <t>05/09/2026</t>
  </si>
  <si>
    <t>AC744826</t>
  </si>
  <si>
    <t>07:07</t>
  </si>
  <si>
    <t>CHECK AC SYSTEM / NEG / BAGRADAR REQUETEUR NEG - BAG JAMAIS ARRIVE A CDG - O/B AC895/AC042/05SEP</t>
  </si>
  <si>
    <t>AF355026</t>
  </si>
  <si>
    <t>AF331/04SEP</t>
  </si>
  <si>
    <t>10:35/05SEP</t>
  </si>
  <si>
    <t>BSM CREATION 14H17</t>
  </si>
  <si>
    <t>BSM CREATION 14H17/PAS DE TRACE EN REQUETEUR -AHLDELAI26714 TOUJOURS AUCUNE TRACE A CDG A J+1 AUCUN RUSH DE PREVU</t>
  </si>
  <si>
    <t>78 - Reason for mishandling not detectable</t>
  </si>
  <si>
    <t>AF355032</t>
  </si>
  <si>
    <t>AF356029</t>
  </si>
  <si>
    <t>AI663233</t>
  </si>
  <si>
    <t>BSM CREATION 14H21</t>
  </si>
  <si>
    <t>BSM CREATION 14H21/PAS DE TRACE EN REQUETEUR - AHLDELAI26711 O/B AI142/05SEP/AI2951/06SEP</t>
  </si>
  <si>
    <t>16 - Bag received too late from checkin</t>
  </si>
  <si>
    <t>AF409660</t>
  </si>
  <si>
    <t>19:09</t>
  </si>
  <si>
    <t>ARV TARDIVE</t>
  </si>
  <si>
    <t>19H36 : ENVOI BAGRUNNER MC80 POUR RECUP BAG - NON TROUVE - DÉJÀ PARTI SUR DEPART VOL</t>
  </si>
  <si>
    <t>AF409687</t>
  </si>
  <si>
    <t>AF409780</t>
  </si>
  <si>
    <t>AF409851</t>
  </si>
  <si>
    <t>AF409712</t>
  </si>
  <si>
    <t>19H36 : ENVOI BAGRUNNER MC80 POUR RECUP BAG - NON TROUVE - DÉJÀ PARTI SUR DEPART VOL - LOCALISE 20H45 HORS FORMAT PIM -  EN RETOUR LL - AHLKTMAI24539 O/B AI148/06SEP/AI215/07SEP</t>
  </si>
  <si>
    <t>AF409747</t>
  </si>
  <si>
    <t>AF405120</t>
  </si>
  <si>
    <t>AF1049</t>
  </si>
  <si>
    <t>19:01</t>
  </si>
  <si>
    <t>20H26 : RECHERCHE BOB - BAG CABINE -BAG ENREGISTRE MAIS PAS DE PREUVE DE CHARGEMENT - PAS DE DOSSIER OUVERT A J+1</t>
  </si>
  <si>
    <t>SK278917</t>
  </si>
  <si>
    <t>SK579</t>
  </si>
  <si>
    <t>19:31/04SEP</t>
  </si>
  <si>
    <t>HF CYNO 20H55 04SEP</t>
  </si>
  <si>
    <t>08H05 APPEL GALERIE T1 POUR CHECK ET ENVOIE SOUS BORD/ DPT VERS PISTE 08H17</t>
  </si>
  <si>
    <t>AV017049</t>
  </si>
  <si>
    <t>T1 GE16 HORS FORMAT 06H30</t>
  </si>
  <si>
    <t>APPEL DIRBY 08H00 POUR INJECTION DU BAG</t>
  </si>
  <si>
    <t>TN108716</t>
  </si>
  <si>
    <t>TN08</t>
  </si>
  <si>
    <t>M92 09H33</t>
  </si>
  <si>
    <t>09H30 ENVOI BAGRUNNER POUR RECUP ET DEPOSE SOUS BORD / PRIS EN CHARGE PAR BAGRUNNER ET LIVRE SOUS BORD A 09H57</t>
  </si>
  <si>
    <t>TN108748</t>
  </si>
  <si>
    <t>M92 09H31</t>
  </si>
  <si>
    <t>GF044984</t>
  </si>
  <si>
    <t>GF019/04SEP</t>
  </si>
  <si>
    <t>07:55</t>
  </si>
  <si>
    <t>M91 10H30</t>
  </si>
  <si>
    <t>ENVOI BAGRUNNER POUR RECUP / BAG DÉJÀ PRIS EN CHARGE PAR LA NAVETTE / INJECTION T1 10H57 TROP TARD POUR CHARGEMENT - AHLDUBEI29123 O/B EI529/05SEP</t>
  </si>
  <si>
    <t>EI130553</t>
  </si>
  <si>
    <t>BSM CREATION 04/09 20H13</t>
  </si>
  <si>
    <t>APPEL DIRBY T1 POUR INJECTION 08H30 - AHLMRSEI10436</t>
  </si>
  <si>
    <t>EI130150</t>
  </si>
  <si>
    <t>PISTE 10H00</t>
  </si>
  <si>
    <t>REFUS CAR EN BAGERA LE BAGAGE EST  ENREGISTRE SUR UN AUTRE VOL - AHLBNAEI10329 O/B EI521/EI77/06SEP</t>
  </si>
  <si>
    <t>EI130600</t>
  </si>
  <si>
    <t>T1 CYNO MJ90 09H46</t>
  </si>
  <si>
    <t>APPEL GALERIE T1 POUR INJECTION 10H30</t>
  </si>
  <si>
    <t>EI224323</t>
  </si>
  <si>
    <t>T1 CYNO MJ90 10H27</t>
  </si>
  <si>
    <t>EI224752</t>
  </si>
  <si>
    <t>T1 CYNO MJ90 10H25</t>
  </si>
  <si>
    <t>EI130608</t>
  </si>
  <si>
    <t>T1 GE16 HORS FORMAT 08H28</t>
  </si>
  <si>
    <t>APPEL DIRBY T1 POUR INJECTION 10H00</t>
  </si>
  <si>
    <t>MH554463</t>
  </si>
  <si>
    <t>MH020</t>
  </si>
  <si>
    <t>06:55</t>
  </si>
  <si>
    <t>JETEE T1 10H52</t>
  </si>
  <si>
    <t>BSM CREATION TARDIVE</t>
  </si>
  <si>
    <t>DEPART VERS PISTE A 10H52 / BAG REFUSE BSM CREATION 11H40 - AHLDUBEI29128 PAS DE RUSH PREVU A J+1</t>
  </si>
  <si>
    <t>MH554464</t>
  </si>
  <si>
    <t>MH555006</t>
  </si>
  <si>
    <t>DEPART VERS PISTE A 10H52 / BAG REFUSE BSM CREATION 11H40 - AHLDUBEI29127 PAS DE RUSH PREVU A J+1</t>
  </si>
  <si>
    <t>MH555009</t>
  </si>
  <si>
    <t>JETEE T1 10H53</t>
  </si>
  <si>
    <t>DEPART VERS PISTE A 10H52 / BAG REFUSE BSM CREATION 11H40 - AHLDUBEI21927 PAS DE RUSH PREVU A J+1</t>
  </si>
  <si>
    <t>AF343916</t>
  </si>
  <si>
    <t>AF832</t>
  </si>
  <si>
    <t>JETEE T1 10H54</t>
  </si>
  <si>
    <t>DEPART VERS PISTE A 10H52 / BAG REFUSE BSM CREATION 11H39 - AHLDUBEI29120 O/B EI529/05SEP</t>
  </si>
  <si>
    <t>EI130641</t>
  </si>
  <si>
    <t>APPEL DIRBY  12H30 POUR ENVOYER BAG S/BORD - AHLDUBEI28855 PAS DE RUSH PREVU A J+1</t>
  </si>
  <si>
    <t>EI130645</t>
  </si>
  <si>
    <t>QR211030</t>
  </si>
  <si>
    <t>QR039</t>
  </si>
  <si>
    <t>16H08 : ENREGISTREMENT TARDIF - NEG DANS TOUS SYSTEMES - AHLDUBEI29160 O/B EI521/06SEP</t>
  </si>
  <si>
    <t>QR211031</t>
  </si>
  <si>
    <t>15:08</t>
  </si>
  <si>
    <t>16H08 : ENREGISTREMENT TARDIF - NEG DANS TOUS SYSTEMES - AHLDUBEI29160 PAS DE RUSH PREVU A J+1</t>
  </si>
  <si>
    <t>QR214321</t>
  </si>
  <si>
    <t>16H08 : ENREGISTREMENT TARDIF - NEG DANS TOUS SYSTEMES - AHLDUBEI29157 PAS DE RUSH PREVU J+1</t>
  </si>
  <si>
    <t>QR214344</t>
  </si>
  <si>
    <t>16H08 : ENREGISTREMENT TARDIF - NEG DANS TOUS SYSTEMES - AHLDUBEI29159 PAS DE RUSH PREVU J+1</t>
  </si>
  <si>
    <t>QR214644</t>
  </si>
  <si>
    <t>QR223785</t>
  </si>
  <si>
    <t>QR223941</t>
  </si>
  <si>
    <t>EI226960</t>
  </si>
  <si>
    <t>GALERIE T1 CONTACTE A 17H10 POST DEPART PAS DE LOCAUX RESTANTS - DERNIERE LOC EN WJ34 A 15H52 - PAS DE DOSSIER A J+1 PROBABLEMENT CHARGE  SANS SCAN</t>
  </si>
  <si>
    <t>QR214407</t>
  </si>
  <si>
    <t>16H08 ENREGISTREMENT TARDIF - NEG DANS TOUS SYSTEMES - AHLDUBEI29157 PAS DE RUSH PREVU J+1</t>
  </si>
  <si>
    <t>FI657810</t>
  </si>
  <si>
    <t>WJ43 06H41</t>
  </si>
  <si>
    <t>06H50 APPEL GALERIE T1 POUR ENVOIE SOUS BORD</t>
  </si>
  <si>
    <t>AF336406</t>
  </si>
  <si>
    <t>AF149</t>
  </si>
  <si>
    <t>07:22</t>
  </si>
  <si>
    <t>TME107/08H26</t>
  </si>
  <si>
    <t>APPEL TME/BAG ENVOYE AU QSE/APPEL QSE 12H30/ENVOYE NAVETTE EM91</t>
  </si>
  <si>
    <t>AF337053</t>
  </si>
  <si>
    <t>12:37</t>
  </si>
  <si>
    <t>EM91 13H15</t>
  </si>
  <si>
    <t>ENVOI BAG RUNNER 13H20/RECUPERE 13H27 ET LIVRE S/BORD</t>
  </si>
  <si>
    <t>AF337149</t>
  </si>
  <si>
    <t>AF337256</t>
  </si>
  <si>
    <t>AF337351</t>
  </si>
  <si>
    <t>13:37</t>
  </si>
  <si>
    <t>FI663584</t>
  </si>
  <si>
    <t>POSS CABINE BAG 10KG - PAS DE DOSSIER OUVERT A J+1</t>
  </si>
  <si>
    <t>AF389568</t>
  </si>
  <si>
    <t>AF1467</t>
  </si>
  <si>
    <t>EM91</t>
  </si>
  <si>
    <t>ENVOI BAGRUNNER A LA NAVETTE DU TBM A 16H -  16H39 - PRIS EN CHARGE PAR BAGRUNNER POUR LIVRAISON SOUS BORD 16H54 / CHARGE D APRES BAG RUNNER - PAS DE DOSSIER J+1</t>
  </si>
  <si>
    <t>AF392398</t>
  </si>
  <si>
    <t>AF7337</t>
  </si>
  <si>
    <t>15:14</t>
  </si>
  <si>
    <t>AF392440</t>
  </si>
  <si>
    <t>HF177</t>
  </si>
  <si>
    <t>08:00</t>
  </si>
  <si>
    <t>HF055273</t>
  </si>
  <si>
    <t>BSM 06H53</t>
  </si>
  <si>
    <t>07H35 APPEL LEADER ET SUP GALERIE POUR CHECK / PLUS DE BAG A L'ENREGISTEMENT NI EN GALERIE / PROBABLEMENT CHARGE SANS SCAN PAS DE DOSSIER OUVERT A J+1</t>
  </si>
  <si>
    <t>SK303476</t>
  </si>
  <si>
    <t>SK565</t>
  </si>
  <si>
    <t>10:26</t>
  </si>
  <si>
    <t>APPEL DIRBY POUR VERIF TAPIS ARRIVE 12H02 / BAG NON TROUVE SUR TAPIS ARRIVE - PAS DE DOSSIER OUVERT A J+1</t>
  </si>
  <si>
    <t>LA672147</t>
  </si>
  <si>
    <t>VERIF PAR BAG RUNNER /PAS TROUVE/APPEL GALERIE POUR VERIF /AUCUNE TRACE /POSSIBLE CHARGE SANS SCAN - PAS DE DOSSIER OUVERT A J+1</t>
  </si>
  <si>
    <t>AF363992</t>
  </si>
  <si>
    <t>AF3418</t>
  </si>
  <si>
    <t>09:21</t>
  </si>
  <si>
    <t>VU AVEC AF+REQUETEUR 12H00/PAS DE TRACE A CDG - BAG JAMAIS ARRIVE A CDG O/B AF7315/AF454/05SEP/G31262/06SEP - AHLPOALA34803</t>
  </si>
  <si>
    <t>SB501</t>
  </si>
  <si>
    <t>21:30</t>
  </si>
  <si>
    <t>AF393459</t>
  </si>
  <si>
    <t>20H10 : APPEL VERO SB - BAG A MAIN RECUPERE PAR PASSAGER - NE SERA PAS RE ENREGISTRE - AUCUNE TRACE EN DATE DU 05SEP - LOCALISE EN JETEE 133 AU 2E LE 06SEP A 06H37 - AHLCDGAF32560</t>
  </si>
  <si>
    <t>73 - Bag not claimed by passenger where required</t>
  </si>
  <si>
    <t>AF393540</t>
  </si>
  <si>
    <t>T2E RESTITIUTION</t>
  </si>
  <si>
    <t>20H10 : APPEL VERO SB - BAG A MAIN RECUPERE PAR PASSAGER - NE SERA PAS RE ENREGISTRE - DERNIERE LOC LE 05SEP A 18H12 AU 2E ARRIVEES AF</t>
  </si>
  <si>
    <t>AF393600</t>
  </si>
  <si>
    <t>SB729420</t>
  </si>
  <si>
    <t>T2C INJECTION 19H44</t>
  </si>
  <si>
    <t>20H42 : ENVOI BAGRUNNER REBUT / HF ET CYNO - NON TROUVE - EN REQUETEUR NOTIFIE EN BAG CONTAMINE - A VERIFIER SI OUVERTURE DOSSIER A NOU PREVUE ARRIVEE LE 07SEP</t>
  </si>
  <si>
    <t>XH965891</t>
  </si>
  <si>
    <t>JETEE 2B 07H58</t>
  </si>
  <si>
    <t>SCANNE SUR LE MAUVAIS VOL AZ305</t>
  </si>
  <si>
    <t>APPEL LEADER GALERIE/ SCANNE SUR BON VOL 08H44</t>
  </si>
  <si>
    <t>XH965869</t>
  </si>
  <si>
    <t>BSM CREATION 06H57</t>
  </si>
  <si>
    <t>APPEL DIRBY POUR INJECTION AUCUNE REPONSE 08H45 - AHLPLQSK28476 O/B SK560/SK2744/05SEP</t>
  </si>
  <si>
    <t>XH965870</t>
  </si>
  <si>
    <t>AF334725</t>
  </si>
  <si>
    <t>AF940</t>
  </si>
  <si>
    <t>TBM INECTJION 10H38</t>
  </si>
  <si>
    <t>ENVOI BAG RUNNER 10H40 POUR RECUPERATION / BAG INTROUVABLE / TBM EJECTION 10H46 - AHLCPHSK47671 O/B SK566/06SEP</t>
  </si>
  <si>
    <t>AF372554</t>
  </si>
  <si>
    <t>AF1543</t>
  </si>
  <si>
    <t>10:15</t>
  </si>
  <si>
    <t>TDS3 EJECTION JETEE 342 10H49</t>
  </si>
  <si>
    <t>APPEL JETEE 342 POUR VERIF/ BAG ENVOYE AU TME 11H15</t>
  </si>
  <si>
    <t>AF322360</t>
  </si>
  <si>
    <t>2B REC CYNO 10H40</t>
  </si>
  <si>
    <t>ENVOI BAG RUNNER 11H20 POUR RECUP</t>
  </si>
  <si>
    <t>DL799729</t>
  </si>
  <si>
    <t>AF337/04SP</t>
  </si>
  <si>
    <t>08:10/05SEP</t>
  </si>
  <si>
    <t>BSM CREATION 10H41</t>
  </si>
  <si>
    <t>CHECK BOB / BAG PAS CHARGE SUR VOL D APPORT - BAG LOCALISE 06SEP AU QSE 09H23 - AHLLYRSK17759 PAS DE RUSH PREVU A J+1</t>
  </si>
  <si>
    <t>DL802639</t>
  </si>
  <si>
    <t>AF337/04SEP</t>
  </si>
  <si>
    <t>BSM CREATION 10H44</t>
  </si>
  <si>
    <t>CHECK BOB / ENTREE QSE 10H56 ENVOI BAG RUNNER 11H34 / BAG NON TROUVE - AHLLYRSK17761 PAS DE RUSH PREVU A J+1</t>
  </si>
  <si>
    <t>AF365510</t>
  </si>
  <si>
    <t>AF1517</t>
  </si>
  <si>
    <t>09:27</t>
  </si>
  <si>
    <t>TBM EJECTION 11H53</t>
  </si>
  <si>
    <t>ENVOI BAG RUNNER POUR RECUP 11H55/ PRIS EN CHARGE PAR BAG RUNNER 12H01 / / REFUS SOUS BORD / RETOUR LL 12H10 - AHLEVESK36827 O/B SK834/SK4094/06SEP</t>
  </si>
  <si>
    <t>DL822229</t>
  </si>
  <si>
    <t>BSM CREATION 10H42</t>
  </si>
  <si>
    <t>CHECK SUR BOB / AUCUNE TRACE SUR CDG EN DATE DU 05SEP - NOUVELLE LOC AU 2E VERS TBM LE 06SEP A 08H43 - AHLLYRSK17762 AUCUN RUSH DE PREVU</t>
  </si>
  <si>
    <t>SK830</t>
  </si>
  <si>
    <t>AF375343</t>
  </si>
  <si>
    <t>AF7521</t>
  </si>
  <si>
    <t>11:38</t>
  </si>
  <si>
    <t>TBM EJECTION 12H30</t>
  </si>
  <si>
    <t>ENVOI BAG RUNNER 12H30 AU TBM/RECUPERE ET LIVRE S/BORD</t>
  </si>
  <si>
    <t>SK322702</t>
  </si>
  <si>
    <t>T2B EJECTION 12H25</t>
  </si>
  <si>
    <t>DEP VERS PISTE 13H09</t>
  </si>
  <si>
    <t>APPEL GALERIE 2B 12H30/DEP VERS PISTE 13H09/REFUS SOUS BORD / TROP TARD POUR CHARGEMENT / RETOUR LL - AHLOSLSK60899 O/B SK834/06SEP</t>
  </si>
  <si>
    <t>SK018442</t>
  </si>
  <si>
    <t>SK018443</t>
  </si>
  <si>
    <t>06/09/2026</t>
  </si>
  <si>
    <t>AT418027</t>
  </si>
  <si>
    <t>BSM CREA 05H53</t>
  </si>
  <si>
    <t>BAG 5KG POTENTIEL BAG CABINE OU STROLLER - PAS DE DOSSIER OUVERT J+1</t>
  </si>
  <si>
    <t>AT779</t>
  </si>
  <si>
    <t>13:05</t>
  </si>
  <si>
    <t>LY084358</t>
  </si>
  <si>
    <t>11:39</t>
  </si>
  <si>
    <t>CTC TMB POUR VERIF SLB 12H20 / ENVOI BAG RUNNER PAS DE LOC JUSQU’À 14H10 AU TBM PUIS JETEE 2B POUR LE VOL AT789 SIGNALE EN REFUS AHLCMNAT65469</t>
  </si>
  <si>
    <t>AT737</t>
  </si>
  <si>
    <t>13:30</t>
  </si>
  <si>
    <t>LY082885</t>
  </si>
  <si>
    <t>09:47</t>
  </si>
  <si>
    <t>ARRIVEE 2B 10H23</t>
  </si>
  <si>
    <t>11H05 APPEL TMB POUR CHECK SLB ET REINJECTION DU BAG / 11H40 ENVOIE BAGRUNNER AU HF2D POUR RECUP ET DEPOSE SUR JETEE</t>
  </si>
  <si>
    <t>AF467384</t>
  </si>
  <si>
    <t>AF1263</t>
  </si>
  <si>
    <t>15:25</t>
  </si>
  <si>
    <t>17H37 : ENVOI BAGRUNNER AU TBM POUR VERIF EN MC80 - PUIS SUR JETEE VOL A 18H01 / RETOUR NEG DU BAG RUNNER BAG NON VU 18H17 - AHLBLJAT22106 O/B AT789/AT579/07SEP</t>
  </si>
  <si>
    <t>DE515763</t>
  </si>
  <si>
    <t>BAG CABINE / A VERIF</t>
  </si>
  <si>
    <t>DE513651</t>
  </si>
  <si>
    <t>DE514011</t>
  </si>
  <si>
    <t>DE514041</t>
  </si>
  <si>
    <t>DE514174</t>
  </si>
  <si>
    <t>DE514200</t>
  </si>
  <si>
    <t>DE514231</t>
  </si>
  <si>
    <t>DE515211</t>
  </si>
  <si>
    <t>DE515228</t>
  </si>
  <si>
    <t>EI130449</t>
  </si>
  <si>
    <t>GE16</t>
  </si>
  <si>
    <t>APPEL DIRBY POUR INJECT 10H00 - AHLSNNEI76762  PAS DE NOUVEAU RUSH PREVU A J+1</t>
  </si>
  <si>
    <t>EI229278</t>
  </si>
  <si>
    <t>BAG 5KG BAG CABINE - PAS DE DOSSIE ROUVERT A J+1</t>
  </si>
  <si>
    <t>AA493672</t>
  </si>
  <si>
    <t>BSM CREA 10H40</t>
  </si>
  <si>
    <t>CREATION TARDIVE 10H40</t>
  </si>
  <si>
    <t>AUCUNE TRACE DANS NOS DIFFERENTS SYSTEMES A J+1 BAG LOCALISE EN OHDCDGAA63001 - AHLCMHAA32559</t>
  </si>
  <si>
    <t>AA493673</t>
  </si>
  <si>
    <t>AUCUNE TRACE DANS NOS DIFFERENTS SYSTEMES A J+1 BAG LOCALISE EN OHDCDGAA63003 - AHLCMHAA32559</t>
  </si>
  <si>
    <t>AA493674</t>
  </si>
  <si>
    <t>BSM CREA 10H33</t>
  </si>
  <si>
    <t>CREATION TARDIVE 10H33</t>
  </si>
  <si>
    <t>AUCUNE TRACE DANS NOS DIFFERENTS SYSTEMES A J+1 BAG LOCALISE EN OHDCDGAA63004 - AHLCMHAA32559</t>
  </si>
  <si>
    <t>AA493675</t>
  </si>
  <si>
    <t>AUCUNE TRACE DANS NOS DIFFERENTS SYSTEMES A J+1 BAG LOCALISE EN OHDCDGAA63000 - AHLCMHAA32559</t>
  </si>
  <si>
    <t>EI229536</t>
  </si>
  <si>
    <t>BSM CREA 09H43</t>
  </si>
  <si>
    <t>BAGS DE 6KGS PRBL POUSSETTE / APPEL LEADER VOL INJOIGNABLE - PAS DE DOSSIER OUVERT A J+1</t>
  </si>
  <si>
    <t>EI130768</t>
  </si>
  <si>
    <t>T1 GE 16 HF 13H05</t>
  </si>
  <si>
    <t>APPEL DIRBY 12H10+12H15+12H20/PAS DE REPONSE/ BAG ENVOYE TROP TARD - OHDCDGEI12286 ENVOI LZ PAS DE RUSH PREVU A J+1</t>
  </si>
  <si>
    <t>EI130835</t>
  </si>
  <si>
    <t>20H42 : APPEL DIRBY T1 - SANS REPONSE - AHLDUBEI29128 PAS DE NOUVEAU RUSH A J+1</t>
  </si>
  <si>
    <t>EI130836</t>
  </si>
  <si>
    <t>EI130837</t>
  </si>
  <si>
    <t>20H42 : APPEL DIRBY T1 - SANS REPONSE - AHLDUBEI28855 PAS DE NOUVEAU RUSH A J+1</t>
  </si>
  <si>
    <t>EI130838</t>
  </si>
  <si>
    <t>20H42 : APPEL DIRBY T1 - SANS REPONSE - AHLDUBEI29156 PAS DE NOUVEAU RUSH A J+1</t>
  </si>
  <si>
    <t>AF468852</t>
  </si>
  <si>
    <t>AF7325</t>
  </si>
  <si>
    <t>11:48</t>
  </si>
  <si>
    <t>TDS3 JETEE 342 12H43</t>
  </si>
  <si>
    <t>APPEL TDS3 12H50/ENVOI BAG RUNNER /RECUPERE ET LIVRE S/BORD</t>
  </si>
  <si>
    <t>AF468881</t>
  </si>
  <si>
    <t>LY085422</t>
  </si>
  <si>
    <t>T2BD ARRIVE 12H12</t>
  </si>
  <si>
    <t>CTC TMB POUR RECUP BAG AU TAPIS ARRIVEE /BAG LOC AU REBUT T1 14H28/APPEL GALERIE T1 POUR RECUPERER ET LIVRE S/BORD - AHLKEFFI16862 PAS DE RUSH PREVU A J+1</t>
  </si>
  <si>
    <t>LY0854243</t>
  </si>
  <si>
    <t>APPEL TMB POUR ENVOYER BAG AU HF/BAG LOC AU REBUT T1 14H28/APPEL GALERIE T1 POUR RECUPERER ET LIVRE S/BORD</t>
  </si>
  <si>
    <t>AF469655</t>
  </si>
  <si>
    <t>AF7405</t>
  </si>
  <si>
    <t>11:56</t>
  </si>
  <si>
    <t>REBUT T1 14H28</t>
  </si>
  <si>
    <t>APPEL GALERIE T1 POUR RECUPERER ET LIVRE S/BORD - AHLKEFFI16859 PAS DE RUSH PREVU A J+1</t>
  </si>
  <si>
    <t>A3781618</t>
  </si>
  <si>
    <t>A3610</t>
  </si>
  <si>
    <t>10:09</t>
  </si>
  <si>
    <t>T2BD ARRIVEE 10H48</t>
  </si>
  <si>
    <t>LOC TAPIS 6 T2B - APPEL SBA  15H00+15H20/PAS DE REPONSE/ENVOI BAG RUNNER AUX ARRIVEES/RIEN TROUVE AU NIVEAU SLB ET LL SBA - OHDCDGA319457 - AHLKEFFI16864</t>
  </si>
  <si>
    <t>AF484956</t>
  </si>
  <si>
    <t>AF73337</t>
  </si>
  <si>
    <t>VU AVEC AF 16H30+REQUETEUR/PAS DE TRACE - DERNIERE LOC A 20H49 EN ENTREE KUBE - OHDCDGAF41526 - AHLKEFFI16868 PAS DE RUSH PREVU J+1</t>
  </si>
  <si>
    <t>XH965947</t>
  </si>
  <si>
    <t>09H15 APPEL TMB POUR ENVOIE</t>
  </si>
  <si>
    <t>AF422164</t>
  </si>
  <si>
    <t>08:35</t>
  </si>
  <si>
    <t>19H12 : RECHERCHE BOB - BAG EN REFUS CHARGEMENT A GIG - AHLBEGJU37031 O/B JU243/07SEP</t>
  </si>
  <si>
    <t>AF446028</t>
  </si>
  <si>
    <t>19H12 : RECHERCHE BOB - REQUETEUR - DERNIERE TRACE EN MC80 9H25 - RRTE DU JU241/06SEP - ENVOI BAGRUNNER EN A18 /QSE</t>
  </si>
  <si>
    <t>AF279088</t>
  </si>
  <si>
    <t>AF0443</t>
  </si>
  <si>
    <t>14:16</t>
  </si>
  <si>
    <t>19H12 : RECHERCHE BOB - REQUETEUR - DERNIERE TRACE EN MC80 9H25 - RRTE DU JU241/06SEP - ENVOI BAGRUNNER EN A18 /QSE- NEG - PAS DE DOSSIER A J+1</t>
  </si>
  <si>
    <t>JU191880</t>
  </si>
  <si>
    <t>4KGS - POSSIBLE CABINE PRIS DANS L'AVION - PAS DE DOSSIER OUVERT A J+1</t>
  </si>
  <si>
    <t>LA536971</t>
  </si>
  <si>
    <t>VERIF PAR BAG RUNNER/POSS CABINE BAG 0KG - PAS DE DOSSIER OUVERT A J+1</t>
  </si>
  <si>
    <t>LA559301</t>
  </si>
  <si>
    <t>LA559302</t>
  </si>
  <si>
    <t>LA559567</t>
  </si>
  <si>
    <t>VERIF PAR BAG RUNNER/POSS CABINE BAG 7KG - PAS DE DOSSIER OUVERT A J+1</t>
  </si>
  <si>
    <t>LA953408</t>
  </si>
  <si>
    <t>VERIF PAR BAG RUNNER/POSS CABINE BAG 10KG - PAS DE DOSSIER OUVERT A J+1</t>
  </si>
  <si>
    <t>AF454723</t>
  </si>
  <si>
    <t>09:12</t>
  </si>
  <si>
    <t>TBM EJETION 11H09</t>
  </si>
  <si>
    <t>APPEL MJ80 12H00+VERIF PAR BAG RUNNER/PAS DE TRACE - AHLGRULA56435 PAS DE RUSH PREVU A J+1</t>
  </si>
  <si>
    <t>LA536172</t>
  </si>
  <si>
    <t>JETEE2A 10H56</t>
  </si>
  <si>
    <t>BAG CHARGE EN CONTENANT AKE50465LA - PAS DE DOSSIER OUVERT A J+1</t>
  </si>
  <si>
    <t>LA538074</t>
  </si>
  <si>
    <t>VERIF PAR BAG RUNNER 12H00+13H00/AUCUNE TRACE - PAS DE DOSSIER OUVERT A J+1</t>
  </si>
  <si>
    <t>MH631520</t>
  </si>
  <si>
    <t>2A REC CYNO 08H56</t>
  </si>
  <si>
    <t>APPEL SUP GALERIE POUR VERIF ET RECUP 10H / ENVOI BAG RUNNER 10H40 / DEPT SUR PISTE 10H51</t>
  </si>
  <si>
    <t>XH965920</t>
  </si>
  <si>
    <t>BSM CREATION 05/09 17H06</t>
  </si>
  <si>
    <t>APPELT TMB POUR INJECTION 09H30 - AHLMUCJU10069 PAS DE RUSH PREVU A J+1</t>
  </si>
  <si>
    <t>RJ594106</t>
  </si>
  <si>
    <t>ENVOI BAG RUNNER AU 2C POUR VERIF JETEE+REBUT/PAS DE TRACE/POSS CHARGE - PAS DE DOSSIER OUVERT A J+1</t>
  </si>
  <si>
    <t>AF422037</t>
  </si>
  <si>
    <t>AF0465</t>
  </si>
  <si>
    <t>08:50</t>
  </si>
  <si>
    <t>DOP033</t>
  </si>
  <si>
    <t>AUCUNE TRACE DANS NOS DIFFERENTS SYSTEMES - AUCUN DOSSIER OUVERT A J+1</t>
  </si>
  <si>
    <t>AF431188</t>
  </si>
  <si>
    <t>AF137</t>
  </si>
  <si>
    <t>08:08</t>
  </si>
  <si>
    <t>T2B NAVETTE 09H26</t>
  </si>
  <si>
    <t>ENVOI BAG RUNNERPOUR RECUP ET ENVOI SOUS BORD 09H30</t>
  </si>
  <si>
    <t>SK356659</t>
  </si>
  <si>
    <t>DEP VERS PISTE</t>
  </si>
  <si>
    <t>BSM CREATION TARDIVE 10H40</t>
  </si>
  <si>
    <t>REFUS DE CHARGEMENT ENTRE 09H39 ET 10H34 / PAX EN ATTENTE JUSQU A 10H40 /  APPEL COORDO POUR RESCANNE 10H45 - PAS DE DOSSIER OUVERT A J+1</t>
  </si>
  <si>
    <t>AF454577</t>
  </si>
  <si>
    <t>09:49</t>
  </si>
  <si>
    <t>TRI 2E 11H16</t>
  </si>
  <si>
    <t>ARRIVEE VOL D'APPORT TROP TARDIVE POUR CHARGEMENT - AHLGOTSK24911 O/B SK566/SK430/07SEP</t>
  </si>
  <si>
    <t>15:20</t>
  </si>
  <si>
    <t>AM301290</t>
  </si>
  <si>
    <t>AM05</t>
  </si>
  <si>
    <t>12:43</t>
  </si>
  <si>
    <t>TMB EJECTION 14H42</t>
  </si>
  <si>
    <t>ENVOI BAG RUNNER AU TBM 14H40/RECUPERE EL LIVRE S/BORD</t>
  </si>
  <si>
    <t>AF435710</t>
  </si>
  <si>
    <t>AF501</t>
  </si>
  <si>
    <t>13:44</t>
  </si>
  <si>
    <t>TBM 14H41</t>
  </si>
  <si>
    <t>AF435736</t>
  </si>
  <si>
    <t>TBM14H51</t>
  </si>
  <si>
    <t>AF435793</t>
  </si>
  <si>
    <t>AM301292</t>
  </si>
  <si>
    <t>VU AVEC AF 14H30+REQUETEUR+VERIF PAR BAG RUNNER /PAS DE TRACE A CDG - AHLCPHSK47720 PAS DE RUSH PREVU A J+1</t>
  </si>
  <si>
    <t>NH571734</t>
  </si>
  <si>
    <t>NH215</t>
  </si>
  <si>
    <t>16:57</t>
  </si>
  <si>
    <t>MC80</t>
  </si>
  <si>
    <t>18H21 : PRISE EN CHARGE PAR BAG RUNNER ET DEPOSE EN JETEE DEPART</t>
  </si>
  <si>
    <t>APPEL TMB POUR INJECTION 09H05 - AHLBEGJU37031 DOSSIER FERME BAG BIEN RECU</t>
  </si>
  <si>
    <t>07/09/2026</t>
  </si>
  <si>
    <t>AI812462</t>
  </si>
  <si>
    <t>0 KG</t>
  </si>
  <si>
    <t>20H35 : APPEL LEAD AI  CAR BAG DE 0KG/VERIFIE AVEC LE COORDO ET BAG INEXISTANT MAIS TROP TARD POUR L'ANNULER/VOL FERME/NE PAS TENIR COMPTE EN BAGAGE A TRAITER</t>
  </si>
  <si>
    <t>AA084976</t>
  </si>
  <si>
    <t>AA754/06SEP</t>
  </si>
  <si>
    <t>11:21</t>
  </si>
  <si>
    <t>CTC AA/CDG BAGS SONT RUSH SUR AA754/07SEP PHL/CDG /CMNAT65518</t>
  </si>
  <si>
    <t>AA084977</t>
  </si>
  <si>
    <t>AA084979</t>
  </si>
  <si>
    <t>AA085780</t>
  </si>
  <si>
    <t>AA755</t>
  </si>
  <si>
    <t>CTC AA/CDG BAGS SONT RUSH SUR AA754/08SEP PHL/CDG  /CMNAT65520</t>
  </si>
  <si>
    <t>AA085782</t>
  </si>
  <si>
    <t>AA902765</t>
  </si>
  <si>
    <t>AA752</t>
  </si>
  <si>
    <t>AA913988</t>
  </si>
  <si>
    <t>AA753</t>
  </si>
  <si>
    <t>AT450429</t>
  </si>
  <si>
    <t>REFUS</t>
  </si>
  <si>
    <t>DECHARGE DE CONTENANT A 12H50 TRANSFERE EN BULK ( FB) /J+1 PAS DE DOSSIER OUVERT</t>
  </si>
  <si>
    <t>AT451457</t>
  </si>
  <si>
    <t>DECHARGE CONT</t>
  </si>
  <si>
    <t>PAX ANNULE SELON COORDO BAG TRF TO  SLB 2B A 13H26 MAIS SON A TRAITER  A VERIFIER / J+1 PAS DE DOSSIER OUVERT</t>
  </si>
  <si>
    <t>AT415513</t>
  </si>
  <si>
    <t>AT451588</t>
  </si>
  <si>
    <t>AF533923</t>
  </si>
  <si>
    <t>AF0053</t>
  </si>
  <si>
    <t>10:52</t>
  </si>
  <si>
    <t>QSEDLK</t>
  </si>
  <si>
    <t>RRTE DU AF848/APPEL LA HALLE A 17H15 POUR AVOIR CONF/RAPPEL A 17H25/BAG MIS DE COTE/ENVOI BAGRUNNER A 17H31 POUR LE RECUPERER/PRIS EN CHARGE PAR BAGRUNNER A 17H49 ET LICRE SOUS BORD A 18H14</t>
  </si>
  <si>
    <t>AF533908</t>
  </si>
  <si>
    <t>RRTE DU AF848/APPEL LA HALLE A 17H15 POUR AVOIR CONF/RAPPEL A 17H25/BAG MIS DE COTE/ENVOI BAGRUNNER A 17H31 POUR LE RECUPERER/PRIS EN CHARGE PAR BAGRUNNER A 17H49 ET LICRE SOUS BORD A 18H13</t>
  </si>
  <si>
    <t>AF533875</t>
  </si>
  <si>
    <t>OFFLOADED CDG 12H21</t>
  </si>
  <si>
    <t>RRTE DU AF848/BAG TROUVE A LA HALLE SANS AUCUNE TRACE A 17H25/ENVOI BAGRUNNER A 17H31 POUR LE RECUPERER/PRIS EN CHARGE PAR BAGRUNNER A 17H49 ET LIVRE SOUS BORD A 18H12</t>
  </si>
  <si>
    <t>AT460723</t>
  </si>
  <si>
    <t>JETEE 2B 17H14</t>
  </si>
  <si>
    <t>APPEL LEADER AT A 17H48 ET DEMANDE D'ACTIVER LE TN</t>
  </si>
  <si>
    <t>LY121042</t>
  </si>
  <si>
    <t>LY327</t>
  </si>
  <si>
    <t>15:56</t>
  </si>
  <si>
    <t>TBM MC80 17H09</t>
  </si>
  <si>
    <t>APPEL TBM MC80 A  17H40/BAG TOUJOURS AU TBM MC80/PRIS EN CHARGE PAR BAGRUNNER A 17H54 ET LIVRE SOUS BORD A 18H03</t>
  </si>
  <si>
    <t>LY121054</t>
  </si>
  <si>
    <t>LY121069</t>
  </si>
  <si>
    <t>LY121101</t>
  </si>
  <si>
    <t>LY121131</t>
  </si>
  <si>
    <t>TBM MC80 17H10</t>
  </si>
  <si>
    <t>LY121151</t>
  </si>
  <si>
    <t>AT460235</t>
  </si>
  <si>
    <t>2B HORS FORMAT 17H01</t>
  </si>
  <si>
    <t>APPEL SUP GAL T2 A 17H52 ET SIGNALE</t>
  </si>
  <si>
    <t>AF533941</t>
  </si>
  <si>
    <t>TBMMC80 16H34</t>
  </si>
  <si>
    <t>RRTE DU AF848/APPEL TBM MC80 17H45/BAG DEPOSE SUR LE VOL SANS SCAN/APPEL SUP GALERIE T2 A 18H00 ET DEMANDE DE LE LIVRER SOUS BORD CAR BAG RRTE SUR AT MAIS PAS REETIQUETE PAR AF</t>
  </si>
  <si>
    <t>AT461240</t>
  </si>
  <si>
    <t>T2B HORS FORMAT 18H03</t>
  </si>
  <si>
    <t>APPEL SUP GALERIE T2 A 18H06 ET SIGNALE/ENVOI BAGRUNNER A 18H10 POUR VERIFIER/PRIS EN CHARGE PAR BAGRUNNER  ET LIVRE SOUS BORD A 18H15</t>
  </si>
  <si>
    <t>AT456030</t>
  </si>
  <si>
    <t>APPEL LEADER AT A 18H35 POUR VERIFIER SI POUSSETTE OU HBAG/BAGAGE CABINE TROUVE DANS LA PASSERELLE/DESCENDU POUR ETRE CHARGE EN SOUTE</t>
  </si>
  <si>
    <t>AV267142</t>
  </si>
  <si>
    <t>HX1 HORS FORMAT 05H37</t>
  </si>
  <si>
    <t>APPEL HORS FORMAT POUR INJECTION 07H20</t>
  </si>
  <si>
    <t>AV589836</t>
  </si>
  <si>
    <t>T1 CYNO MJ90 07H47</t>
  </si>
  <si>
    <t>PERTE DE TRACE</t>
  </si>
  <si>
    <t>APPEL GALERIE T1  08H15 POUR CHECK → OK CYNO 08H22 PUIS DLV AUX ARRIVEES ALORS QUE VOL TJS EN COURS /J+1 PAS DE DOSSIER OUVERT</t>
  </si>
  <si>
    <t>TN111605</t>
  </si>
  <si>
    <t>TBM EJECTION JETEE  342 09H57</t>
  </si>
  <si>
    <t>ENVOI BAG RUNNER 10H20 / PRIS EN CHARGE 10H43</t>
  </si>
  <si>
    <t>TN111611</t>
  </si>
  <si>
    <t>TBM EJECTION JETEE  342 09H58</t>
  </si>
  <si>
    <t>ENVOI BAG RUNNER 10H20 / PRIS EN CHARGE 10H44</t>
  </si>
  <si>
    <t>TN111766</t>
  </si>
  <si>
    <t>TBM EJECTION JETEE  342 09H59</t>
  </si>
  <si>
    <t>ENVOI BAG RUNNER 10H20 / PRIS EN CHARGE 10H45</t>
  </si>
  <si>
    <t>TN111769</t>
  </si>
  <si>
    <t>TBM EJECTION JETEE  342 09H60</t>
  </si>
  <si>
    <t>ENVOI BAG RUNNER 10H20 / PRIS EN CHARGE 10H46</t>
  </si>
  <si>
    <t>TN111793</t>
  </si>
  <si>
    <t>TBM EJECTION JETEE  342 09H61</t>
  </si>
  <si>
    <t>ENVOI BAG RUNNER 10H20 / PRIS EN CHARGE 10H47</t>
  </si>
  <si>
    <t>DE543766</t>
  </si>
  <si>
    <t>BSM CREA 09H33</t>
  </si>
  <si>
    <t>BAGS 5KGS PBLY BAG CABINE PRIS EN PORTE / APPEL COORDO INJOIGNABLE 10H55 / J+1 PAS DE DOSSIER OUVERT</t>
  </si>
  <si>
    <t>DE545014</t>
  </si>
  <si>
    <t>BSM CREA 10H03</t>
  </si>
  <si>
    <t>DE545662</t>
  </si>
  <si>
    <t>BSM CREA 10H24</t>
  </si>
  <si>
    <t>AF494436</t>
  </si>
  <si>
    <t>AF283</t>
  </si>
  <si>
    <t>06:35</t>
  </si>
  <si>
    <t>REFUS CHARGEMENT</t>
  </si>
  <si>
    <t>08H08 A 08H57 : TENTATIVE CHARGEMENT MAIS BAG NON AUTORISE → 10H01 : BAG EN PISTE MAIS REFUS CHARGEMENT → TENTATIVE DE JOINDRE LEAD EI MAIS NEG /J+1 DUBEI29274 -Aucune trace de rush</t>
  </si>
  <si>
    <t>AF616856</t>
  </si>
  <si>
    <t>CHECK S/ BOB :DERNIERE TRACE JETEE T1 DPT SUR PISTE A 09H40 →  APRES RECHERCHE ERREUR CKIN :  TAG INITIAL 6E616856 →09H50 :CTC LEAD EI POUR CHANGEMENT:  INJOIGNABLE → BAG NON AUTORISE  /DUBEI29273</t>
  </si>
  <si>
    <t>AF616869</t>
  </si>
  <si>
    <t>CHECK S/ BOB :DERNIERE TRACE JETEE T1 DPT SUR PISTE A 09H40 →  APRES RECHERCHE ERREUR CKIN :  TAG INITIAL 6E616869 →09H50 :CTC LEAD EI POUR CHANGEMENT:  INJOIGNABLE → BAG NON AUTORISE  /DUBEI29273</t>
  </si>
  <si>
    <t>EI233163</t>
  </si>
  <si>
    <t>T1 EJECTION WJ43 08H37</t>
  </si>
  <si>
    <t>09h20 : APPEL GALERIE T1 POUR VERIF + ENVOI S/ BORD →  CONFIRMATION RECU   BAG BIEN PARTI SUR LA JETEE DEPART / J+1 PAS DE DOSSIER OUVERT</t>
  </si>
  <si>
    <t>AC031401</t>
  </si>
  <si>
    <t>PISTE A 12H50</t>
  </si>
  <si>
    <t>LOAD OK CIE</t>
  </si>
  <si>
    <t>BAG A TRAITER MAIS  LOAD OK CIE /PAX A OUVERT UN DOSSIER A DUB MAIS BAG BIEN CHARGE AU DPT DE CDG</t>
  </si>
  <si>
    <t>EI235253</t>
  </si>
  <si>
    <t>16H45 : APPEL LEADER EI MAIS INJOIGNABLE→ POSSIBLE BAGAGE CABINE OU POUSSETTE DE 5KG PRIS A BORD PAR PAX J+1 PAS D EDOSSIER OUVERT</t>
  </si>
  <si>
    <t>EI131056</t>
  </si>
  <si>
    <t>BSM 16H04</t>
  </si>
  <si>
    <t>APPEL DIRBY T1 A PLUSIEURS REPRISES AVANT LE DEPART DU VOL MAIS INJOIGNABLE</t>
  </si>
  <si>
    <t>AF571541</t>
  </si>
  <si>
    <t>RETARD TRAJET</t>
  </si>
  <si>
    <t>15H58 : REQUETEUR - CONTENEUR DETECTE RFID - BAG PAS ENCORE SCANNE/DEPOSE AU TBM HORS FORMAT A 16H55 ET CHARGE NAV T1/T2 16H56/TROP TARD POUR CHARGEMENT SUR LE VOL/KEFFI16909</t>
  </si>
  <si>
    <t>10:00/10:43</t>
  </si>
  <si>
    <t>AF506541</t>
  </si>
  <si>
    <t>08:45</t>
  </si>
  <si>
    <t>TMB EM80 A 09H57</t>
  </si>
  <si>
    <t>ARV TARDIVE AU TBM</t>
  </si>
  <si>
    <t>PRISE EN CHARGE PAR BAG RUNNER A 10H01 ET LIVRE   SOUS BORD A 10H10</t>
  </si>
  <si>
    <t>LA138400</t>
  </si>
  <si>
    <t>LA138401</t>
  </si>
  <si>
    <t>AF541189</t>
  </si>
  <si>
    <t>AF541945</t>
  </si>
  <si>
    <t>AF541866</t>
  </si>
  <si>
    <t>G3279865</t>
  </si>
  <si>
    <t>AF0453</t>
  </si>
  <si>
    <t>TBM MC80 10H02</t>
  </si>
  <si>
    <t>TRACE PERDUE 11H07</t>
  </si>
  <si>
    <t>RRTE DU JU241→ APPEL TMB A 20H00: PERSONNE POUR VERIFIER EN A18/BEGJU37048 PAS DE RUSH PREVU</t>
  </si>
  <si>
    <t>51 - Transit passenger rerouted / Bag not rerouted</t>
  </si>
  <si>
    <t>AF502683</t>
  </si>
  <si>
    <t>TBM MC80 12H27</t>
  </si>
  <si>
    <t>RRTE DU JU241/APPEL TMB A 20H00/PERSONNE POUR VERIFIER EN A18/ J+1 PAS DE DOSSIER OUVERT</t>
  </si>
  <si>
    <t>AF503255</t>
  </si>
  <si>
    <t>QSE 12H27</t>
  </si>
  <si>
    <t>RRTE DU JU241→ APPEL TMB A 20H00→ PERSONNE POUR VERIFIER EN A18→ APPEL QSE 20H15: NEG/BEGJU37047 PAS DE RUSH PREVU</t>
  </si>
  <si>
    <t>XH281049</t>
  </si>
  <si>
    <t>14:12</t>
  </si>
  <si>
    <t>TN MAL RENTRE EN XH ISO G3</t>
  </si>
  <si>
    <t>BSM 21H28</t>
  </si>
  <si>
    <t>APPEL LEADER JU A 21H40 MAIS INJOIGNABLE/TN RENTRE EN XH ISO G3/CHARGE AVEC LA REMARQUE LOAD OK CIE/NE PAS TENIR COMPTE DU BAG A TRAITER/BON TN EN ATTENTE MAIS CHARGE</t>
  </si>
  <si>
    <t>CA059391</t>
  </si>
  <si>
    <t>CA875</t>
  </si>
  <si>
    <t>07:52</t>
  </si>
  <si>
    <t>PAS DE LOC A 11H00</t>
  </si>
  <si>
    <t>CTC SBA T1 SANS PREPONSE NEG BAG RADAR/REQUEUTEUR ET ALTEA /REAPARUE AU HF DU 2A A 12H14</t>
  </si>
  <si>
    <t>CA592736</t>
  </si>
  <si>
    <t>LA425854</t>
  </si>
  <si>
    <t>T2A INJECTION DEPUIS 11H21</t>
  </si>
  <si>
    <t>PAS D'EJECTION</t>
  </si>
  <si>
    <t>11H10-12H33 : INJECTION X 58 → 12H15 : CTC CHEF DE QUART ABCD  POUR FAIRE LE NECESSAIRE → BAG INJECTE AU 2A CYNO A 12H42 → OK HF A 12H50 → TROP TARD POUR LE VOL /GRULA56498/ PAS DE RUSH PREVU</t>
  </si>
  <si>
    <t>LA963243</t>
  </si>
  <si>
    <t>JETEE 2A 11H18</t>
  </si>
  <si>
    <t>DECHARGE AKE</t>
  </si>
  <si>
    <t>CTC CORDO DU VOL BAGS  NON VUE SUR PISTE  A VERIFIER / J+1 PAS DE DOSSIER OUVERT</t>
  </si>
  <si>
    <t>LA424556</t>
  </si>
  <si>
    <t>PISTE 11H15</t>
  </si>
  <si>
    <t>BAGAGE INACTIF → CTC CORDO BAG TSF EN BULK : REFUS  VERIFIER/J+1 PAS DE DOSSIER OUVERT</t>
  </si>
  <si>
    <t>AA085790</t>
  </si>
  <si>
    <t>AA0754</t>
  </si>
  <si>
    <t>TBM REBUT 13H09</t>
  </si>
  <si>
    <t>14H37 - 15H10 :CHECK REBUS DU C PAR I BAGRUNNER : BAG NON TROUVE→ VU A 16H16 EN INJECTION AU 2E  - AMMRJ43551</t>
  </si>
  <si>
    <t>AA083020</t>
  </si>
  <si>
    <t>AA0755</t>
  </si>
  <si>
    <t>MC80 13H45</t>
  </si>
  <si>
    <t>15H25  : PRISE EN CHARGE BAGRUNNER POUR RECUP   ET DEPOSE SS BORD - BAG DECHARGE DE SOUTE ET RETOUR LL/ PAX PEUT-  ËTRE ANNULE /J+1 PAS DE DOSSIER CREE</t>
  </si>
  <si>
    <t>AA083019</t>
  </si>
  <si>
    <t>AA0756</t>
  </si>
  <si>
    <t>AF526175</t>
  </si>
  <si>
    <t>AF805</t>
  </si>
  <si>
    <t>07:25</t>
  </si>
  <si>
    <t>TBS</t>
  </si>
  <si>
    <t>18H52: DEMANDE EXTRACTION DU BAG AU PILOTE AF VERS TBC→ 20H50 :  DEMANDE PRISE EN CHARGE  AU SUP GALERIE AU REBUT DU C ET DE  LIVRER S/ BORD</t>
  </si>
  <si>
    <t>AF569881</t>
  </si>
  <si>
    <t>JETEE 112 20H45</t>
  </si>
  <si>
    <t>RRTE DU AF182→ DERNIERE LOC JETEE 112 VERS QSE A 20H45→ VU AC AF :  DEMANDE DE MISE  EN ATTENTE AU QSE → 20H55 : PRISE EN CHARGE BAG RUNNER ET LIVRER S/ BORD A 21H30 SANS SCAN</t>
  </si>
  <si>
    <t>AF569882</t>
  </si>
  <si>
    <t>AF526230</t>
  </si>
  <si>
    <t>JETEE 2C 19H58</t>
  </si>
  <si>
    <t>NON AUTORISE</t>
  </si>
  <si>
    <t>BAG CHARGE EN AKE MAIS NON-AUTORISE→ CTC SUP GALERIE T2 A 21H30→ BAGAGE LIVRE SOUS BORD CAR MIS DE COTE</t>
  </si>
  <si>
    <t>SB731358</t>
  </si>
  <si>
    <t>T2C EJECTION C03 18H44</t>
  </si>
  <si>
    <t>21H00 : APPEL SUP GALERIE T2 POUR VERIFICATION C03 :AUCUN BAG → POSSIBLE  TAGLESS (VALISE BEIGE MARRON) DEPOSE PAR LE MANUT DU VOL AU 2C HF OU CHARGE S/ SCAN /AHL NOUSSB55381-OHDCDGAF41619</t>
  </si>
  <si>
    <t>76 - Found without tag - Tagless</t>
  </si>
  <si>
    <t>SB731360</t>
  </si>
  <si>
    <t>SEULE TRACE AU CHECK 18H41</t>
  </si>
  <si>
    <t>APPEL LEADER SB 21H30 MAIS INJOIGNABLE/POSSIBLE BAGAGE CABINE/J+2  PAS DE DOSSIER OUVERT</t>
  </si>
  <si>
    <t>AF520513</t>
  </si>
  <si>
    <t>AF829</t>
  </si>
  <si>
    <t>06:43</t>
  </si>
  <si>
    <t>TBM NAVETTE 08H19</t>
  </si>
  <si>
    <t>ENVOI BAG RUNNER 09H / NEGATIF/ BAG DECHARGE NAVETTE A 09H11 / APPEL GALERIE T2B POUR VERIF ET ENVOI SOUS BORD</t>
  </si>
  <si>
    <t>AF445804</t>
  </si>
  <si>
    <t>BSM CREA 07H41</t>
  </si>
  <si>
    <t>REQUETEUR NEG/ CHECK SUR BOB PAX PREVU INITIALEMENT SUR LE SK560/06SEP/ ENVOI BAG RUNNER A18 POUR VERIF 09H15/PRIS EN CHARGE ET LIVRE SOUS BORD 09H39</t>
  </si>
  <si>
    <t>AF445890</t>
  </si>
  <si>
    <t>AF499230</t>
  </si>
  <si>
    <t>TBM EJECTION JETEE MC80 10H03</t>
  </si>
  <si>
    <t>APPEL JETEE MC80 / BAG ENVOYE SOUS BORD 10H35</t>
  </si>
  <si>
    <t>LY112720</t>
  </si>
  <si>
    <t>09:32</t>
  </si>
  <si>
    <t>SRTB 2B</t>
  </si>
  <si>
    <t>MAUVAISE LIVRAISON</t>
  </si>
  <si>
    <t>CTC TMB A 10H12  POUR FAIRE LE NECESSAIRE POUR l'INJECTE DANS LE CIRCUIS</t>
  </si>
  <si>
    <t>AF550004</t>
  </si>
  <si>
    <t>AF7401</t>
  </si>
  <si>
    <t>TMB EM80 A 10H56</t>
  </si>
  <si>
    <t>PAS DE MVT DEPUIS</t>
  </si>
  <si>
    <t>DMD BAG RUNNER DE VERIFIER AU TBM BAG INTROUVABLE /PROBABLEMENT TBM NAVETTE SANS SCAN/ REAPARUE EN PISTE A 10H03</t>
  </si>
  <si>
    <t>AF527440</t>
  </si>
  <si>
    <t>AF0023</t>
  </si>
  <si>
    <t>HF 2B</t>
  </si>
  <si>
    <t>13H35 : ENVOI BAGRUNNER HF DU 2B - PRIS EN CHARGE POUR DEPOSE SS BORD</t>
  </si>
  <si>
    <t>SK412950</t>
  </si>
  <si>
    <t>BSM CREA 09H38</t>
  </si>
  <si>
    <t>BAG A MAIN ENREGISTRE EN PORTE / APPEL COORDO INJOIGNABLE 09H45 / J+1 PAS DE DOSSIER OUVERT</t>
  </si>
  <si>
    <t>SK413008</t>
  </si>
  <si>
    <t>BSM CREA 09H39</t>
  </si>
  <si>
    <t>AF545374</t>
  </si>
  <si>
    <t>AF1269</t>
  </si>
  <si>
    <t>09:08</t>
  </si>
  <si>
    <t>PISTE 09H50</t>
  </si>
  <si>
    <t>RRTE DU SK574/APPEL LEADER TMB A 18H47 ET DEMANDE DE FAIRE REETIQUETER LE BAGAGE ET DE L'ENVOYER SUR LE VOL/RAPPEL A 19H42/BAG RETROUVE EN A18/DEMANDE DE LE LIVRER SOUS BORD</t>
  </si>
  <si>
    <t>XH966031</t>
  </si>
  <si>
    <t>BSM CREA 09H48</t>
  </si>
  <si>
    <t>APPEL LEADER TMB 10H15 INJOIGNABLE</t>
  </si>
  <si>
    <t>AF537179</t>
  </si>
  <si>
    <t>AF0267</t>
  </si>
  <si>
    <t>18:48</t>
  </si>
  <si>
    <t>TBM MC80 19H40</t>
  </si>
  <si>
    <t>PRIS EN CHARGE PAR BAGRUNNER ET LIVRE SOUS BORD A 19H51</t>
  </si>
  <si>
    <t>AF537454</t>
  </si>
  <si>
    <t>TBM MC80 19H32</t>
  </si>
  <si>
    <t>KE597021</t>
  </si>
  <si>
    <t>18:26</t>
  </si>
  <si>
    <t>TBM MC80 19H20</t>
  </si>
  <si>
    <t>PRIS EN CHARGE PAR BAGRUNNER ET LIVRE SOUS BORD A 19H53</t>
  </si>
  <si>
    <t>AF582955</t>
  </si>
  <si>
    <t>AF7341</t>
  </si>
  <si>
    <t>18:37</t>
  </si>
  <si>
    <t>TBM MC80 19H15</t>
  </si>
  <si>
    <t>PRIS EN CHARGE PAR BAGRUNNER ET LIVRE SOUS BORD A 19H56</t>
  </si>
  <si>
    <t>AF582956</t>
  </si>
  <si>
    <t>TBM CYNO 19H39</t>
  </si>
  <si>
    <t>APPEL AGENT TBM MC80 A 20H05/ VA LE DEPOSER SOUS BORD EN URGENCE</t>
  </si>
  <si>
    <t>KE598754</t>
  </si>
  <si>
    <t>TBM MC80 19H28</t>
  </si>
  <si>
    <t>LA140367</t>
  </si>
  <si>
    <t>10:37</t>
  </si>
  <si>
    <t>TBM DEPOSE CNX 13H38</t>
  </si>
  <si>
    <t>13H41 : ENVOI BAGRUNNER TBM - BAG NON VU /→ BAG DEJA EN ROUTE AVEC NAVETTE/ 26EJECTION JETEE CORRES 13H41 TROP TRAD PR LE VOL  /CPHSK47761</t>
  </si>
  <si>
    <t>A3826763</t>
  </si>
  <si>
    <t>A30616</t>
  </si>
  <si>
    <t>13:04</t>
  </si>
  <si>
    <t>T2BD ARV CARROUSSEL 13H30</t>
  </si>
  <si>
    <t>LIVRE MAUVAISE ZONE</t>
  </si>
  <si>
    <t>16H12/16H25 : APPEL COMPTOIR SBA 2B  : SANS  REPONSES→ RAPPEL A 18H29: VONT FAIRE LE NECESSAIRE → 19H30: AUCUNE ACTION/ARNSK28595</t>
  </si>
  <si>
    <t>BA616643</t>
  </si>
  <si>
    <t>BA308</t>
  </si>
  <si>
    <t>17:21</t>
  </si>
  <si>
    <t>19H35: CTC SBA→  BAG EN SLB→ DEMANDE INJECTION HF 2C POUR PRISE EN CHARGE→ BAG DESCENDU A 19H42 MAIS INTROUVABLE  PAR BAGRUNNER /BAG VU AU TRI A 19H42 PUIS PERTE DE TRACE /OSLSK61015</t>
  </si>
  <si>
    <t>AF571986</t>
  </si>
  <si>
    <t>AF7367</t>
  </si>
  <si>
    <t>18:14</t>
  </si>
  <si>
    <t>TBM MC80 18H50</t>
  </si>
  <si>
    <t>19H30 APPEL TBM POUR VERIF : NEG → 19H45 : APPEL SUP GALERIE POUR CHECK JETEE : NEG/KUOAY60302/C FO AY1582/AY365/08SEP</t>
  </si>
  <si>
    <t>08/09/2026</t>
  </si>
  <si>
    <t>AT473098</t>
  </si>
  <si>
    <t>2B REC CYNO 06H05</t>
  </si>
  <si>
    <t>APPEL GALERIE POUR VERIF ET INJECTION 06H40 / DEPT VERS PISTE 06H47</t>
  </si>
  <si>
    <t>AT473187</t>
  </si>
  <si>
    <t>BSM CREA 05H58</t>
  </si>
  <si>
    <t>APPEL GALERIE POUR VERIF ET INJECTION 06H52/ NEG / CTC LEADER CKIN 07H30</t>
  </si>
  <si>
    <t>AA093990</t>
  </si>
  <si>
    <t>11:17</t>
  </si>
  <si>
    <t>HF TBM 11H59</t>
  </si>
  <si>
    <t>12H10 PRIS EN CHARGE PAR BAGRUNNER</t>
  </si>
  <si>
    <t>AA093988</t>
  </si>
  <si>
    <t>TBM 12H32</t>
  </si>
  <si>
    <t>PRIS EN CHARGE PAR BAGRUNNER</t>
  </si>
  <si>
    <t>AA093989</t>
  </si>
  <si>
    <t>AA095103</t>
  </si>
  <si>
    <t>TBM 12H33</t>
  </si>
  <si>
    <t>AA093991</t>
  </si>
  <si>
    <t>OS356349</t>
  </si>
  <si>
    <t>OS369</t>
  </si>
  <si>
    <t>07SEP 22:12</t>
  </si>
  <si>
    <t>T1 ARRIVEE 6 22H38</t>
  </si>
  <si>
    <t>APPEL DIRBY POUR INJECTION INJOIGNABLE 06H30/ RELANCE 07H00 / CONFIRMATION 07H12</t>
  </si>
  <si>
    <t>OS356362</t>
  </si>
  <si>
    <t>OS356378</t>
  </si>
  <si>
    <t>TN112729</t>
  </si>
  <si>
    <t>07:41</t>
  </si>
  <si>
    <t>TBM 09H16</t>
  </si>
  <si>
    <t>ENVOI BAG RUNNER 09H17 / PRIS EN CHARGE 09H21 / DEPOSE JETEE 09H34</t>
  </si>
  <si>
    <t>TN112731</t>
  </si>
  <si>
    <t>AC076896</t>
  </si>
  <si>
    <t>VU AVEC AC / VELO / BAG BIEN CHARGER SUR LE VOL D APPORT/ APPEL SBA POUR VERIFIER EN SLB 08H50 NEG/ENVOI BAG RUNNER 09H BAG INTROUVABLE//J+1 PAS DE DOSSIER CHARGE</t>
  </si>
  <si>
    <t>AF609295</t>
  </si>
  <si>
    <t>07:16</t>
  </si>
  <si>
    <t>CHECK BOB / DERNIERE TRACE RAPATRIEMENT A 07H40/ APPEL NAVETTE 09H17 NEG / APPEL GALERIE T1 POUR ENVOI SOUS BORD 10H00</t>
  </si>
  <si>
    <t>AC090941</t>
  </si>
  <si>
    <t>T1 CYNO 09H33</t>
  </si>
  <si>
    <t>APPEL GALERIE T1 POUR ENVOI SOUS BORD 10H00</t>
  </si>
  <si>
    <t>EI131096</t>
  </si>
  <si>
    <t>BSM CREA 18H56</t>
  </si>
  <si>
    <t>APPEL DIRBY POUR INJECTION 09H00 INJOIGNABLE</t>
  </si>
  <si>
    <t>EI236851</t>
  </si>
  <si>
    <t>T1 INJECTION WD4 08H40</t>
  </si>
  <si>
    <t>APPEL GALERIE T1 POUR VERIF 09H30 / BAG INTROUVABLE//J+1  AHL IADEI19405</t>
  </si>
  <si>
    <t>EI236389</t>
  </si>
  <si>
    <t>BSM CREA 07H35</t>
  </si>
  <si>
    <t>BAGS 6KGS PRBL BAG CABINE / APPEL COORDO 10H26 INJOIGNABLE / J+1 STRL PRIS RN CABINE</t>
  </si>
  <si>
    <t>EI236705</t>
  </si>
  <si>
    <t>BSM CREA 08H20</t>
  </si>
  <si>
    <t>BAGS 11KGS PRBL POUSSETTE / APPEL COORDO 10H26 INJOIGNABLE / J+1 HBAG PAS DE DOSSIER</t>
  </si>
  <si>
    <t>FI012906</t>
  </si>
  <si>
    <t>APPEL DIRBY T1 A 16H33 ET DEMANDE DE FAIRE LE NECESSAIRE</t>
  </si>
  <si>
    <t>FI012907</t>
  </si>
  <si>
    <t>AF644353</t>
  </si>
  <si>
    <t>AF7335</t>
  </si>
  <si>
    <t>14:33</t>
  </si>
  <si>
    <t>T1 EJECTION SJ06 16H42</t>
  </si>
  <si>
    <t>APPEL GALERIE T1 A 16H43 ET SIGNALE</t>
  </si>
  <si>
    <t>AF644385</t>
  </si>
  <si>
    <t>FI700670</t>
  </si>
  <si>
    <t>T1 EJECTION SJ06 15H52</t>
  </si>
  <si>
    <t>PAS DE MVT 16H42</t>
  </si>
  <si>
    <t>APPEL GALERIE T1 A 16H43 ET SIGNALE/RAPPEL A 17H10/POSSIBLE BAGAGE TAGLESS PRESENTE SOUS BORD POUR IDENTIFICATION/A VERIFIER</t>
  </si>
  <si>
    <t>FI701231</t>
  </si>
  <si>
    <t>FI701289</t>
  </si>
  <si>
    <t>T1 EJECTION SJ06 16H28</t>
  </si>
  <si>
    <t>FI700785</t>
  </si>
  <si>
    <t>T1 REC CYNO 15H57</t>
  </si>
  <si>
    <t>LY146198</t>
  </si>
  <si>
    <t>14:01</t>
  </si>
  <si>
    <t>T1 REC CYNO 15H46</t>
  </si>
  <si>
    <t>FI700545</t>
  </si>
  <si>
    <t>T1 EJECT CJ90 VERS CYNO 15H47</t>
  </si>
  <si>
    <t>AF537100</t>
  </si>
  <si>
    <t>AF491A</t>
  </si>
  <si>
    <t>07SEP 17:32</t>
  </si>
  <si>
    <t>TMEXY 05H37</t>
  </si>
  <si>
    <t>APPEL TME HF POUR VERIF 06H10/ ENVOI BAG RUNNER 06H20/ RETROUVE AU HF TBM/PRIS EN CHARGE 07H18/LIVRE SOUS BORD 07H21</t>
  </si>
  <si>
    <t>AF537072</t>
  </si>
  <si>
    <t>BSM CREA 05H59</t>
  </si>
  <si>
    <t>PRIS EN CHARGE PAR BAG RUNNER TBM 06H38 / LIVRE SOUS BORD 06H53</t>
  </si>
  <si>
    <t>G3282799</t>
  </si>
  <si>
    <t>DEPART VERS PISTE 20H09</t>
  </si>
  <si>
    <t>TN RENTRE EN AF ISO G3</t>
  </si>
  <si>
    <t>APPEL LEADER GATE JU A 20H14 ET DEMANDE D'ANNULER LE TAG AF282799 ET DE RENTRER LE TAG G3282799 POUR LE PAX/LE BON TAG EN PISTE MAIS EN ATTENTE</t>
  </si>
  <si>
    <t>XH966132</t>
  </si>
  <si>
    <t>T2D EJECTION D02 15H48</t>
  </si>
  <si>
    <t>SCANNE SUR AH ISO JU</t>
  </si>
  <si>
    <t>APPEL SUP GALERIE T2 A 20H05 ET SIGNALE</t>
  </si>
  <si>
    <t>AF608451</t>
  </si>
  <si>
    <t>2D CYNO 20H19</t>
  </si>
  <si>
    <t>HOT/PAS DE MVT</t>
  </si>
  <si>
    <t>APPEL SUP GALE T2 A 20H24 ET SIGNALE</t>
  </si>
  <si>
    <t>LA587540</t>
  </si>
  <si>
    <t>EJECT CARROUSEL 10H20</t>
  </si>
  <si>
    <t>PAS DE TRACE / 12H05 REP ADP CTC BAG BIEN EJECT SUR JETEE / PAS DE SCAN / ENVOIE BAGRUNNER POUR VERIFIER EN GALERIE / NEG / /J+1 PAS DE DOSSIER</t>
  </si>
  <si>
    <t>AF605328</t>
  </si>
  <si>
    <t>AF327</t>
  </si>
  <si>
    <t>05:58</t>
  </si>
  <si>
    <t>MJ20</t>
  </si>
  <si>
    <t>13H35 ENVOIE BAGRUNNER POUR RECUP / DEPOSE JETEE 14H29</t>
  </si>
  <si>
    <t>AF620269</t>
  </si>
  <si>
    <t>08:09</t>
  </si>
  <si>
    <t>TBM EM80 A 09H58</t>
  </si>
  <si>
    <t>ACHEMINEMENT DE BAG TARDIVE  BAG NON CHARGE//J+1 AHL BGOSK63375 FWD SK564/SK2864/09SEP</t>
  </si>
  <si>
    <t>AF620481</t>
  </si>
  <si>
    <t>TBM EM80 A 09H45</t>
  </si>
  <si>
    <t>ACHEMINEMENT DE BAG TARDIVE  BAG NON CHARGE//J+1 AHLALLSK37042 FWD SK564/SK1213/09SEP</t>
  </si>
  <si>
    <t>AF579291</t>
  </si>
  <si>
    <t>AF293</t>
  </si>
  <si>
    <t>REQUETEUR NEG / ENVOI BAG RUNNER 09H / PRIS EN CHARGE 09H47 / LIVRE SOUS BORD 09H57</t>
  </si>
  <si>
    <t>AF628103</t>
  </si>
  <si>
    <t>AF7487</t>
  </si>
  <si>
    <t>08:47</t>
  </si>
  <si>
    <t>TDS3 JETEE 342 10H27</t>
  </si>
  <si>
    <t>APPEL JETEE 342 / ENVOI BAG RUNNER 10H35 / PRIS EN CHARGE 10H56/ LIVRE SOUS BORD 10H56</t>
  </si>
  <si>
    <t>AF626641</t>
  </si>
  <si>
    <t>AF1377</t>
  </si>
  <si>
    <t>09:58</t>
  </si>
  <si>
    <t>TMB JETEE MJ80  10H52</t>
  </si>
  <si>
    <t>ARRVEE TARDIVE SUR JETEE / ENVOI BAG RUNNER 10H55 / PRIS EN CHARGE PAR BAG RUNNER / SOUTE FERME / RETOUR LL//J+1 AHL CPHSK47801 FWD SK564/09SEP</t>
  </si>
  <si>
    <t>AF628081</t>
  </si>
  <si>
    <t>TMB JETEE MJ80  10H53</t>
  </si>
  <si>
    <t>ARRVEE TARDIVE SUR JETEE / ENVOI BAG RUNNER 10H55 / PRIS EN CHARGE PAR BAG RUNNER / SOUTE FERME / RETOUR LL //J+1 AHL CPHSK47799 FWD SK564/09SEP</t>
  </si>
  <si>
    <t>LY140432</t>
  </si>
  <si>
    <t>10:12</t>
  </si>
  <si>
    <t>TMB JETEE MJ80 11H02</t>
  </si>
  <si>
    <t>ARRVEE TARDIVE SUR JETEE / ENVOI BAG RUNNER 10H55 / PRIS EN CHARGE PAR BAG RUNNER / SOUTE FERME / RETOUR LL//J+1AHL JFKSK11845</t>
  </si>
  <si>
    <t>MK635440</t>
  </si>
  <si>
    <t>07:50</t>
  </si>
  <si>
    <t>TBM HORS FORMAT</t>
  </si>
  <si>
    <t>PRISE EN CHARGE PAR BAG RUNNER ET DEPOSE AU JETEE</t>
  </si>
  <si>
    <t>AF628513</t>
  </si>
  <si>
    <t>JETEE 112</t>
  </si>
  <si>
    <t>13H05 ENVOIE BAGRUNNER EN JETEE 112 POUR RECUP ET DEPOSE SOUS BORD</t>
  </si>
  <si>
    <t>AF628514</t>
  </si>
  <si>
    <t>AF611692</t>
  </si>
  <si>
    <t>11:05</t>
  </si>
  <si>
    <t>DEPART VERS PISTE  / EN REFUS ///J+1 AHLCPHSK47806 FWD SK564/09SEP</t>
  </si>
  <si>
    <t>SK458894</t>
  </si>
  <si>
    <t>BSM CREA 11H53 / MODIF 14H01</t>
  </si>
  <si>
    <t>PAS D'INJECT</t>
  </si>
  <si>
    <t>PAS DE TRACE D'INJECT /  PEUT ETRE BAG CABINE / AVERIF//J+1 AHL CPHSK47808</t>
  </si>
  <si>
    <t>KE649915</t>
  </si>
  <si>
    <t>KE901</t>
  </si>
  <si>
    <t>19:05</t>
  </si>
  <si>
    <t>TBM MC80 19H08</t>
  </si>
  <si>
    <t>PRIS EN CHARGE PAR BAGRUNNER ET LIVRE SOUS BORD A 19H39</t>
  </si>
  <si>
    <t>KE649852</t>
  </si>
  <si>
    <t>TBM MC80 19H07</t>
  </si>
  <si>
    <t>AF618780</t>
  </si>
  <si>
    <t>AF0097</t>
  </si>
  <si>
    <t>TBM MC80 18H40</t>
  </si>
  <si>
    <t>AF619177</t>
  </si>
  <si>
    <t>AF0435</t>
  </si>
  <si>
    <t>15:32</t>
  </si>
  <si>
    <t>TBM MC80 18H39</t>
  </si>
  <si>
    <t>G3755958</t>
  </si>
  <si>
    <t>AF0491</t>
  </si>
  <si>
    <t>15:10</t>
  </si>
  <si>
    <t>PRIS EN CHARGE PAR BAGRUNNER ET LIVRE SOUS BORD G 19H39</t>
  </si>
  <si>
    <t>AF619363</t>
  </si>
  <si>
    <t>AF0181</t>
  </si>
  <si>
    <t>19:11</t>
  </si>
  <si>
    <t>PRIS EN CHARGE PAR BAGRUNNER A 20H00 ET LIVRE SOUS BORD A 20H05</t>
  </si>
  <si>
    <t>SK471828</t>
  </si>
  <si>
    <t>JETEE 2B 19H45</t>
  </si>
  <si>
    <t>SCANNE SUR AZ311 ISO SK836</t>
  </si>
  <si>
    <t>APPEL SUP GALERIE T2 A 19H42 ET SIGNALE</t>
  </si>
  <si>
    <t>SK470876</t>
  </si>
  <si>
    <t>SEULE TRACE AU CHECK</t>
  </si>
  <si>
    <t>APPEL LEADER GATE APPEL LEADER GATE SK A 20H20/STRL PRISE A BORD PAR PAX</t>
  </si>
  <si>
    <t>09/09/2026</t>
  </si>
  <si>
    <t>LH406792</t>
  </si>
  <si>
    <t>VL2238/08SEP</t>
  </si>
  <si>
    <t>23:35</t>
  </si>
  <si>
    <t>SLB T1</t>
  </si>
  <si>
    <t>MAUVAISE DECHARGEMENT</t>
  </si>
  <si>
    <t>CTC  DIRBY T1 DEPUIS 06H00 SANS REPONSE A 06H56  A 07H08 POUR DIRBY BAG INTROUVABLE /RETOUVZER A 09H20 TROP TARD POUR LE VOL //J+1 AHL LIMAV30411</t>
  </si>
  <si>
    <t>55 - Online  - own carrier - MCT available</t>
  </si>
  <si>
    <t>LO545185</t>
  </si>
  <si>
    <t>LO333/08SEP</t>
  </si>
  <si>
    <t>22:56</t>
  </si>
  <si>
    <t>A18</t>
  </si>
  <si>
    <t>MAUVAISE ENDROIT</t>
  </si>
  <si>
    <t>PRISE EN CHARGE PAR BAG RUNNER ET DEPOSE  AU TBM EM91</t>
  </si>
  <si>
    <t>LO545649</t>
  </si>
  <si>
    <t>LO545981</t>
  </si>
  <si>
    <t>LO547317</t>
  </si>
  <si>
    <t>LO547492</t>
  </si>
  <si>
    <t>LO547503</t>
  </si>
  <si>
    <t>LO547661</t>
  </si>
  <si>
    <t>LO547856</t>
  </si>
  <si>
    <t>LO547347</t>
  </si>
  <si>
    <t>PAS DE LOC A CDG</t>
  </si>
  <si>
    <t>NEG /BAG RADAR/REQUEUTEUR A 08H00 BAG REAPARIUE A  EN PISTE A 09H30</t>
  </si>
  <si>
    <t>LO547358</t>
  </si>
  <si>
    <t>2721017090</t>
  </si>
  <si>
    <t>T1 GE16 HORS FORMAT /7H16</t>
  </si>
  <si>
    <t>PAS DE MVT A 08H40</t>
  </si>
  <si>
    <t>CTC HORS FORMAT T1 A 08H40 POUR ACTION</t>
  </si>
  <si>
    <t>VN872733</t>
  </si>
  <si>
    <t>VN019</t>
  </si>
  <si>
    <t>06:49</t>
  </si>
  <si>
    <t>TBM NAVETTE A 09H11</t>
  </si>
  <si>
    <t>PERTE DETRACE</t>
  </si>
  <si>
    <t>09H30 : VERIFICATION PHYSIQUE PAR BAG RUNNER 2B GALERIE + PISTE : NEGATIF → PERTE DE TRACE PUIS  LOC AUX ARRIVEES 2A A 11H03 //J+1 AHL CPHSK47826</t>
  </si>
  <si>
    <t>KQ012689</t>
  </si>
  <si>
    <t>KQ0112</t>
  </si>
  <si>
    <t>08:52</t>
  </si>
  <si>
    <t>PAS DE LOC A CDG A 09H47</t>
  </si>
  <si>
    <t>NEG/BAG RADAR/REQUEUTEUR A 09H48BAG NON CHARGE //J+1 AHL GOT SK24924</t>
  </si>
  <si>
    <t>KQ012704</t>
  </si>
  <si>
    <t>KL822622</t>
  </si>
  <si>
    <t>KL1401</t>
  </si>
  <si>
    <t>08:16</t>
  </si>
  <si>
    <t>QSEDLK A 09H42</t>
  </si>
  <si>
    <t>BSM CREATION A 09H42 →BAG LOCALISE AU QSE → TROP TARD POUR LE VOL AU T1  DPT  10H20//J+1 AHL DUBEI29434 FWD AF1016/09SEP</t>
  </si>
  <si>
    <t>KL823133</t>
  </si>
  <si>
    <t>BSM CREATION  A 09H42 →BAG LOCALISE AU QSE → TROP TARD POUR LE VOL AU T1 DPT  10H20//J+1 AHL DUBEI29437</t>
  </si>
  <si>
    <t>AZ284800</t>
  </si>
  <si>
    <t>PAS DE LOC  A CDG A 10H15</t>
  </si>
  <si>
    <t>NEG /BAGRADAR/REQUETEUR//J+1 AHL DUBEI29429 FWD AZ110/09SEP/KL1145/09SEP MISCO FORM FCO</t>
  </si>
  <si>
    <t>EI131206</t>
  </si>
  <si>
    <t>PAS DE LOC DEPUIS CREATION</t>
  </si>
  <si>
    <t>09H50 : CTC DIRBY T1 POUR ACTION</t>
  </si>
  <si>
    <t>EI239729</t>
  </si>
  <si>
    <t>PROBABLEMENT HAND BAG DE 09KG A //J+1 HBAG PAS DE DOSSIER PRIS EN CABINE</t>
  </si>
  <si>
    <t>EI240559</t>
  </si>
  <si>
    <t>PROBABLEMENT HAND BAG DE 05KG //J+1 STRL PAS DE DOSSIER PRIS EN CABINE</t>
  </si>
  <si>
    <t>BR869183</t>
  </si>
  <si>
    <t>BR087</t>
  </si>
  <si>
    <t>07:31</t>
  </si>
  <si>
    <t>PAS  DE LOC A CDG A 08H58</t>
  </si>
  <si>
    <t>NEG /BAG RADAR/REQUEUTEUR A 08H59/ REAPARUE A 09H14</t>
  </si>
  <si>
    <t>AF294655</t>
  </si>
  <si>
    <t>NEG /BAG RADAR /REQUETEUR///J+1 PA SDE DOSSIER</t>
  </si>
  <si>
    <t>AF702894</t>
  </si>
  <si>
    <t>AF7349</t>
  </si>
  <si>
    <t>08:44</t>
  </si>
  <si>
    <t>TDS3 A 10H00</t>
  </si>
  <si>
    <t>10H17 : CTC TDS3 POUR AVERTIR DE LA  PRISE EN CHARGE  PAR BAG RUNNER →  SOUTES FERMEES →  RETOUR LL</t>
  </si>
  <si>
    <t>2EI131249</t>
  </si>
  <si>
    <t>PAS DE TRACE A 10H48</t>
  </si>
  <si>
    <t>10H48 : CTC DIRBY T1 POUR ENVOI RUSH</t>
  </si>
  <si>
    <t>2EI131250</t>
  </si>
  <si>
    <t>2EI121251</t>
  </si>
  <si>
    <t>2EI121252</t>
  </si>
  <si>
    <t>2EI131254</t>
  </si>
  <si>
    <t>AF642806</t>
  </si>
  <si>
    <t>BSM A 10H27</t>
  </si>
  <si>
    <t>NEG /BAG RADAR/REQUETEUR//PAS DE DOSSIER</t>
  </si>
  <si>
    <t>KL823475</t>
  </si>
  <si>
    <t>KL1403</t>
  </si>
  <si>
    <t>QSETRI A 09H44</t>
  </si>
  <si>
    <t>CREATION  BSM A 10H44</t>
  </si>
  <si>
    <t>10H45 : CTC QSE :  BAGS AU KUBE → CTC KUBE : BAGS NON VU //J+1 AHL BRSKL33236 FWD KL1402/KL1079/10SEP</t>
  </si>
  <si>
    <t>KL823509</t>
  </si>
  <si>
    <t>QSETRI A 09H45</t>
  </si>
  <si>
    <t>CREATION BSM A 10H43</t>
  </si>
  <si>
    <t>EI239801</t>
  </si>
  <si>
    <t>JETEE T1 A 07H59</t>
  </si>
  <si>
    <t>REFUS O/B EI521</t>
  </si>
  <si>
    <t>BAG NON VUE SUR EI523 PROBABLEMEN O/B EI521 A//J+1 PAS DE DOSSIER</t>
  </si>
  <si>
    <t>SK490256</t>
  </si>
  <si>
    <t>2B HORS FORMAS A 09H59</t>
  </si>
  <si>
    <t>CTC SUP GALERIE A 11H00 POUR FAIRE LE NECESSAIRE</t>
  </si>
  <si>
    <t>SK489316</t>
  </si>
  <si>
    <t>T2B EJECTION (B02/S) A 09H53</t>
  </si>
  <si>
    <t>PAS DE MVT DEPUIS 09H53</t>
  </si>
  <si>
    <t>BAG RUNNER A VERIFIER PHISIQUEMENT AU T2B BAG INTROUVABLE //J+1 PAS DE DOSSIER CHARGE SS SCAN</t>
  </si>
  <si>
    <t>AC061233</t>
  </si>
  <si>
    <t>07:23</t>
  </si>
  <si>
    <t>13H11 : VU AC FLUX GEH:→ CHAISE OU DEAMBULATEUR QUI SERA SUREMENT PRIS EN PORTE → 13H15: VU AC LEAD AI PR CONFIRMATION PRISE EN CHARGE EN PORTE</t>
  </si>
  <si>
    <t>AC175594</t>
  </si>
  <si>
    <t>12:22</t>
  </si>
  <si>
    <t>REBUS C05</t>
  </si>
  <si>
    <t>13H41 : PRIS EN CHARGE PAR BAG RUNNER ET DEPOSE S/ BORD</t>
  </si>
  <si>
    <t>AC175596</t>
  </si>
  <si>
    <t>AC175597</t>
  </si>
  <si>
    <t>AC181026</t>
  </si>
  <si>
    <t>AC181027</t>
  </si>
  <si>
    <t>AC871</t>
  </si>
  <si>
    <t>LA609152</t>
  </si>
  <si>
    <t>AKE41716LA</t>
  </si>
  <si>
    <t>CHARGE EN CONTENANT MAIS MARQUE EN REFUS CAR CLASSE NON CORRECTE →VU AVEC SUP GALERIE POSSIBLE FORCE AU CHARGEMENT /PAS DE DOSSIER  CHARGE</t>
  </si>
  <si>
    <t>EI131263</t>
  </si>
  <si>
    <t>HF GE16 12H44</t>
  </si>
  <si>
    <t>12H00: CTC DIRBY T1 POUR ACTION  → 12H44 : VU AU HF GE16 12H44 PUIS PERTE DE TRACE → VU AC AGENT HF SUREMENT CHARGE S/ SCAN /</t>
  </si>
  <si>
    <t>AF673463</t>
  </si>
  <si>
    <t>AF191</t>
  </si>
  <si>
    <t>EM91  09H15</t>
  </si>
  <si>
    <t>VU AU TBM EM 91 A 9H15 PUIS PERTE DE TRACE → 13H00 : VERIF PHYSIQUE PAR BAGRUNNER NEG//J+1 PAS DE DOSSIER  PAS DE FWD</t>
  </si>
  <si>
    <t>AF714068</t>
  </si>
  <si>
    <t>11:49</t>
  </si>
  <si>
    <t>TBM HF</t>
  </si>
  <si>
    <t>AF714138</t>
  </si>
  <si>
    <t>EM91 13H32</t>
  </si>
  <si>
    <t>LY174447</t>
  </si>
  <si>
    <t>SAT 1 13H46</t>
  </si>
  <si>
    <t>13H46: ENVOI BAG RUNNER POUR TENTER PRISE EN CHARGE ET DEPOSE S/ BORD :BAG NON TROUVE  /PERTE DE TRACE //J+1 PAS DE DOSSIER PAS DE FWD</t>
  </si>
  <si>
    <t>AF719796</t>
  </si>
  <si>
    <t>AF7307</t>
  </si>
  <si>
    <t>JETEE REBUS</t>
  </si>
  <si>
    <t>15H08 : PRISE EN CHARGE PAR BAG RUNNER + DEPOSE JETEE → CTC LEAD RJ PR AJOUTER TAGS DANS SYSTEMES : ALTEA HS ENREGISTREMENT MANUEL /PAX BIEN A BORD→ CTC GALERIE PR OK CHARGEMENT</t>
  </si>
  <si>
    <t>AF719987</t>
  </si>
  <si>
    <t>AF720258</t>
  </si>
  <si>
    <t>AF720418</t>
  </si>
  <si>
    <t>AF899326</t>
  </si>
  <si>
    <t>EMJC27 13H07</t>
  </si>
  <si>
    <t>14H12: VU ACCHEF DE QUART SUR CAMERA : PAS D'ANOMALIE EN COURS/ BAG BIEN EJECTE DE SON BAC → ENVOI BAG RUNNER SUR PLACE PR CHECK  MJ50 + MJ20 :NEG  → CHECK 2C :NEG</t>
  </si>
  <si>
    <t>RJ370374</t>
  </si>
  <si>
    <t>PRIS EN CHARGE +DEPOSE JETEE/CHARGEMENT MANUEL (BINGO)</t>
  </si>
  <si>
    <t>RJ370454</t>
  </si>
  <si>
    <t>CREW</t>
  </si>
  <si>
    <t>FI712981</t>
  </si>
  <si>
    <t>T1 CYNO 16H46</t>
  </si>
  <si>
    <t>APPEL GALERIE T1 A 16H51 ET SIGNALE</t>
  </si>
  <si>
    <t>WS897465</t>
  </si>
  <si>
    <t>WS010</t>
  </si>
  <si>
    <t>SAT CONNEX 13H46</t>
  </si>
  <si>
    <t>PANNE ALTEA</t>
  </si>
  <si>
    <t>PANNE ALTEA / PROBABLEMENT CHARGE ///J+1 BAG NON CHARGE AU DEPART YYC FWD WS10/08SEP/EI527/09SEP/BA835/09SEPT</t>
  </si>
  <si>
    <t>DL176773</t>
  </si>
  <si>
    <t>AF011</t>
  </si>
  <si>
    <t>13:48</t>
  </si>
  <si>
    <t>CHECK REQUETEUR / BAGRADAR / NEG/BAG MANQUANT SUR LE VOL D'APPORT EN BOB /FWD DL258/09SEP MSP / DUB</t>
  </si>
  <si>
    <t>AC191113</t>
  </si>
  <si>
    <t>AC870/08SEP</t>
  </si>
  <si>
    <t>JETEE 112 A 17H17</t>
  </si>
  <si>
    <t>HOT RRTE</t>
  </si>
  <si>
    <t>RRTE DU AF902/APPEL JETEE 112 A 17H35/BAG TOUJOURS EN JETEE 112/ENVOI BAGRUNNER A 17H41/PRIS EN CHARGE A 17H50 ET LIVRE SOUS BORD A 17H59</t>
  </si>
  <si>
    <t>AC191114</t>
  </si>
  <si>
    <t>RRTE DU AF902/APPEL JETEE 112 A 17H35/NEGATIF/VERIFIE PAR BAGRUNNER AUSSI/NEG/VERIFIE AU QSE/NEG/MEME DERNIERE TRACE JETEE 112 EN BOB //FWD AT789/11SEP/AT507/11SEP</t>
  </si>
  <si>
    <t>DE045753</t>
  </si>
  <si>
    <t>BSM  MODIFIEE 16H40</t>
  </si>
  <si>
    <t>AUCUNE TRACE EN BAGRADAR ET REQUETEUR//PAS DE DOSSIER /SUREMENT CHARGE  A J+1  PAS DE FWD</t>
  </si>
  <si>
    <t>DE045758</t>
  </si>
  <si>
    <t>SEULE TRACE AU CHECK IN</t>
  </si>
  <si>
    <t>BSM MODIFIEE 16H40</t>
  </si>
  <si>
    <t>DE045760</t>
  </si>
  <si>
    <t>BSM MODIFIEE 16H35</t>
  </si>
  <si>
    <t>DE045785</t>
  </si>
  <si>
    <t>DE045786</t>
  </si>
  <si>
    <t>AI929068</t>
  </si>
  <si>
    <t>JETEE 2C</t>
  </si>
  <si>
    <t>REFUS/BAGAGE INACTIF</t>
  </si>
  <si>
    <t>APPEL LEADER AI A 19H16 ET DEMANDE D'ACTIVER LE TAG</t>
  </si>
  <si>
    <t>AI929188</t>
  </si>
  <si>
    <t>AI929234</t>
  </si>
  <si>
    <t>AI929263</t>
  </si>
  <si>
    <t>AI929308</t>
  </si>
  <si>
    <t>AI929309</t>
  </si>
  <si>
    <t>AI929351</t>
  </si>
  <si>
    <t>AF728361</t>
  </si>
  <si>
    <t>AF1687</t>
  </si>
  <si>
    <t>T2C EJECTION REBUT C05 19H11</t>
  </si>
  <si>
    <t>APPEL SUP GALERIE T2 A 19H38 ET SIGNALE</t>
  </si>
  <si>
    <t>SB732610</t>
  </si>
  <si>
    <t>T2C EJECTION REBUT C05 19H34</t>
  </si>
  <si>
    <t>AF694800</t>
  </si>
  <si>
    <t>AF0019</t>
  </si>
  <si>
    <t>16:18</t>
  </si>
  <si>
    <t>T2C EJECTION REBUT C05 17H12</t>
  </si>
  <si>
    <t>APPEL SUP GALERIE T2 A 19H38 ET SIGNALE / BAG INTROUVABLE//J+1 AHL DELAI26811 //CTC TMB LL BAG PAS EN GALERIE//BAG FOUND LHR FWD AI2016/10SEP</t>
  </si>
  <si>
    <t>35 - Sorting or loading error - wrong container / wrong compartment / behind cargo</t>
  </si>
  <si>
    <t>AF731182</t>
  </si>
  <si>
    <t>T2C INJECTION DEPUIS 18H42</t>
  </si>
  <si>
    <t>AF678911</t>
  </si>
  <si>
    <t>AF0874</t>
  </si>
  <si>
    <t>M80 18H38</t>
  </si>
  <si>
    <t>19H35 PRIS EN CHARGE PAR BAGRUNNER ET DEPOSE SUR JETEE</t>
  </si>
  <si>
    <t>G3284408</t>
  </si>
  <si>
    <t>14:26</t>
  </si>
  <si>
    <t>AF690014</t>
  </si>
  <si>
    <t>AF443</t>
  </si>
  <si>
    <t>AF691384</t>
  </si>
  <si>
    <t>AF557</t>
  </si>
  <si>
    <t>15:22</t>
  </si>
  <si>
    <t>AF691403</t>
  </si>
  <si>
    <t>AF691568</t>
  </si>
  <si>
    <t>M80 18H40</t>
  </si>
  <si>
    <t>AF715436</t>
  </si>
  <si>
    <t>AF1897</t>
  </si>
  <si>
    <t>14:21</t>
  </si>
  <si>
    <t>M80 18H46</t>
  </si>
  <si>
    <t>AF715450</t>
  </si>
  <si>
    <t>M80 18H47</t>
  </si>
  <si>
    <t>AF715460</t>
  </si>
  <si>
    <t>M80 18H48</t>
  </si>
  <si>
    <t>AF715492</t>
  </si>
  <si>
    <t>M80 18H49</t>
  </si>
  <si>
    <t>AF715512</t>
  </si>
  <si>
    <t>M80 18H50</t>
  </si>
  <si>
    <t>AT508346</t>
  </si>
  <si>
    <t>AUCUNE TRACE D'INJECTION / APPEL GALERIE POUR VERIFICATION / NEG//PAS DE DOSSIER //PANNE ALTEA //CTC LLTMB  PAS DE BAGS EN GALERIE</t>
  </si>
  <si>
    <t>AT508359</t>
  </si>
  <si>
    <t>AT508575</t>
  </si>
  <si>
    <t>AT509511</t>
  </si>
  <si>
    <t>AT509515</t>
  </si>
  <si>
    <t>AT509524</t>
  </si>
  <si>
    <t>AT509540</t>
  </si>
  <si>
    <t>AT509570</t>
  </si>
  <si>
    <t>AT508509</t>
  </si>
  <si>
    <t>PISTE 18H17</t>
  </si>
  <si>
    <t>NOTE CHARGE MAIS APPARAIT EN MANQUANT / PAS DE DOSSIER</t>
  </si>
  <si>
    <t>AF714270</t>
  </si>
  <si>
    <t>AF1175</t>
  </si>
  <si>
    <t>TME 21H16</t>
  </si>
  <si>
    <t>RRTE DU KE902/20H25 ENVOIE BAGRUNNER POUR RECUP/NEG/VERIFIE AU QSE A 21H30/NEG//J+1 AHL BKKSB10156 FWD AF1640/10SEPT/KL843/10SEP</t>
  </si>
  <si>
    <t>AF714271</t>
  </si>
  <si>
    <t>TME21H16</t>
  </si>
  <si>
    <t>RRTE DU KE902/20H25 ENVOIE BAGRUNNER POUR RECUP/NEG/VERIFIE AU QSE A 21H30/NEG//J+1 AHL BKKSB10155 FWD AF1640/10SEPT/KL843/10SEP</t>
  </si>
  <si>
    <t>AF732666</t>
  </si>
  <si>
    <t>AF1259</t>
  </si>
  <si>
    <t>18:44</t>
  </si>
  <si>
    <t>JETEE 113 20H04</t>
  </si>
  <si>
    <t>APPEL JETEE 113 A 20H40/NEG/BAG SCANNE EN JETTEE 112 A 20H58/ENVOI BAGRUNNER A 21H09/PRIS EN CHARGE ET LIVRE SOUS BORD A 21H16</t>
  </si>
  <si>
    <t>KE690989</t>
  </si>
  <si>
    <t>18:55</t>
  </si>
  <si>
    <t>TBM MC80 19H41</t>
  </si>
  <si>
    <t>PRIS EN CHARGE PAR BAGRUNNER A 19H55 ET LIVRE SOUS BORD A 20H53</t>
  </si>
  <si>
    <t>KE690955</t>
  </si>
  <si>
    <t>TBM MC80 19H42</t>
  </si>
  <si>
    <t>AF733949</t>
  </si>
  <si>
    <t>TBM MC80 19H36</t>
  </si>
  <si>
    <t>AF732671</t>
  </si>
  <si>
    <t>TBM MC80  19H35</t>
  </si>
  <si>
    <t>AF691431</t>
  </si>
  <si>
    <t>AF0557</t>
  </si>
  <si>
    <t>TBM MC80 18H38</t>
  </si>
  <si>
    <t>PRIS EN CHARGE PAR BAGRUNNER A 19H35 ET DEPOSE SUR LA JETEE DEPART A 19H48</t>
  </si>
  <si>
    <t>AF689994</t>
  </si>
  <si>
    <t>TBM MC80 18H37</t>
  </si>
  <si>
    <t>SB732710</t>
  </si>
  <si>
    <t>CARROUSEL C3</t>
  </si>
  <si>
    <t>EJECTION CARROUSEL C3 A 20H00 PAS DE SCAN / PEUT ETRE CHARGE SANS SCAN //J+1 AHL NOUSB55384</t>
  </si>
  <si>
    <t>EI243767</t>
  </si>
  <si>
    <t>WJ34 21H11</t>
  </si>
  <si>
    <t>21H50 APPEL GALERIE T1 POUR CHECK</t>
  </si>
  <si>
    <t>EI243770</t>
  </si>
  <si>
    <t>WJ34 21H12</t>
  </si>
  <si>
    <t>10/09/2026</t>
  </si>
  <si>
    <t>AC280878</t>
  </si>
  <si>
    <t>AC0870</t>
  </si>
  <si>
    <t>11H32 : VU AVEC GEH - BAG NON CHARGE AU DEPART DE YUL //J+1 AHL DELAI26837 FWD AC870/10SEP/AI148/11SEP/AI817/12SEP</t>
  </si>
  <si>
    <t>AT521300</t>
  </si>
  <si>
    <t>ENVOI BAG RUNNER 07H40 POPUR VERIF SUR JETEE DEPART CAR PAS DE MVMT / FINALEMENT BIEN ENVOYE SS BORD ET SCANNE</t>
  </si>
  <si>
    <t>AT1611</t>
  </si>
  <si>
    <t>AT524926</t>
  </si>
  <si>
    <t>5KGS - POSSIBLE BAG CABINE PRIS DANS L AVION //J+1 PAS DE DOSSIER HBAG</t>
  </si>
  <si>
    <t>AT525445</t>
  </si>
  <si>
    <t>12H22 : APPEL LEAD AT - PAX BIEN EMBARQUE - PAS DE SOUVENIRS QU IL Y AIT EU UN PB AVEC LE BAG ET LA  PAX //J+1 PAS DE DOSSIER</t>
  </si>
  <si>
    <t>AT514485</t>
  </si>
  <si>
    <t>AUCUN TRACE D'INJECTION</t>
  </si>
  <si>
    <t>VERIFICATION EN GALERIE PAR BAG RUNNER / NEG //J+1 PAS DE DOSSIER</t>
  </si>
  <si>
    <t>AT514519</t>
  </si>
  <si>
    <t>AT514785</t>
  </si>
  <si>
    <t>AT531375</t>
  </si>
  <si>
    <t>AF758531</t>
  </si>
  <si>
    <t>12:04</t>
  </si>
  <si>
    <t>12H37 : RECHERCHE BOB - PAS DE TRACE / ENTREE TRIEUR A 12H45 - PRISE EN CHARGE TARDIVE //J+1 DUBEI29591</t>
  </si>
  <si>
    <t>AF758496</t>
  </si>
  <si>
    <t>AF758354</t>
  </si>
  <si>
    <t>LY202989</t>
  </si>
  <si>
    <t>09:51</t>
  </si>
  <si>
    <t>12H09 : RECHERCHE REQUETEUR - LOCALISE LIGNE REBUT A 10H33 - ENVOI BAGRUNNER AU REBUT DU 2B PUIS TBM MC80 - BAG NON TROUVE -//J+1  DUBEI29588</t>
  </si>
  <si>
    <t>EI246186</t>
  </si>
  <si>
    <t>12H32 : NEG DANS TOUS SYSTÈMES - APPEL LEAD - BAG BIEN ENREGISTRE - J+1  AHL IADEI19410</t>
  </si>
  <si>
    <t>XH762197</t>
  </si>
  <si>
    <t>12:02</t>
  </si>
  <si>
    <t>13H35 : BAG SUREMENT MAL ENREGISTRE - TAG REEL AF762197 - APPEL GALERIE T1  POUR RECUP BAG - BAG SCANNE REBUT 14H11 //J+1 PAS DE DOSSIER</t>
  </si>
  <si>
    <t>LY206703</t>
  </si>
  <si>
    <t>NON NOTIFIE TS SYST</t>
  </si>
  <si>
    <t>15H05 : REQUETEUR / LOCALISE QSE - ENVOI BAGRUNNER AU QSE POUR RECUP BAG ET DEPOSE NAVETTE T1 - PRIS EN CHARGE A 15H06 - DEPOSE 15H09 / GALERIE T1 AVERTIE</t>
  </si>
  <si>
    <t>LY206714</t>
  </si>
  <si>
    <t>LY205597</t>
  </si>
  <si>
    <t>15H53 : ATT / ENREGISTREMENT TARDIF - REQUETEUR / BAG LOCALISE QSE - ENVOI BAGRUNNER - PRIS EN CHARGE A 15H57 - LIVRE SS BORD A 16H08</t>
  </si>
  <si>
    <t>LY206814</t>
  </si>
  <si>
    <t>TBM CYNO 15H14</t>
  </si>
  <si>
    <t>16H15 : ATT / ENREGISTREMENT TARDIF A 16H09 - REQUETEUR / BAG LOCALISE AU QSE 15H29 - PRIS EN CHARGE A 16H29 - LIVRE SS BORD 16H37</t>
  </si>
  <si>
    <t>EI246515</t>
  </si>
  <si>
    <t>BSM CREA 14H19</t>
  </si>
  <si>
    <t>POTENTIEL BAG A MAIN / A VERIF//J+1 PAS DE DOSSIER POUSSETTE PRIS EN PORTE</t>
  </si>
  <si>
    <t>EI246623</t>
  </si>
  <si>
    <t>BSM CREA14H41</t>
  </si>
  <si>
    <t>POTENTIEL BAG A MAIN / A VERIF//J+1 PAS DE DOSSIER HBAG  PRIS EN PORTE</t>
  </si>
  <si>
    <t>SK544076</t>
  </si>
  <si>
    <t>INJECT T1 21H57//11SEP T1 ARR</t>
  </si>
  <si>
    <t>CYNO TBM 20H52 / ARRIVE SAT 1 A 21H46 TROP TARD POUR CHARGEMENT//J+1 PAS DE DOSSIER BAG AUX ARR T1</t>
  </si>
  <si>
    <t>EK829484</t>
  </si>
  <si>
    <t>EK0071</t>
  </si>
  <si>
    <t>T1 EJECTION</t>
  </si>
  <si>
    <t>13H28 : APPEL GALERIE T1 POUR RECU¨BAG EN WJ41 - OK LE NECESSAIRE SERA FAIT //J+1 AHL KEFFI16991</t>
  </si>
  <si>
    <t>LY204300</t>
  </si>
  <si>
    <t>TBM TRI</t>
  </si>
  <si>
    <t>13H10 : ENVOI BAGRUNNER TBM - BAG NON TROUVE DÉJÀ PARTI NAVETTE T1 - ARV TARDIVE T1//J+1  AHL KEFFI16990</t>
  </si>
  <si>
    <t>LY204308</t>
  </si>
  <si>
    <t>EK887804</t>
  </si>
  <si>
    <t>15H45 : REQUETEUR / LOCALISE QSE - ENVOI BAGRUNNER AU QSE POUR RECUP ET DEPOSE NAVETTE T1 - PRIS EN CHARGE A 15H51</t>
  </si>
  <si>
    <t>EK887693</t>
  </si>
  <si>
    <t>15H45 : REQUETEUR / LOCALISE QSE - ENVOI BAGRUNNER AU QSE POUR RECUP ET DEPOSE NAVETTE T1 - PRIS EN CHARGE A 15H52</t>
  </si>
  <si>
    <t>AF755469</t>
  </si>
  <si>
    <t>AF159</t>
  </si>
  <si>
    <t>09:01</t>
  </si>
  <si>
    <t>TBM NAVETTE</t>
  </si>
  <si>
    <t>SHORT CONX</t>
  </si>
  <si>
    <t>X 2 BAGS RECU AU TBM A 10H05 / VOL LEGEREMENT EN RETARD / POSSIBLE CHARGE SANS SCAN A VERIFIER //J+1 AHL TIVJU23853 FWD JU241/JU682/11SEP</t>
  </si>
  <si>
    <t>AF755471</t>
  </si>
  <si>
    <t>LA537112</t>
  </si>
  <si>
    <t>JETEE 2A</t>
  </si>
  <si>
    <t>BAG INACTIF</t>
  </si>
  <si>
    <t>11H48 : APPEL LEAD LA POUR REACTIVATION BAG - BAG ACTIF DE LEUR COTE - CHEF GALERIE AVERTI</t>
  </si>
  <si>
    <t>LA537113</t>
  </si>
  <si>
    <t>11H48 : APPEL LEAD LA - BAG ENREGISTRE DEPOSE A L ENREGISTREMENT - BAG ENREGISTRE DEUX FOIS - OK CHARGEMENT</t>
  </si>
  <si>
    <t>LO334</t>
  </si>
  <si>
    <t>AF693008</t>
  </si>
  <si>
    <t>AF253/09SEP</t>
  </si>
  <si>
    <t>17:42</t>
  </si>
  <si>
    <t>TMB A18</t>
  </si>
  <si>
    <t>RRTED BAGS FROM LO336/09SEP /TMB CONTACTE 07H23 / 8 BAGS SUR 9 LOCALISE EN A18 / ENVOI BAG RUNNER POUR RECUP ET ENVOI SS BORD //J+1 AHL WAWLO69207 FWD LO336/10SEP</t>
  </si>
  <si>
    <t>AF693040</t>
  </si>
  <si>
    <t>AF693377</t>
  </si>
  <si>
    <t>RRTED BAGS FROM LO336/09SEP /TMB CONTACTE 07H23 / 8 BAGS SUR 9 LOCALISE EN A18 / ENVOI BAG RUNNER POUR RECUP ET ENVOI SS BORD //J+1 AHL WAWLO69205  FWD LO336/10SEP</t>
  </si>
  <si>
    <t>AF693393</t>
  </si>
  <si>
    <t>AF693404</t>
  </si>
  <si>
    <t>AF693438</t>
  </si>
  <si>
    <t>AF693466</t>
  </si>
  <si>
    <t>AF693488</t>
  </si>
  <si>
    <t>AF693501</t>
  </si>
  <si>
    <t>LO336</t>
  </si>
  <si>
    <t>19:45</t>
  </si>
  <si>
    <t>XH967662</t>
  </si>
  <si>
    <t>18H45 APPEL TMB POUR ENVOIE</t>
  </si>
  <si>
    <t>KL904472</t>
  </si>
  <si>
    <t>09:36</t>
  </si>
  <si>
    <t>PERTE DE TRACE A 10H46 DEPOSE HF TBM / VISIONNAGE DES CAMERAS EFFECTUE /ALL CHECK DONE BY BAG RUNNER / HORS FORMAT NON LOCALISE//J+1 KULMH95732 FWD MH21/11SEP</t>
  </si>
  <si>
    <t>XH966257</t>
  </si>
  <si>
    <t>REBUT 2C C005</t>
  </si>
  <si>
    <t>14H40 : ENVOI BAGRUNNER - PRIS ENCHARGE DU BAG A 14H43 POUR DEPOSE JETEE 14H48</t>
  </si>
  <si>
    <t>11/09/2026</t>
  </si>
  <si>
    <t>AC351996</t>
  </si>
  <si>
    <t>11H37 : VU AVEC GEH - BAG NON CHARGE AU DEPART YYZ O/B AC42/11SEP</t>
  </si>
  <si>
    <t>DL658630</t>
  </si>
  <si>
    <t>KUBE 19H57</t>
  </si>
  <si>
    <t>ENVOIE BAGRUNNER POUR RECUP ET DEPOSE JETEE</t>
  </si>
  <si>
    <t>LO606922</t>
  </si>
  <si>
    <t>ARRIVEES 2D 19H30</t>
  </si>
  <si>
    <t>19H35 APPEL TMB POUR REINJECTION / HF D 20H05 ENVOIE BAGRUNNER</t>
  </si>
  <si>
    <t>DL306290</t>
  </si>
  <si>
    <t>RUSH BAG</t>
  </si>
  <si>
    <t>JETEE 2B</t>
  </si>
  <si>
    <t>RUSH BAG DONE BY AF / CHECK DONE PAR BAG RUNNER RIEN EN JETEE 2B/ AHLCMNAT65606 O/B AT779/11SEP</t>
  </si>
  <si>
    <t>31 - Sorting or loading error - wrong aircraft</t>
  </si>
  <si>
    <t>XH966336</t>
  </si>
  <si>
    <t>11H57 : APPEL TMB - BAG SERA MIS DANS LE SYSTÈME</t>
  </si>
  <si>
    <t>AT550644</t>
  </si>
  <si>
    <t>5KGS - POSSIBLE BAG CABINE SUREMENT PRIS DANS L AVION - PAS DE DOSSIER OUVERT A J+1</t>
  </si>
  <si>
    <t>AT539497</t>
  </si>
  <si>
    <t>2 BSM CREES / 17H59  PUIS 18H28 MAIS AUCUN INJECT / BAG 17KG / PAX INAD OHDCDGAT37017 - AHLDSSAT23233</t>
  </si>
  <si>
    <t>TN115739</t>
  </si>
  <si>
    <t>TBM MJ92</t>
  </si>
  <si>
    <t>PRIS EN CHARGE PAR BAG RUNNER EN MJ92 POUR DEPOSE T3 09H35</t>
  </si>
  <si>
    <t>DE664406</t>
  </si>
  <si>
    <t>T3 TRI</t>
  </si>
  <si>
    <t>X3 BAGS LATE CHECK IN  -APPEL GAL T3 PAR PRECAUTION / RETOUR STIPULANT QUE PLUS DE BAGS RESTANTS SUR TAPIS DEPART - AHLFCODE10824 O/B DE4264/DE4419/12SEP</t>
  </si>
  <si>
    <t>DE664521</t>
  </si>
  <si>
    <t>X3 BAGS LATE CHECK IN  -APPEL GAL T3 PAR PRECAUTION / RETOUR STIPULANT QUE PLUS DE BAGS RESTANTS SUR TAPIS DEPART - O/B DE4214/DE4105/12SEP</t>
  </si>
  <si>
    <t>DE664383</t>
  </si>
  <si>
    <t>X3 BAGS LATE CHECK IN  -APPEL GAL T3 PAR PRECAUTION / RETOUR STIPULANT QUE PLUS DE BAGS RESTANTS SUR TAPIS DEPART - AHLFCODE10824 O/BDE4264/DE4419/12SEP</t>
  </si>
  <si>
    <t>UL540907</t>
  </si>
  <si>
    <t>UL0501</t>
  </si>
  <si>
    <t>11:30</t>
  </si>
  <si>
    <t>13H39 : ENVOI BAGRUNNER POUR RECUP ET DEPOSE T3 - PRIS EN CHARGE A 13H43 -</t>
  </si>
  <si>
    <t>UL540909</t>
  </si>
  <si>
    <t>UL540911</t>
  </si>
  <si>
    <t>WS452024</t>
  </si>
  <si>
    <t>MH787808</t>
  </si>
  <si>
    <t>WJ41 T1</t>
  </si>
  <si>
    <t>LATE DEPOSE</t>
  </si>
  <si>
    <t>ENVOI BAG RUNNER POUR RECUP RAPIDE EN MJ91 MAIS BAG DÉJÀ PRIS EN CHARGE PAR NAVETTE 10H02/ FINALEMENT TOMBE EN WJ41 A 10H35/ PUIS LOCALISE AU REBUT A 12H58 - AHLDUBEI29664 PAS DE RUSH PREVU A J+1</t>
  </si>
  <si>
    <t>AF839270</t>
  </si>
  <si>
    <t>AF0511</t>
  </si>
  <si>
    <t>SAT1</t>
  </si>
  <si>
    <t>12H42: APPEL SAMSIC T1 - BAG SERA DEPOSE SS BORD DES RECUPERATION- ARRIVE SAT1 A 12H39 RETROUVE AU REBUT A 19H47 - AHLDUBEI29694 PAS DE RUH PREVU A J+1</t>
  </si>
  <si>
    <t>EI131711</t>
  </si>
  <si>
    <t>20H45 APPEL DIRBY T1 POUR INJECTION - AHLDUBEI29654 PAS DE RUSH PREVU A J+1</t>
  </si>
  <si>
    <t>EI250764</t>
  </si>
  <si>
    <t>BAG 5 KG POTENTIEL BAG CABINE / PAS DE DOSSIER OUVERT A J+1</t>
  </si>
  <si>
    <t>FI729030</t>
  </si>
  <si>
    <t>HX1 T1</t>
  </si>
  <si>
    <t>PAS DE MVMT / APPEL HORS FORMAT PAR PRECAUTION 06H37 / PRIS EN CHARGE ET SCANNE PAR LA SUITE</t>
  </si>
  <si>
    <t>FI729032</t>
  </si>
  <si>
    <t>AZ342298</t>
  </si>
  <si>
    <t>AZ0316</t>
  </si>
  <si>
    <t>11:03</t>
  </si>
  <si>
    <t>T2BD TAPIS 6</t>
  </si>
  <si>
    <t>12H00 : APPEL SBA 2B - BAG PAS ENCORE VU MAIS SERA RECUPERE POUR ETRE REDESCENDU DANS LE SYSTÈME - AHLKEFFI17038 PAS DE RUSH PREVU A J+1</t>
  </si>
  <si>
    <t>AZ342324</t>
  </si>
  <si>
    <t>AF871941</t>
  </si>
  <si>
    <t>AF7303</t>
  </si>
  <si>
    <t>11:14</t>
  </si>
  <si>
    <t>CHEMINEMENT LONG</t>
  </si>
  <si>
    <t>12H58 : ENVOI BAGRUNNER SE POSTER AU TBM POUR RECUP BAG ET DEPOSE SS BORD - BAG NON RECU</t>
  </si>
  <si>
    <t>AF872149</t>
  </si>
  <si>
    <t>AF871984</t>
  </si>
  <si>
    <t>AF872022</t>
  </si>
  <si>
    <t>12H58 : ENVOI BAGRUNNER SE POSTER AU TBM POUR RECUP BAG ET DEPOSE SS BORD - BAG NON RECU - PAS DE DOSSIER OUVERT A J+1</t>
  </si>
  <si>
    <t>AF842219</t>
  </si>
  <si>
    <t>15:19</t>
  </si>
  <si>
    <t>EJECT T1 16H53</t>
  </si>
  <si>
    <t>ARRIVEE TARDIVE AU CONNEX DU T1 / TROP TARD POUR CHARGEMENT - AHLKEFFI17040 PAS DE RUSH PREVU A J+1</t>
  </si>
  <si>
    <t>AF842236</t>
  </si>
  <si>
    <t>EJECT T1 16H52</t>
  </si>
  <si>
    <t>LY233620</t>
  </si>
  <si>
    <t>13:53</t>
  </si>
  <si>
    <t>EJECT T1 16H51</t>
  </si>
  <si>
    <t>ARRIVEE TARDIVE AU CONNEX DU T1 / TROP TARD POUR CHARGEMENT - AHLKEFFI17042 PAS DE RUSH PREVU A J+1</t>
  </si>
  <si>
    <t>BA149720</t>
  </si>
  <si>
    <t>BA300</t>
  </si>
  <si>
    <t>NEG REQUETEUR + BAG RADAR NOT SEEN AT CDG X 2 BAGS - AHLPERMH31489 PAS DE RUSH PREVU A J+1</t>
  </si>
  <si>
    <t>BA149863</t>
  </si>
  <si>
    <t>NEG REQUETEUR + BAG RADAR NOT SEEN AT CDG X 2 BAGS - AHLPERMH31492 PAS DE RUSH PREVU A J+1</t>
  </si>
  <si>
    <t>12/09/2026</t>
  </si>
  <si>
    <t>XH966395</t>
  </si>
  <si>
    <t>PAS D EMVT</t>
  </si>
  <si>
    <t>APPEL LEADER TMB 11H30</t>
  </si>
  <si>
    <t>AI657255</t>
  </si>
  <si>
    <t>BSM CREA 10H12</t>
  </si>
  <si>
    <t>APPEL GALERIE 11H45 INJOIGNABLE / ENVOI BAG RUNNER / RETROUVER REBUT C05 / PRIS EN CHARGE 12H05/ LIVRE SOUS BORD 12H17</t>
  </si>
  <si>
    <t>AT581726</t>
  </si>
  <si>
    <t>SEULE TRACE AU CHECK A 14H39</t>
  </si>
  <si>
    <t>BSM 14H40</t>
  </si>
  <si>
    <t>APPEL LEAD AT A 17H40/PLUS AUCUN BAG AU CHECK/APPEL BAGO HF AU CHECK A 17H44/VA VERIF/NEG/RAPPEL LEAD AT 17H50/WCMP/DEMANDE COORDO DE SCANNER</t>
  </si>
  <si>
    <t>AT582708</t>
  </si>
  <si>
    <t>SEULE TRACE AU CHECK A 15H09</t>
  </si>
  <si>
    <t>BSM 15H09</t>
  </si>
  <si>
    <t>APPEL LEADER AT A 17H40/PLUS AUCUN BAG AU CHECK/APPEL BAGO HF AU CHECK A 17H44/NEG/RAPPEL LEAD AT 17H50/TAGLESS A RETAGUER S/BORD</t>
  </si>
  <si>
    <t>AT586454</t>
  </si>
  <si>
    <t>AUCUNE TRACE 17H40</t>
  </si>
  <si>
    <t>BSM 17H24</t>
  </si>
  <si>
    <t>APPEL LEADER AT A 17H40/PLUS AUCUN BAG AU CHECK/APPEL BAGO HF AU CHECK A 17H44/VA VERIFIER/DESCENDU A 17H48/APPEL SUP GAL T2 A 17H49 ET SIGNALE</t>
  </si>
  <si>
    <t>LO610886</t>
  </si>
  <si>
    <t>22:43/11SEP</t>
  </si>
  <si>
    <t>06H32 : APPEL TMB SANS REPONSE - BAG RETROUVE EN A18 PAR BAGRUNNER - 06H44 : PRISE EN CHARGE POUR DEPOSE NAVETTE T1</t>
  </si>
  <si>
    <t>TN116557</t>
  </si>
  <si>
    <t>TN0008</t>
  </si>
  <si>
    <t>10H12 : ENVOI BAGRUNNER EN EM92 - PRIS EN CHARGE A 10H24 POUR DEPOSE SS BORD A 10H36</t>
  </si>
  <si>
    <t>WS454294</t>
  </si>
  <si>
    <t>TBM EJECTION JETEE MJ92 12H45</t>
  </si>
  <si>
    <t>ENVOI BAG RUNNER 13H15 / PRIS EN CHARGE 13H33  DEPOSE SUR JETEE DEPART 14H06</t>
  </si>
  <si>
    <t>WS454296</t>
  </si>
  <si>
    <t>ENVOI BAG RUNNER 13H15 / PRIS EN CHARGE 13H32 / DEPOSE DUR JETEE DEPART 14H06</t>
  </si>
  <si>
    <t>WS454308</t>
  </si>
  <si>
    <t>ENVOI BAG RUNNER 13H15 / PRIS EN CHARGE 13H32 / DEPOSE DUR JETEE DEPART 14H05</t>
  </si>
  <si>
    <t>WS454309</t>
  </si>
  <si>
    <t>DE021959</t>
  </si>
  <si>
    <t>BSM CREA 16H12 11/09</t>
  </si>
  <si>
    <t>APPEL DIRBY POUR VERIF ET INJECTION / INJOIGNABLE 15H30/RAPPEL A 16H45 MAIS TOUJOURS INJOIGNABLE - PAS DE RUSH PREVU A J+1</t>
  </si>
  <si>
    <t>SQ503462</t>
  </si>
  <si>
    <t>SQ336</t>
  </si>
  <si>
    <t>09H17 : NEG TOUS SYSTEMES - 09H23 : APPEL DIRBY SANS REPONSE POUR SAVOIR SI BAG SE TROUVE EN SLB OU GALERIE - PAS DE REPONSE - BAG JAMAIS ARRIVE A CDG - AHLDUBEI29770 O/B SQ338/12SEP/EI521/13SEP</t>
  </si>
  <si>
    <t>SQ503566</t>
  </si>
  <si>
    <t>09H17 : NEG TOUS SYSTEMES - 09H23 : APPEL DIRBY SANS REPONSE POUR SAVOIR SI BAG SE TROUVE EN SLB OU GALERIE - PAS DE REPONSE - BAG JAMAI ARRIVE A CDG - AHLDUBEI29770 O/B SQ338/12SEP/EI521/13SEP</t>
  </si>
  <si>
    <t>SQ503570</t>
  </si>
  <si>
    <t>SQ503863</t>
  </si>
  <si>
    <t>EI252040</t>
  </si>
  <si>
    <t>T1 CYNO</t>
  </si>
  <si>
    <t>09H57 : APPEL GALERIE T1 - BAG SERA RECUP A LA CYNO POUR DEPOSE SS BORD - AHLDUBEI29766 O/B EI523/13SEP</t>
  </si>
  <si>
    <t>EI252381</t>
  </si>
  <si>
    <t>APPEL GALERIE T1 10H20 NEG / APPEL COORDO POUR VERIF SI BAG EN PORTE 10H52 NEG / APPEL LEADER 11H POSSIBLE DOUBLONS DE TAG - PAS DE DOSSIER OUVERT A J+1</t>
  </si>
  <si>
    <t>WS454164</t>
  </si>
  <si>
    <t>JETEE T1 16H32</t>
  </si>
  <si>
    <t>REFUS/TN RENTRE EN XH ISO WS</t>
  </si>
  <si>
    <t>APPEL LEADER EI A 16H42  ET DEMANDE D'ANNULER LE MAUVAIS TN XH ET DE LE RENTRER EN WS CAR BON TN S/BORD MAIS REFUSE/COORDO AVERTI A 16H52</t>
  </si>
  <si>
    <t>QR592178</t>
  </si>
  <si>
    <t>QR41</t>
  </si>
  <si>
    <t>07:11</t>
  </si>
  <si>
    <t>TJECTION 7H34</t>
  </si>
  <si>
    <t>CHECK SYSTEM  BAGRADAR REQUETEUR NEG / APPEL SLB T1 NEG 12H00 / APPEL GALERIE T1  13H15 NEG - PAS DE DOSSIER OUVERT A J+1</t>
  </si>
  <si>
    <t>QR592228</t>
  </si>
  <si>
    <t>HORS FORMAT 7H22</t>
  </si>
  <si>
    <t>QR592339</t>
  </si>
  <si>
    <t>EJECTION 7H35</t>
  </si>
  <si>
    <t>FI747907</t>
  </si>
  <si>
    <t>T1 EJECTION SJ06 13H32</t>
  </si>
  <si>
    <t>APPEL GALERIE T1 POUR VERIF ET INJECTION  13H34 - AHLIADFI10021 PAS DE RUSH PREVU A J+1</t>
  </si>
  <si>
    <t>JU264057</t>
  </si>
  <si>
    <t>PA SDE MVT</t>
  </si>
  <si>
    <t>09H30 : ENVOI BAGRUNNER - PRISE EN CHARGE A 09H39 POUR DEPOSE SS BORD</t>
  </si>
  <si>
    <t>JU204151</t>
  </si>
  <si>
    <t>T2D EJECTION</t>
  </si>
  <si>
    <t>ARV TARDIVE SUR JETEE</t>
  </si>
  <si>
    <t>09H42 : ENVOI BAGRUNNER SUR JETEE VOL - BAG NON TROUVE - EN DEPART PISTE</t>
  </si>
  <si>
    <t>JU204179</t>
  </si>
  <si>
    <t>JU204180</t>
  </si>
  <si>
    <t>JU204181</t>
  </si>
  <si>
    <t>AA708963</t>
  </si>
  <si>
    <t>AA0048</t>
  </si>
  <si>
    <t>08:17</t>
  </si>
  <si>
    <t>10H01 : ENREGISTREMENT TARDIF - VU AVEC LEADER - 8 KGS BAG A MAIN SUREMENT PRIS DANS L AVION  - AHLBEGJU37183 PAS DE RUSH PREVU A J+1</t>
  </si>
  <si>
    <t>AF099873</t>
  </si>
  <si>
    <t>AF1075</t>
  </si>
  <si>
    <t>19:03</t>
  </si>
  <si>
    <t>NEG EN REQUETEUR ET BAGRADAR/CHARGE SUR LE VOL D'APPORT EN BOB MAIS AUCUNE TRACE DANS LE TRIEUR -AHLBEGJU37195 PAS DE RUSH PREVU A J+1</t>
  </si>
  <si>
    <t>AF102653</t>
  </si>
  <si>
    <t>DECHARGE TBM NAV 20H12</t>
  </si>
  <si>
    <t>PAS DE MVT 20H39</t>
  </si>
  <si>
    <t>APPEL TBM MC80 A 20H33/BAG DEPOSE EN GALERIE/APPEL SUP GAL 20H40 ET DEMANDE DE VERIFIER CAR AUCUN SCAN EN "DEPART VERS PISTE"</t>
  </si>
  <si>
    <t>AF102575</t>
  </si>
  <si>
    <t>DL821094</t>
  </si>
  <si>
    <t>AF0011</t>
  </si>
  <si>
    <t>10:58</t>
  </si>
  <si>
    <t>PISTE 21H05</t>
  </si>
  <si>
    <t>ANNULE/TN RENTRE EN AF ISO DL</t>
  </si>
  <si>
    <t>APPEL LEADER JU 21H10/DEMANDE DE RENTREE LE TN EN DL ISO AF CAR BON TAG EST ANNULE ET TN EN AF AUCUNE TRACE/APPEL COORDO JU 21H20/DDE DE RESCANNER</t>
  </si>
  <si>
    <t>AF056238</t>
  </si>
  <si>
    <t>AF1017</t>
  </si>
  <si>
    <t>10H17 : RECHERCHE BOB - BAG CHARGE EN BULK - AUCUNE TRACE SUR CDG - BAG FINALEMENT CHARGE</t>
  </si>
  <si>
    <t>LO620040</t>
  </si>
  <si>
    <t>LO331</t>
  </si>
  <si>
    <t>09:45</t>
  </si>
  <si>
    <t>APPEL AGENT HORS FORMAT INJOIGNABLE / APPEL SUP GALERIE 12H10 / ENVOI SOUS BORD</t>
  </si>
  <si>
    <t>LH118208</t>
  </si>
  <si>
    <t>LH1028</t>
  </si>
  <si>
    <t>09:25</t>
  </si>
  <si>
    <t>TBM REC CYNO 10H12</t>
  </si>
  <si>
    <t>APPEL TBM 11H45 NEG / ENVOI BAG RUNNER 11H50 / PRIS EN CHARGE 12H33 / LIVRE SOUS BORD 12H42</t>
  </si>
  <si>
    <t>TK328100</t>
  </si>
  <si>
    <t>TK1821</t>
  </si>
  <si>
    <t>TBM EJECTION EM80 12H10</t>
  </si>
  <si>
    <t>ENVOI BAG RUNNER / PRIS EN CHARGE 12H33 / LIVRE SOUS BORD 12H42</t>
  </si>
  <si>
    <t>TK328215</t>
  </si>
  <si>
    <t>TBM EJECTION EM80 12H12</t>
  </si>
  <si>
    <t>WS917407</t>
  </si>
  <si>
    <t>BSM CREA TARDIVE 12H27</t>
  </si>
  <si>
    <t>CHECK SYSTEM  BAGRADAR REQUETEUR NEG - BAG EN OHDCDGWS12602 POUR AHLGRULA56963</t>
  </si>
  <si>
    <t>12 - Not checked to final destination</t>
  </si>
  <si>
    <t>WS917408</t>
  </si>
  <si>
    <t>BSM CREA TARDIVE 12H26</t>
  </si>
  <si>
    <t>CHECK SYSTEM  BAGRADAR REQUETEUR NEG - BAG EN OHDCDGWS12601 POUR AHLGRULA56964</t>
  </si>
  <si>
    <t>LO332</t>
  </si>
  <si>
    <t>10:45</t>
  </si>
  <si>
    <t>LO625715</t>
  </si>
  <si>
    <t>2D EJECTION</t>
  </si>
  <si>
    <t>10H07 : PRISE EN CHARGE PAR BAGRUNNER POUR DEPOSE SS BORD</t>
  </si>
  <si>
    <t>LO637485</t>
  </si>
  <si>
    <t>T2D EJECTION VERS CYNO 18H39</t>
  </si>
  <si>
    <t>PAS DE MVT 18H52</t>
  </si>
  <si>
    <t>APPEL SUP GAL 18H54 ET SIGNALE</t>
  </si>
  <si>
    <t>LO637355</t>
  </si>
  <si>
    <t>T2D EJECTION D02 18H27</t>
  </si>
  <si>
    <t>APPEL SUP GAL 18H54 ET SIGNALE/ENVOI BAGRUNNER A 19H13 POUR VERIFIER SUR D02/NEG/RAPPEL SUP GAL 19H29/NEG ET NON RECU PAR LA PISTE - DERNIERE LOC EN EJECTION 2D - PAS DE DOSSIER OUVERT A J+1</t>
  </si>
  <si>
    <t>LO637580</t>
  </si>
  <si>
    <t>T2D EJECTION D02 18H43</t>
  </si>
  <si>
    <t>BA253689</t>
  </si>
  <si>
    <t>BA0300</t>
  </si>
  <si>
    <t>10H12 : VU AVEC GEH - BAGS BA VIENNENT D ETRE RECUP PAR ONET - ENVOI BAGRUNNER AU TBM - NEG / 11H01 : APPEL DU CHEF D ESCALE - ENVOI BAGRUNNER EN A18</t>
  </si>
  <si>
    <t>BA253823</t>
  </si>
  <si>
    <t>RJ669943</t>
  </si>
  <si>
    <t>BSM CREA</t>
  </si>
  <si>
    <t>POUSSETTE / APPEL LEADER CKIN ET COORDO INJOIGNABLE 15H35 - PROBABLEMENT CHARGE SANS SCAN - PAS DE DOSSIER OUVERT A J+1</t>
  </si>
  <si>
    <t>KM317899</t>
  </si>
  <si>
    <t>KM3466</t>
  </si>
  <si>
    <t>17:03</t>
  </si>
  <si>
    <t>TAG ERRONE RENTRE</t>
  </si>
  <si>
    <t>APPEL LEADER SB A 19H10 ET DEMANDE DE MODIFIER LE TAG/A SAVOIR KM317899 ISO KM817899 CAR BAG EN GALERIE MAIS MAUVAIS TAG RENTRE</t>
  </si>
  <si>
    <t>KM317900</t>
  </si>
  <si>
    <t>APPEL LEADER SB A 19H10 ET DEMANDE DE MODIFIER LE TAG/A SAVOIR KM317900 ISO KM817900 CAR BAG EN GALERIE MAIS MAUVAIS TAG RENTRE</t>
  </si>
  <si>
    <t>AF103257</t>
  </si>
  <si>
    <t>NON RENSEIGNE</t>
  </si>
  <si>
    <t>2F VERS 2E 21H00</t>
  </si>
  <si>
    <t>RRTE DU AF1414/BAG BLOQUE AU CARROUSEL C12 AU F2/APPEL GTP AF A 20H55 ET DDE DE L'ACHEMINER/APPEL SUP GAL 21H25 ET SIGNALE QUE BAG AU 2C TRI</t>
  </si>
  <si>
    <t>AF074218</t>
  </si>
  <si>
    <t>REBUT 2C</t>
  </si>
  <si>
    <t>AUCUNE SCAN DEPT VERS PISTE</t>
  </si>
  <si>
    <t>APPEL SUP GALERIE T2 A 21H04/DEMANDE DE VERIFIER CAR AUCUN SCAN EN DEPART VERS PISTE/MIS DE COTE EN GALERIE CAR NON-AUTORISE/LIVRE SOUS BORD</t>
  </si>
  <si>
    <t>AF074265</t>
  </si>
  <si>
    <t>AF074296</t>
  </si>
  <si>
    <t>AF074344</t>
  </si>
  <si>
    <t>AF074514</t>
  </si>
  <si>
    <t>AF074557</t>
  </si>
  <si>
    <t>AF074584</t>
  </si>
  <si>
    <t>AF074676</t>
  </si>
  <si>
    <t>AF075055</t>
  </si>
  <si>
    <t>AF075142</t>
  </si>
  <si>
    <t>AF088628</t>
  </si>
  <si>
    <t>AF093356</t>
  </si>
  <si>
    <t>SB735585</t>
  </si>
  <si>
    <t>T2C EJECTION C03 19H01</t>
  </si>
  <si>
    <t>PAS DE MVT 21H04</t>
  </si>
  <si>
    <t>APPEL SUP GALERIE T2 A 21H04/DEMANDE DE VERIFIER CAR AUCUN SCAN DEPUIS 19H01/NEGATIF SUR LE TAPIS/POSSIBLE OUBLI DE SCAN - PAS DE DOSSIER OUVERT A J+1 DEST BKK</t>
  </si>
  <si>
    <t>13/09/2026</t>
  </si>
  <si>
    <t>AC527209</t>
  </si>
  <si>
    <t>CHECK AC SYSTEM  : CONFIRMATION CHARGEMENT O/B AC870 → 11H40 : CTC  SBA POUR VERIF SLB : BAG LIVRE SUR TAPIS → DEMANDE RE-INTRO CIRCUIT VIA HF → 12H02 :PRIS EN CHARGE BAGRUNNER PR DEPOSE JETEE</t>
  </si>
  <si>
    <t>AC530779</t>
  </si>
  <si>
    <t>AI753335</t>
  </si>
  <si>
    <t>T2C EJECTION C04 19H46</t>
  </si>
  <si>
    <t>PAS DE MVT 20H15</t>
  </si>
  <si>
    <t>APPEL SUP GALERIE 20H10 ET SIGNALE</t>
  </si>
  <si>
    <t>AI750382</t>
  </si>
  <si>
    <t>TROUVE PAR BAGRUNNER EN REBUT C05 A 20H16 ET REMIS A L'AGENT CHARGE  DU DEPART A 20H20</t>
  </si>
  <si>
    <t>AI750396</t>
  </si>
  <si>
    <t>4H343875</t>
  </si>
  <si>
    <t>ET98/12SEP</t>
  </si>
  <si>
    <t>T1 GE16 - HORS FORMAT</t>
  </si>
  <si>
    <t>07H09 : APPEL GALERIE PR PRISE EN CHARGE → BAGS VONT ETRE RECUP POUR DEPOSE SS BORD - 07H26 : BAG TJS PAS SCANNE - ENVOI BAGRUNNER HF + VERIF SUP GALERIE :  NON TROUVES / BSM ENVOYE PAR AIR CONGO AVEC CODE 4H ISO ET/CMNAT65667</t>
  </si>
  <si>
    <t>4H343876</t>
  </si>
  <si>
    <t>4H343877</t>
  </si>
  <si>
    <t>4H343878</t>
  </si>
  <si>
    <t>4H343879</t>
  </si>
  <si>
    <t>4H343882</t>
  </si>
  <si>
    <t>4H343883</t>
  </si>
  <si>
    <t>07H18 - VOIR COMMENT /CMNAT65667-EN ATTENTE FWD + PAS DETRACE</t>
  </si>
  <si>
    <t>4H343884</t>
  </si>
  <si>
    <t>07H18 - VOIR COMMENT /CMNAT65668-EN ATTENTE FWD + PAS DE TRACE</t>
  </si>
  <si>
    <t>4H343885</t>
  </si>
  <si>
    <t>4H343887</t>
  </si>
  <si>
    <t>AA139694</t>
  </si>
  <si>
    <t>MJ80 11H58</t>
  </si>
  <si>
    <t>APPEL JETEE M80 INJOIGNABLE →12H20: ENVOI BAG RUNNER  →12H40 : PRIS EN CHARGE + LIVRE SOUS BORD</t>
  </si>
  <si>
    <t>AA139695</t>
  </si>
  <si>
    <t>AZ375364</t>
  </si>
  <si>
    <t>AZ312/12SEP</t>
  </si>
  <si>
    <t>15:55</t>
  </si>
  <si>
    <t>REBUT T1  - 12SEP 20H36</t>
  </si>
  <si>
    <t>20H36/12SEP :  BAG EN RETOUR LL →07H27 :  APPEL DIRBY T1 -SANS REPONSE → APPEL GALERIE SBA  POUR VERIF A  LEUR NIVEAU :NEG /J+1 : VU EN WJ41 A 21H06 /CUCAV44582-FO AV55/14SEP</t>
  </si>
  <si>
    <t>AZ375540</t>
  </si>
  <si>
    <t>20H36/12SEP :  BAG EN RETOUR LL →07H27 :  APPEL DIRBY T1 -SANS REPONSE → APPEL GALERIE SBA POUR VERIF A  LEUR NIVEAU :NEG /J+1 : VU EN WJ41 A 21H06 /CUCAV44582-FO AV55/14SEP</t>
  </si>
  <si>
    <t>LH777423</t>
  </si>
  <si>
    <t>LH1050/12SEP</t>
  </si>
  <si>
    <t>22:26</t>
  </si>
  <si>
    <t>07H30 : APPEL GALERIE T1 SBA - BAG NON TROUVE SUR CHARIOTS/BOGAV25020-J+1 PAS DE TRACE</t>
  </si>
  <si>
    <t>AZ375444</t>
  </si>
  <si>
    <t>T1 EJECTION - 12SEP 20H36</t>
  </si>
  <si>
    <t>AZ375460</t>
  </si>
  <si>
    <t>QR537286</t>
  </si>
  <si>
    <t>T1 EJECTION WJ43- 08H26</t>
  </si>
  <si>
    <t>ERREUR CHARGEMENT</t>
  </si>
  <si>
    <t>08H32 : CTC GALERIE PR SIGNALER HOT CNX → 08H55 :  2EME APPEL GALERIE : BAG  NON TROUVE → BAG SCANNE  SUR EI521 PAR ERREUR  A 08H51 + 09H30 GYEAV61274-FO AV55/14SEP</t>
  </si>
  <si>
    <t>AV845907</t>
  </si>
  <si>
    <t>T1 EJECTION  05H07</t>
  </si>
  <si>
    <t>08H45 : APPEL GALERIE T1 - BAG NON TROUVE -PAX STANDBY→ 05H38 : VU EN JETEE  /J+1 PAS DE DOSSIER OUVERT</t>
  </si>
  <si>
    <t>TN118118</t>
  </si>
  <si>
    <t>10H00: ENVOI BAGRUNNER EM92 → PRISE EN CHARGE 10H42 POUR DEPOSE SS BORD 10H51</t>
  </si>
  <si>
    <t>TN118119</t>
  </si>
  <si>
    <t>10H00: ENVOI BAGRUNNER EM92 -→ PRISE EN CHARGE 10H42 POUR DEPOSE SS BORD 10H51</t>
  </si>
  <si>
    <t>DE021970</t>
  </si>
  <si>
    <t>BSM CREA 19H58</t>
  </si>
  <si>
    <t>14H00 -16H31 : APPEL DIRBY T3 INJOIGNABLE</t>
  </si>
  <si>
    <t>DE740050</t>
  </si>
  <si>
    <t>POSSIBLE BAGAGE CABINE OU POUSSETTE PRIS A BORD</t>
  </si>
  <si>
    <t>AF795197</t>
  </si>
  <si>
    <t>AF217</t>
  </si>
  <si>
    <t>07:26</t>
  </si>
  <si>
    <t>09H45 :  ENREGISTREMENT TARDIF - NEG TOUS SYSTEMES  →14H00 :LOCALISATION STOCKER DU KUBE  →BAG NON ENREGISTRE JUSQU A DESTINATION FINALE / A/DUBEI29948 EN ATTENTE DE FWD</t>
  </si>
  <si>
    <t>EI256297</t>
  </si>
  <si>
    <t>9 KGS - POSSIBLE BAGAGE CABINE PRIS DANS L AVION - J+1 PAS DE DOSSIER OUVERT</t>
  </si>
  <si>
    <t>AF122479</t>
  </si>
  <si>
    <t>AF511</t>
  </si>
  <si>
    <t>WJ43 12H51</t>
  </si>
  <si>
    <t>12H50 : APPEL GALERIE POUR VERIF WJ43 + ENVOI SOUS BORD /SCANNE SUR LE VOL EI527 13H57/A DUBEI29969 EN ATTENTE DE FWD</t>
  </si>
  <si>
    <t>AF122577</t>
  </si>
  <si>
    <t>AA795087</t>
  </si>
  <si>
    <t>11:31</t>
  </si>
  <si>
    <t>BSM CREA 12H42</t>
  </si>
  <si>
    <t>BSM CREATION TARDIVE / RECHERCHE REQUETEUR BAG RADAR NEG /PROBABLEMENT RESTE A PHL/A DUBEI29962 - FO AA722/13SEP PHL/DUB</t>
  </si>
  <si>
    <t>AA795085</t>
  </si>
  <si>
    <t>BSM CREATION TARDIVE / RECHERCHE REQUETEUR BAG RADAR NEG /PROBABLEMENT RESTE A PHL/A DUBEI29962- FO AA722/13SEP PHL/DUB</t>
  </si>
  <si>
    <t>AA795086</t>
  </si>
  <si>
    <t>BSM CREA 12H41</t>
  </si>
  <si>
    <t>EI132016</t>
  </si>
  <si>
    <t>T1  GE16 HORS FORMAT 14H55</t>
  </si>
  <si>
    <t>15H45 + 16H27 : APPEL AGENT HORS FORMAT POUR VERIF ET INJECTION</t>
  </si>
  <si>
    <t>EI132173</t>
  </si>
  <si>
    <t>T1 GE16 HF 20H58</t>
  </si>
  <si>
    <t>INJECTION TARDIVE</t>
  </si>
  <si>
    <t>20H32 : APPEL DIRBY T1  SANS REPONSE→ 20H45: RAPPEL A 20H45 ET DEMANDE INJECTION RUSH→ 21H35+ 21H52 : CTC GALERI E T1 PR SIGNALER LE RUSH EN ZONE HF</t>
  </si>
  <si>
    <t>EI260799</t>
  </si>
  <si>
    <t>T1 EJECTION WJ34 21H01</t>
  </si>
  <si>
    <t>LAST MINUTE C/IN</t>
  </si>
  <si>
    <t>21H35+ 21H52  :APPEL SUP  GALERIE T1 PR SIGNALER INJECTION TARDIVE BAGS ET DEMANDE PRISE EN CHARGE</t>
  </si>
  <si>
    <t>EI260803</t>
  </si>
  <si>
    <t>T1 EJECTION WJ34 21H05</t>
  </si>
  <si>
    <t>EI260806</t>
  </si>
  <si>
    <t>T1 EJECTION WJ34 21H06</t>
  </si>
  <si>
    <t>FI754779</t>
  </si>
  <si>
    <t>06H47 : APPEL GALERIE T1 POUR RECUP BAG - BAG SERA RECUP POUR DEPOSE SS BORD</t>
  </si>
  <si>
    <t>AF041116</t>
  </si>
  <si>
    <t>AF4083/12SEP</t>
  </si>
  <si>
    <t>DECHARGE NAVETTE 07H33</t>
  </si>
  <si>
    <t>BAG RRTE DU AF33 / 07H17 :NEG TOUS SYSTEMES  → ENVOI BAGRUNNER TBM / QSE / A18 : NEG →  VU AVEC AF: BAG EN MC80 A 7H20  PUIS PRIS EN CHARGE PAR NAVETTE  →PERTE DE TRACE  →RE-APPARUT AU TRI TBM A 15H57 ABJHF12069 EN ATTENTE FWD</t>
  </si>
  <si>
    <t>AF041151</t>
  </si>
  <si>
    <t>HF082756</t>
  </si>
  <si>
    <t>2A REC CYNO 4H56</t>
  </si>
  <si>
    <t>05H26 : ENVOI BAGRUNNER 2A CYNO - BAG NON TROUVE ET PAS DE NOUVELLE LOC /J+1 PAS DE DOSSIER OUVERT</t>
  </si>
  <si>
    <t>OS466543</t>
  </si>
  <si>
    <t>OS361</t>
  </si>
  <si>
    <t>NEGATIF TOUS SYSTEMES → 11H45 :  CTC  APPEL DIRBY POUR VERIF SLB :NON TROUVE / POSS BAG CABINE 13KG/J+1 PAS DE DOSSIER OUVERT</t>
  </si>
  <si>
    <t>OS466551</t>
  </si>
  <si>
    <t>NEGATIF TOUS SYSTEMES → 11H45 :  CTC  APPEL DIRBY POUR VERIF SLB :NON TROUVE /POSS BAG CABINE 7KG/ J+1 PAS D E DOSSIER OUVERT</t>
  </si>
  <si>
    <t>LA619740</t>
  </si>
  <si>
    <t>BAGAGE INACTIF</t>
  </si>
  <si>
    <t>PROBLEME DE SCAN → APPEL COORDO 12H45: BAG BIEN CHARGE SUR ACCORD CIE</t>
  </si>
  <si>
    <t>LA711056</t>
  </si>
  <si>
    <t>PROBLEME DE SCAN→  APPEL COORDO 12H45 : BAG BIEN CHARGE SUR ACCORD CIE</t>
  </si>
  <si>
    <t>LA708674</t>
  </si>
  <si>
    <t>JETEE 2A 10H54</t>
  </si>
  <si>
    <t>BAG REFUS :   CLASSE NON CORRECTE →   11H00 : APPEL GALERIE PR CHARGEMENT  ( ANOMALIE SCAN) /J+1 PAS DE DOSSIER OUVERT</t>
  </si>
  <si>
    <t>KL246203</t>
  </si>
  <si>
    <t>09:34</t>
  </si>
  <si>
    <t>TBM SORTIE STOCKER 11H07</t>
  </si>
  <si>
    <t>11H00 :APPEL DU CHEF D'ESCALE → BAGS EN SHORT CNX → IL EST DEJA INFORME  QU'ILS NE POURRONT PAS SUIVRE LE VOL → 11H16:  PRISE EN CHARGE BAGRUNNER PR ASSURER RETOUR LL RAPIDE + ACTION RUSH /KULMH95785 FO MH21/14SEP</t>
  </si>
  <si>
    <t>KL246223</t>
  </si>
  <si>
    <t>AF124832</t>
  </si>
  <si>
    <t>AF499</t>
  </si>
  <si>
    <t>07:53</t>
  </si>
  <si>
    <t>BSM CREA 14H27</t>
  </si>
  <si>
    <t>VU EN REQUETEUR : PAX RRTED DU SV130  →  BAG LOC  AU LL T1  →  14H35 : APPEL DIRBY POUR RETAG ET ENVOI : INJOIGNABLE →TENTATIVE DE RAPPELS +SIEURS FOIS SANS SUCCES /J+1 EN ATTENTE OUVERTURE DE DOSSIER</t>
  </si>
  <si>
    <t>DL972382</t>
  </si>
  <si>
    <t>DL84</t>
  </si>
  <si>
    <t>12:18</t>
  </si>
  <si>
    <t>2E EJECTION REBUT 112 14H51</t>
  </si>
  <si>
    <t>APPEL JETEE 112 INJOIGNABLE →14H53 :   ENVOI BAG RUNNER PR PRISE EN CHARGE ET DLV LIVRE SOUS BORD</t>
  </si>
  <si>
    <t>4457123606</t>
  </si>
  <si>
    <t>ERREUR TAG</t>
  </si>
  <si>
    <t>CHECK SUR BOBAF  :ERREUR DE VOL SUR LE TAG MANUEL :RJ119/13SEP ISO RJ118 / DERNIERE TRACE REBUT C05 08H50 →14H00 : ENVOI BAG RUNNER TBM+ QSE NEG → VU EN  REFUS CHARGEMENT PISTE 14H51 SOUS TAG AF123606  /AMMRJ43717 -FO RJ118/14SEP</t>
  </si>
  <si>
    <t>RJ684835</t>
  </si>
  <si>
    <t>BSM CREA  15H24</t>
  </si>
  <si>
    <t>POUSETTE→ 15H55 : APPEL COORDO MAIS  INJOIGNABLE /J+1 PAS DE DOSSIER OUVERT</t>
  </si>
  <si>
    <t>14/09/2026</t>
  </si>
  <si>
    <t>14:20</t>
  </si>
  <si>
    <t>AT630578</t>
  </si>
  <si>
    <t>BSM CREA 13H55</t>
  </si>
  <si>
    <t>BAG 7KG POTENTIEL BAG CABINS / J+1 PAS DE DOSSIER OUVERT</t>
  </si>
  <si>
    <t>AT633437</t>
  </si>
  <si>
    <t>JETEE 2B 15H05</t>
  </si>
  <si>
    <t>17H30 : APPEL LEADER AT DEMANDE D'ACTIVER LE TAG</t>
  </si>
  <si>
    <t>LY255411</t>
  </si>
  <si>
    <t>16:16</t>
  </si>
  <si>
    <t>DECHARGE TBM NAV 17H18</t>
  </si>
  <si>
    <t>17H35: APPEL TBM MC80 : BAG TOUJOURS EN MC80 MALGRE LE SCAN DECHARGE TBM NAV→ PRIS EN CHARGE PAR BAGRUNNER A 17H46 ET LIVRE SOUS BORD A 17H53</t>
  </si>
  <si>
    <t>LY255429</t>
  </si>
  <si>
    <t>17H35: APPEL TBM MC80 : BAG TOUJOURS EN MC80 MALGRE LE SCAN DECHARGE TBM NAV→ PRIS EN CHARGE PAR BAGRUNNER A 17H46 ET LIVRE SOUS BORD A 17H54</t>
  </si>
  <si>
    <t>AT635047</t>
  </si>
  <si>
    <t>BSM 15H43</t>
  </si>
  <si>
    <t>18H28 : APPEL LEADER AT:IL S'AGIT D'UNE POUSSETTE ET PAX DÉJÀ BORDE→ DEMANDE COORDO DE LA SCANNER</t>
  </si>
  <si>
    <t>AT635408</t>
  </si>
  <si>
    <t>BSM 15H57</t>
  </si>
  <si>
    <t>SV641403</t>
  </si>
  <si>
    <t>SV131</t>
  </si>
  <si>
    <t>06:25</t>
  </si>
  <si>
    <t>09H05 : APPEL DIRBY POUR VERIF EN  SLB + VERIF AVEC GALERIE T1: PAS DE TRACE/ J+1 PAS DE DOSSIER OUVERT</t>
  </si>
  <si>
    <t>DE761846</t>
  </si>
  <si>
    <t>BSM CREA 10H44</t>
  </si>
  <si>
    <t>BAG 5KG POTENTIEL BAG CABINE /J+1 PAS DE DOSSIER OUVERT</t>
  </si>
  <si>
    <t>AF210838</t>
  </si>
  <si>
    <t>08:11</t>
  </si>
  <si>
    <t>TBM T1 T2 09H30</t>
  </si>
  <si>
    <t>10H09 : EJECTION WJ42 → PERTE DE TRACE → CTC GALERIE T1 POUR ACTION→ 10H19 : BAG SCANNE SUR EI523 ISO EI 521  /DUBEI30036-EN ATTENTE DE FWD</t>
  </si>
  <si>
    <t>AF210771</t>
  </si>
  <si>
    <t>SAT1  1 0H37</t>
  </si>
  <si>
    <t>10H00 : TBM T1/T2 → 10H49 : EJECTION WJ41 :TROP TARD POR LE VOL /DUBEI30036 - FO EI529/14SEP</t>
  </si>
  <si>
    <t>DL052154</t>
  </si>
  <si>
    <t>SAT 4 09H59</t>
  </si>
  <si>
    <t>10H00 :EJECTION WJ43 → BAG TENTE POUR CHARGEMENT  MAIS SOUTES FERMEES→ 11H06 : RETOUR LL  /DUBEI30037 /C FO EI529/14SEP</t>
  </si>
  <si>
    <t>DL055072</t>
  </si>
  <si>
    <t>SAT 4  09H58</t>
  </si>
  <si>
    <t>DL052153</t>
  </si>
  <si>
    <t>SAT 4 09H58</t>
  </si>
  <si>
    <t>AF231784</t>
  </si>
  <si>
    <t>AF1267</t>
  </si>
  <si>
    <t>08:38</t>
  </si>
  <si>
    <t>TBM T1 T2 NAVETTE 10H28</t>
  </si>
  <si>
    <t>10H30: ENVOI BAG RUNNER EN EM92POUR PRISE EN CHARGE  ET LIVRAISON  S/BORD</t>
  </si>
  <si>
    <t>EI261834</t>
  </si>
  <si>
    <t>BSM CREA 09H02</t>
  </si>
  <si>
    <t>BAG 5KG POTENTIEL BAG CABINE / J+1 PAS DE DOSSIER OUVERT</t>
  </si>
  <si>
    <t>EI261845</t>
  </si>
  <si>
    <t>BSM CREA 09H03</t>
  </si>
  <si>
    <t>BAG 7KG POTENTIEL BAG CABINE / J+1 PAS DE DOSSIER OUVERT</t>
  </si>
  <si>
    <t>AC598152</t>
  </si>
  <si>
    <t>AC874/13SEP</t>
  </si>
  <si>
    <t>AUCUNE LOC</t>
  </si>
  <si>
    <t>NEG TOUS SYSTEMES → APPEL SBA POUR CHECK SLB : NEG/ J+1 AHL DUBEI30051 -OHD CDGAC35893/PAX RRTED FROM YUL WITHOUT BAG/FO AC870/13SEP</t>
  </si>
  <si>
    <t>EI262940</t>
  </si>
  <si>
    <t>WJ43 11H19</t>
  </si>
  <si>
    <t>PAS DE MOUVEMENT</t>
  </si>
  <si>
    <t>12H00: CTC GALERIE T1  POUR ACTION /BAG NON SCANNE MAIS BIEN CHARGE</t>
  </si>
  <si>
    <t>EI263030</t>
  </si>
  <si>
    <t>INJECT T1 10H55</t>
  </si>
  <si>
    <t>PERTE DE  TRACE</t>
  </si>
  <si>
    <t>CTC GALERIE T1 / NEG/DUBEI30050/ 04H45 : VU CYNO 15SEP PUIS RETOUR LL - EN ATTENTE FWD</t>
  </si>
  <si>
    <t>LY252594</t>
  </si>
  <si>
    <t>JETEE T1 12H03</t>
  </si>
  <si>
    <t>RRTE DU FI543→ BAG LOCALISE SUR JETEE T1 PUIS PERTE DE TRACE → APPEL GALERIE T1 : NEG/→ APPEL DIRBY T1   MAIS INJOIGNABLE/15SEP : VU AU TBM PIM PUIS VERS T1 /DUBEI30077 -EN ATTENTE FWD</t>
  </si>
  <si>
    <t>EI263531</t>
  </si>
  <si>
    <t>BSM CREATION 13H46</t>
  </si>
  <si>
    <t>16H35 :CTC LEAD  PR CONFIRMER SI BAG CABINE (08KG) MAIS N'A PAS L'INFO  /J+1 PAS DE DOSSIER OUVERT</t>
  </si>
  <si>
    <t>AF238866</t>
  </si>
  <si>
    <t>AF7431</t>
  </si>
  <si>
    <t>11:09</t>
  </si>
  <si>
    <t>TME 13H00</t>
  </si>
  <si>
    <t>13H10: PRIS EN CHARGE PAR BAGRUNNER POUR RECUP ET ENVOI SOUS BORD</t>
  </si>
  <si>
    <t>AF239005</t>
  </si>
  <si>
    <t>FI771284</t>
  </si>
  <si>
    <t>DECHARGE DE CONTENANT</t>
  </si>
  <si>
    <t>12H03 : BAG DECHARGE DE CONTENANT POUR CHARGEMENT BULK SANS SCAN</t>
  </si>
  <si>
    <t>HF087836</t>
  </si>
  <si>
    <t>EJECT 2A 10H18</t>
  </si>
  <si>
    <t>VERIFICATION EN GALERIE :  NEG → PEUT ETRE CHARGE SANS SCAN/ J+1 PAS DE DOSSIER OUVERT</t>
  </si>
  <si>
    <t>DL086567</t>
  </si>
  <si>
    <t>DL228</t>
  </si>
  <si>
    <t>TBM 09H33</t>
  </si>
  <si>
    <t>09H30 :PRIS EN CHARGE PAR  BAG RUNNER AU TBM  ET LIVRE S/BORD</t>
  </si>
  <si>
    <t>AA147482</t>
  </si>
  <si>
    <t>AA48</t>
  </si>
  <si>
    <t>09:09</t>
  </si>
  <si>
    <t>TBM09H54</t>
  </si>
  <si>
    <t>AA147185</t>
  </si>
  <si>
    <t>TBM 09H54</t>
  </si>
  <si>
    <t>AA147483</t>
  </si>
  <si>
    <t>AF202767</t>
  </si>
  <si>
    <t>TBM 09H32</t>
  </si>
  <si>
    <t>AF202807</t>
  </si>
  <si>
    <t>TBM 09H53</t>
  </si>
  <si>
    <t>MF768700</t>
  </si>
  <si>
    <t>MF285</t>
  </si>
  <si>
    <t>NEG TOUS SYSTEMES /BEGJU37235</t>
  </si>
  <si>
    <t>AF016256</t>
  </si>
  <si>
    <t>AF99</t>
  </si>
  <si>
    <t>07:57</t>
  </si>
  <si>
    <t>BSM CREATION 09H45</t>
  </si>
  <si>
    <t>NEGATIF TOUS SYSTTEMES → VERIF PAR BAG RUNNER AU TBM +T2B:PAS DE TRACE/J+1 TAG REEL AF205944/AF205982/AF206016 FO JU241/14SEP/JU662/15SEP -TGDJU31541</t>
  </si>
  <si>
    <t>AF944256</t>
  </si>
  <si>
    <t>AF982256</t>
  </si>
  <si>
    <t>AF292448</t>
  </si>
  <si>
    <t>07:06</t>
  </si>
  <si>
    <t>VU AVEC AF+REQUETEUR/PAS DE TRACE A CDG/J+1  ERREUR TN RENTRE EN CODE AF ISO G3-BEGJU37240 -FO JU243/15SEP</t>
  </si>
  <si>
    <t>AF292529</t>
  </si>
  <si>
    <t>VU AVEC AF+REQUETEUR/PAS DE TRACE A CDG/J+1  ERREUR TN RENTRE EN CODE AF ISO G3-BEGJU37237 -EN ATTENTEFWD</t>
  </si>
  <si>
    <t>AF292549</t>
  </si>
  <si>
    <t>VU AVEC AF+REQUETEUR/PAS DE TRACE A CDG/J+1  ERREUR TN RENTRE EN CODE AF ISO G3-BEGJU37238 -EN ATTENTE FWD</t>
  </si>
  <si>
    <t>JU210800</t>
  </si>
  <si>
    <t>T2D EJECTION D02 19H19</t>
  </si>
  <si>
    <t>APPEL SUP GALERIE A 20H19 ET SIGNALE</t>
  </si>
  <si>
    <t>JU210850</t>
  </si>
  <si>
    <t>T2D EJECTION D02 19H44</t>
  </si>
  <si>
    <t>AF272410</t>
  </si>
  <si>
    <t>19:18</t>
  </si>
  <si>
    <t>TBM MC80 20H07</t>
  </si>
  <si>
    <t>PRIS EN CHARGE PAR BAGRUNNER A 20H21  ET DEPOSE SUR LA JETEE DEPART A 20H27</t>
  </si>
  <si>
    <t>MU444196</t>
  </si>
  <si>
    <t>MU569</t>
  </si>
  <si>
    <t>18:32/13SEP</t>
  </si>
  <si>
    <t>12H37 PRIS EN CHARGE PAR BAGRUNNER ET DEPSE SOUS BORD</t>
  </si>
  <si>
    <t>MU002136</t>
  </si>
  <si>
    <t>NEGATIF TOUS SYTEME/ SUREMENT BAG FANTOME PAX A 2 BAG DU MEME POIDS DONT 1 CHARGE /J+1 PAS DE DOSSIER OUVERT</t>
  </si>
  <si>
    <t>AF140094</t>
  </si>
  <si>
    <t>AF431/13SEP</t>
  </si>
  <si>
    <t>LKHAL</t>
  </si>
  <si>
    <t>BSM CREATION 06H46</t>
  </si>
  <si>
    <t>RRTE DU AF1046/13SEP/BSM CREATION A 06HJ46→TROP TARD POUR CHARGEMENT →ENVOI BAG RUNNER LKHAL 06H55 POUR RECUPERATION ET DEPOSE LL/WAWLO69511 FO LO336/14SEP</t>
  </si>
  <si>
    <t>AF140059</t>
  </si>
  <si>
    <t>CX758905</t>
  </si>
  <si>
    <t>BAGAGE NON AUTORISE</t>
  </si>
  <si>
    <t>CHARGE EN CONTENANT MAIS NOTE EN REFUS / J+1 PAS DE DOSSIER OUVERT</t>
  </si>
  <si>
    <t>CX758966</t>
  </si>
  <si>
    <t>LO685838</t>
  </si>
  <si>
    <t>T2D EJECTION D02 18H19</t>
  </si>
  <si>
    <t>PA DE MVT</t>
  </si>
  <si>
    <t>APPEL SUP GALERIE A 18H56 ET SIGNALE</t>
  </si>
  <si>
    <t>LO685996</t>
  </si>
  <si>
    <t>2D HORS FORMAT 18H34</t>
  </si>
  <si>
    <t>LO685860</t>
  </si>
  <si>
    <t>T2D EJECTION D02 18H21</t>
  </si>
  <si>
    <t>LO685905</t>
  </si>
  <si>
    <t>T2D EJECTION D02 18H25</t>
  </si>
  <si>
    <t>MH542638</t>
  </si>
  <si>
    <t>BSM CREA 10H15</t>
  </si>
  <si>
    <t>NEG TOUS SYSTEMES → SUREMENT BAG CABINE /J+1 PAS DE DOSSIER OUVERT</t>
  </si>
  <si>
    <t>15/09/2026</t>
  </si>
  <si>
    <t>AT655922</t>
  </si>
  <si>
    <t>BSM CREA 14H59</t>
  </si>
  <si>
    <t>BAG 1 KG PEUT ETRE CHARGE EN CABINE - PAS DE DOSSIER OUVERT A J+1</t>
  </si>
  <si>
    <t>AT655579</t>
  </si>
  <si>
    <t>CHARGE EN CONTENANT MAIS NOTE EN REFUS - PAS DE DOSSIER OUVERT A J+1</t>
  </si>
  <si>
    <t>AT659852</t>
  </si>
  <si>
    <t>AZ430093</t>
  </si>
  <si>
    <t>AZ332</t>
  </si>
  <si>
    <t>00:06</t>
  </si>
  <si>
    <t>ENTREE KUBE 06H41</t>
  </si>
  <si>
    <t>APPEL KUBE 07H00/ENVOI BAG RUNNER /RECUPERE ET DEPOSE JETEE</t>
  </si>
  <si>
    <t>AZ430109</t>
  </si>
  <si>
    <t>AZ430155</t>
  </si>
  <si>
    <t>AZ430179</t>
  </si>
  <si>
    <t>LO684236</t>
  </si>
  <si>
    <t>22:41</t>
  </si>
  <si>
    <t>APPEL GALERIE T1 08H00 POUR DEMANDE RECUP SUR JETEE REBUT / CHARGE A 08H02 EN CONTENANT</t>
  </si>
  <si>
    <t>AF251375</t>
  </si>
  <si>
    <t>AF1105/14SEP</t>
  </si>
  <si>
    <t>17:16</t>
  </si>
  <si>
    <t>VU AVEC AF 07H15+REQUETEUR/PAS DE TRACE A CDG - AHLGUAAV12904 O/B AF1340/KL757/CM390/16SEP</t>
  </si>
  <si>
    <t>MH550033</t>
  </si>
  <si>
    <t>BSM CREATION 09H28/APPEL GALERIE T1/VU EN REQUETEUR /PAS DE TRACE - SCAN HF 2A A 12H05 - ARRIVEE SAT1 12H33 - AHLDUBEI30120 PAS DE RUSH PREVU A J+1</t>
  </si>
  <si>
    <t>EI265649</t>
  </si>
  <si>
    <t>T1 GE 16 HF 10H08</t>
  </si>
  <si>
    <t>CYNO</t>
  </si>
  <si>
    <t>BAG SORTIE  CYNO 10H08/TROP TARD POUR CHARGEMENT - AHLDUBEI30121 O/B EI529/15SEP</t>
  </si>
  <si>
    <t>EI265657</t>
  </si>
  <si>
    <t>AF284022</t>
  </si>
  <si>
    <t>08:28</t>
  </si>
  <si>
    <t>T1 EJECTION 10H14</t>
  </si>
  <si>
    <t>ARRIVEE TARDIVE AU SAT1 09H57/ AHLDUBEI30123 PAS DE RUSH PREVU A J+1</t>
  </si>
  <si>
    <t>AF284061</t>
  </si>
  <si>
    <t>ARRIVEE TARDIVE AU SAT 1 09H57/ AHLDUBEI30123 PAS DE RUSH PREVU A J+1</t>
  </si>
  <si>
    <t>AF284140</t>
  </si>
  <si>
    <t>EI265125</t>
  </si>
  <si>
    <t>NEG REQUETEUR + APPEL GALERIE T1 10H48 POUR VERIFIER WJ43 PLUS DE LOCAUX RESTANT - AHLDUBEI30128 O/B EI529/15SEP</t>
  </si>
  <si>
    <t>EI265728</t>
  </si>
  <si>
    <t>T1 INJ WJ43</t>
  </si>
  <si>
    <t>LOC T1 INJECTION 09H42 / APPEL GALERIE T1 10H48 / DEMANDE DE VERIF EN JETEE AVANT CLOTURE DU VOL 11H15 -   PERTE DE TRACE JUSQU’A 13H30 SCAN AU HF - AHLDUBEI30126 O/B EI529/15SEP</t>
  </si>
  <si>
    <t>EI265569</t>
  </si>
  <si>
    <t>BAG 10KG - AUCUNE TRACE DANS NOS DIFFERENTS SYSTEMES JUSQU’À 14H09 AU REBUT - AHLDUBEI30135 O/B EI529/15SEP</t>
  </si>
  <si>
    <t>EI265577</t>
  </si>
  <si>
    <t>EI132515</t>
  </si>
  <si>
    <t>12H29 : BAG EN DEPART VERS PISTE -  BAG REVENU CYNO 13H37 APRES DEPART VOL - AHLDUBEI29356 PAS DE RUSH PREVU A J+1</t>
  </si>
  <si>
    <t>AF304590</t>
  </si>
  <si>
    <t>AF0179</t>
  </si>
  <si>
    <t>14:04</t>
  </si>
  <si>
    <t>16H02 : VERIF BOB - BAG CHARGE AU DEPART DE MEX - VRAC AF15879 - AUCUNE TRACE SUR CDG  - NEG TOUS SYSTEMES - AHLDUBEI30154 PAS DE RUSH PREVU A J+1</t>
  </si>
  <si>
    <t>AF305038</t>
  </si>
  <si>
    <t>AF435</t>
  </si>
  <si>
    <t>15:36</t>
  </si>
  <si>
    <t>M91 16H51</t>
  </si>
  <si>
    <t>ARRIVE EN M91 A 16H51 TROP TARD POUR CHARGEMENT - AHLDUBEI30152 PAS DE RUSH PREVU A J+1</t>
  </si>
  <si>
    <t>AF305086</t>
  </si>
  <si>
    <t>M91 16H39</t>
  </si>
  <si>
    <t>ARRIVE EN M91 A 16H39 TROP TARD POUR CHARGEMENT - AHLDUBEI30152 PAS DE RUSH PREVU A J+1</t>
  </si>
  <si>
    <t>EI267152</t>
  </si>
  <si>
    <t>JETEE T1</t>
  </si>
  <si>
    <t>CHARGE EN AKH67381EI MAIS CLASSE NO CORRECTE - PAS DE DOSSIER OUVERT A J+1</t>
  </si>
  <si>
    <t>LY277926</t>
  </si>
  <si>
    <t>TBM EM91</t>
  </si>
  <si>
    <t>13H20 : ARV TARDIVE / ENVOI BAGRUNNER SUR JETEE 91 POUR RECUP BAG ET DEPOSE SS BORD T1 - BAG ATTENDU PAR NAVETTE -</t>
  </si>
  <si>
    <t>LY278490</t>
  </si>
  <si>
    <t>13H30 : PRISE EN CHARGE TARDIVE DE LA NAVETTE TBM - RECUP PAR BAGRUNNER POUR DEPOSE SOUS BORD</t>
  </si>
  <si>
    <t>LY278253</t>
  </si>
  <si>
    <t>LY278261</t>
  </si>
  <si>
    <t>LY278500</t>
  </si>
  <si>
    <t>LY278480</t>
  </si>
  <si>
    <t>13H36 : APPEL GALERIE T1 - BCP DE BAGAGES ENCORE ATTENDUS A LEUR NIVEAU - SERONT DIRECTEMENT DEPOSE SS BORD - BAG PASSE PAR HORS FORMAT - AHLKEFFI17188 PAS DE RUSH PREVU A J+1</t>
  </si>
  <si>
    <t>LY277720</t>
  </si>
  <si>
    <t>13H36 : APPEL GALERIE T1 - BCP DE  BAGAGES ENCORE ATTENDUS A LEUR NIVEAU - SERONT DIRECTEMENT DEPOSE SS BORD</t>
  </si>
  <si>
    <t>LY277721</t>
  </si>
  <si>
    <t>LY277927</t>
  </si>
  <si>
    <t>LY278085</t>
  </si>
  <si>
    <t>LY278086</t>
  </si>
  <si>
    <t>LY278107</t>
  </si>
  <si>
    <t>LY278441</t>
  </si>
  <si>
    <t>LY278447</t>
  </si>
  <si>
    <t>LY278463</t>
  </si>
  <si>
    <t>LY278826</t>
  </si>
  <si>
    <t>LY278832</t>
  </si>
  <si>
    <t>FI782437</t>
  </si>
  <si>
    <t>13H36 : APPEL GALERIE T1 - POUR ALLER A LA CYNO - BAG TROUVE</t>
  </si>
  <si>
    <t>LY278090</t>
  </si>
  <si>
    <t>13H36 : APPEL GALERIE T1 - POUR ALLER AU HORS FORMAT -  NON TROUVE - AHLKEFFI17187 PAS DE RUSH PREVU A J+1</t>
  </si>
  <si>
    <t>LY278487</t>
  </si>
  <si>
    <t>13H36 : APPEL GALERIE T1 - POUR ALLER A LA CYNO - NON TROUVE - AHLKEFFI17188 PAS DE RUSH PREVU A J+1</t>
  </si>
  <si>
    <t>LY278410</t>
  </si>
  <si>
    <t>BAG LIVRE  SOUS BORD A 13H45 CERTAINEMENT MAUVAIS AVION / BAG REINJECTE AU T1 A 14H15 PUIS PERTE DE TRACE - PAS DE DOSSIER OUVERT A J+1</t>
  </si>
  <si>
    <t>FI784914</t>
  </si>
  <si>
    <t>DECHARGE DE CONTENANT A 17H12 - PROBABLEMENT CHARGE SANS SCAN - PAS DE DOSSIER OUVERT A J+1</t>
  </si>
  <si>
    <t>HF090408</t>
  </si>
  <si>
    <t>RETOUR LL</t>
  </si>
  <si>
    <t>LATE CKIN</t>
  </si>
  <si>
    <t>X 3 BAGS LATE CKIN HORS FORMAT AVEC DEPT VERS PISTE TARDIF / RETOUR LL 08H07 - O/B AT779/AT525/15SEP</t>
  </si>
  <si>
    <t>HF090412</t>
  </si>
  <si>
    <t>HF090414</t>
  </si>
  <si>
    <t>AA152291</t>
  </si>
  <si>
    <t>AA150</t>
  </si>
  <si>
    <t>13:17</t>
  </si>
  <si>
    <t>CHECK BAGRADAR / REQUETEUR / NEG - VU EN STOPPE PAR JU A 19H38 - AHLBEGJU37273 - PAS DE RUSH PREVU A J+1</t>
  </si>
  <si>
    <t>AF308129</t>
  </si>
  <si>
    <t>AF491</t>
  </si>
  <si>
    <t>15:23</t>
  </si>
  <si>
    <t>M80 19H13</t>
  </si>
  <si>
    <t>19H16 PRIS EN CHARGE PAR BAGRUNNER</t>
  </si>
  <si>
    <t>AF202148</t>
  </si>
  <si>
    <t>AF27</t>
  </si>
  <si>
    <t>17:48</t>
  </si>
  <si>
    <t>KUBE 07H00</t>
  </si>
  <si>
    <t>VU AVEC AF / BAG LOCALISE AU KUBE/ 00H47 / ENVOI BAG RUNNER /RECUPERE ET LIVRE S/BORD</t>
  </si>
  <si>
    <t>LO691320</t>
  </si>
  <si>
    <t>T2C TRI 05H12</t>
  </si>
  <si>
    <t>APPEL GALERIE 06H30 POUR VERIF/RECUPERE ET LIVRE S/BORD</t>
  </si>
  <si>
    <t>MH578979</t>
  </si>
  <si>
    <t>2A CYNO</t>
  </si>
  <si>
    <t>CHECK DONE B Y BAG RUNNER / ATTENTE DU CHIEN CYNO POUR VERIF / OK CYNO A 11H05 - O/B MH21/16SEP/MH133/17SEP</t>
  </si>
  <si>
    <t>MH577971</t>
  </si>
  <si>
    <t>T2A EJECTION</t>
  </si>
  <si>
    <t>CHECK DONE BY BAG RUNNER + APPEL SUP GALERIE 10H29 / PLUS RIEN EN JETEE DEPART -/J+1 PAS DE DOSSIER OUVERT A NRT</t>
  </si>
  <si>
    <t>AA154638</t>
  </si>
  <si>
    <t>AA0786</t>
  </si>
  <si>
    <t>TBM REC CYNO</t>
  </si>
  <si>
    <t>14H35 : ENVOI BAGRUNNER POUR VERIFIER A LA CYNO TBM - PRIS EN CHARGE A 15H03 POUR DEPOSE SOUS BORD</t>
  </si>
  <si>
    <t>16/09/2026</t>
  </si>
  <si>
    <t>LH709165</t>
  </si>
  <si>
    <t>LH1050</t>
  </si>
  <si>
    <t>APPEL DIRBY 07H15 POUR VERIFIER EN SLB/PAS DE TRACE EN REQUETEUR - DOSSIER OUVERT AHLUIOAV68671 LE 16SEP ET CLOS LE 17 SEP PAS DE MSG FWD</t>
  </si>
  <si>
    <t>AA152277</t>
  </si>
  <si>
    <t>9H10 : APPEL AA - BAG DECHARGE A BCN A 08H53 / ERREUR DE CHARGEMENT A JFK CAR PASSAGER RRTE - AHLBEGJU37287 O/B JU581/18SEP</t>
  </si>
  <si>
    <t>XH966719</t>
  </si>
  <si>
    <t>2A HORS FORMAT</t>
  </si>
  <si>
    <t>10H55 : ENVOI BAGRUNNER POUR RECUP ET DEPOSE SOUS BORD</t>
  </si>
  <si>
    <t>AF362821</t>
  </si>
  <si>
    <t>AF0933</t>
  </si>
  <si>
    <t>08:36</t>
  </si>
  <si>
    <t>T1  INJECTION</t>
  </si>
  <si>
    <t>11H16 : APPEL GALERIE T1  POUR PREVENIR  RETARD ACHEMINEMENT DES BAGAGES - VOL RETARDE A 12H05</t>
  </si>
  <si>
    <t>AF363135</t>
  </si>
  <si>
    <t>11H16 : APPEL GALERIE T1  POUR PREVENIR  RETARD ACHEMINEMENT DES BAGAGES - VOL RETARDE A 12H05 - SCANNER TBM 10H44 - BAG NON TROUVE - PUIS SAT1 11H27/ EJECTION 11H40 - O/B EI527/16SEP</t>
  </si>
  <si>
    <t>AF364338</t>
  </si>
  <si>
    <t>11H16 : APPEL GALERIE T1  POUR PREVENIR  RETARD ACHEMINEMENT DES BAGAGES - VOL RETARDE A 12H05 - SCAN TBM EJECTION 10H53 - BAG NON TROUVE - SAT1 11H27 - AHLDUBEI30189 O/B EI527/16SEP</t>
  </si>
  <si>
    <t>AT642542</t>
  </si>
  <si>
    <t>12H47 : APPEL LEAD AT ET COORDO  - SANS REPONSE - 1 SEUL BAGAGE ENREGISTRE PAR PAX  - PASSAGER ARR SUR LE AT778/15SEP - INAD MAIS PAS EMBARQUE SUR LE AT779/16SEP - BAG EN OHDCDGAT37058</t>
  </si>
  <si>
    <t>67 - Customs / Police / Immigration action</t>
  </si>
  <si>
    <t>AT673808</t>
  </si>
  <si>
    <t>12H47 : APPEL LEAD AT - SANS REPONSE /  5 KGS - BAG CABINE SUREMENT PRIS DANS L AVION - PAS DE DOSSIER OUVERT A J+1</t>
  </si>
  <si>
    <t>RJ719263</t>
  </si>
  <si>
    <t>DUPE</t>
  </si>
  <si>
    <t>ENVOI BAG RUNNER EN JETEE CAR PAS D INJECTION / CONFIRMATION RECU PAR SUP GALERIE - LE TAG EST UN DUPE // ANNULE EN BAGERA PAR LA SUITE</t>
  </si>
  <si>
    <t>AF408699</t>
  </si>
  <si>
    <t>AF1295</t>
  </si>
  <si>
    <t>15:05</t>
  </si>
  <si>
    <t>ARRIVEES 2E 16H06</t>
  </si>
  <si>
    <t>DECHARGE AUX ARRIVEES 2E</t>
  </si>
  <si>
    <t>16H15 APPEL LL 2E POUR REINJECTION BAG CAR DECHARGE AUX ARRIVEES 2E - AHLKEFFI17220 PAS DE RUSH PREVU A J+1</t>
  </si>
  <si>
    <t>LY313688</t>
  </si>
  <si>
    <t>14:18</t>
  </si>
  <si>
    <t>16H00 APPEL TMB POUR CHECK SLB - NEG - AUCUNE TRACE DANS NOS DIFFERENTS SYSTEMES - AHLKEFFI17219 OUVERT AVEC TAG LY313666 ANN DANS BAGERA</t>
  </si>
  <si>
    <t>EK681822</t>
  </si>
  <si>
    <t>EK073</t>
  </si>
  <si>
    <t>15H00 APPEL SBA 2C POUR CHECK SLB / NEG - AUCUNE TRACE DANS NOS SYSTÈMES JUSQU AU 17SEP 2C HF 15H13 - AHLKEFFI17222 PAS DE RUSH PREVU A J+1</t>
  </si>
  <si>
    <t>AF408724</t>
  </si>
  <si>
    <t>T1 INJECT 17H08</t>
  </si>
  <si>
    <t>CHARGE EN NAVETTE T2/T1 A 16H40 TROP TARD POUR CHARGEMENT - AHLKEFFI17220 PAS DE RUSH PREVU A J+1</t>
  </si>
  <si>
    <t>AF382335</t>
  </si>
  <si>
    <t>AF253</t>
  </si>
  <si>
    <t>18:08</t>
  </si>
  <si>
    <t>TME JETEE113 18H58</t>
  </si>
  <si>
    <t>19H00 ENVOIE BAGRUNNER POUR RECUP ET DEPOSE SOUS BORD</t>
  </si>
  <si>
    <t>XH966574</t>
  </si>
  <si>
    <t>HF 2D 18H47</t>
  </si>
  <si>
    <t>20H30 DEMANDE AU BAGRUNNER D'ALLER VERIFIER ET ENVOIE SOUS BORD / BAG INTROUVABLE -AHLNOUSB55372 TOUJOURS OUVERT ARR DU VOL SB501 LE 18SEP /BAG PAS RECU SUR LE VOL /18SEP</t>
  </si>
  <si>
    <t>SB738110</t>
  </si>
  <si>
    <t>HF 2C 20H09</t>
  </si>
  <si>
    <t>21H00 APPEL GALERIE POUR ENVOIE SOUS BORD - DERNIERE LOC AU T2A TRI SECURISATION MAIS BAG INTROUVABLE -/ J+2 PAS DE DOSSIER OUVERT</t>
  </si>
  <si>
    <t>LY307288</t>
  </si>
  <si>
    <t>10:14</t>
  </si>
  <si>
    <t>NAVETTE VERS T2A 12H43</t>
  </si>
  <si>
    <t>VERIFICATION TBM ET GALERIE / INTROUVABLE - AHLGRULA57363 O/B LA8133/17SEP</t>
  </si>
  <si>
    <t>LY307300</t>
  </si>
  <si>
    <t>17/09/2026</t>
  </si>
  <si>
    <t>XH281053</t>
  </si>
  <si>
    <t>OU476</t>
  </si>
  <si>
    <t>17:43</t>
  </si>
  <si>
    <t>TBM EJECTION VERS 2C 18H12</t>
  </si>
  <si>
    <t>REBUT 2C 18H20</t>
  </si>
  <si>
    <t>ENVOI BAGRUNNER A 18H55 POUR VERIFIER EN REBUT 2C/PRIS EN CHARGE A 18H59 ET DEPOSE SUR LA JETEE DEPART A 19H00</t>
  </si>
  <si>
    <t>XH281051</t>
  </si>
  <si>
    <t>TBM EJECTION VERS 2C 18H14</t>
  </si>
  <si>
    <t>REBUT 2C 18H18</t>
  </si>
  <si>
    <t>XH966759</t>
  </si>
  <si>
    <t>BSM CREATION 11H27</t>
  </si>
  <si>
    <t>APPEL LEADER TMB A 19H22 ET DEMANDE DE FAIRE LE NECESSAIRE/RAPPEL A 19H45/FLZ EN SLB 2C/ INJECTE A 20H00/SCANNE  EN PISTE MAIS REFUS</t>
  </si>
  <si>
    <t>XH966760</t>
  </si>
  <si>
    <t>APPEL LEADER TMB A 19H22 ET DEMANDE DE FAIRE LE NECESSAIRE/RAPPEL A 19H45/FLZ EN SLB 2C/INJECTE  A 20H00</t>
  </si>
  <si>
    <t>AI544604</t>
  </si>
  <si>
    <t>T2C EJECTION C04 19H47</t>
  </si>
  <si>
    <t>LAST</t>
  </si>
  <si>
    <t>APPEL SUP GALERIE A 19H50 ET SIGNALE</t>
  </si>
  <si>
    <t>LY339390</t>
  </si>
  <si>
    <t>11H57 : ENVOI BAGRUNNER AU TBM POUR ANTICIPER ARV BAG - PRISE EN CHARGE A 12H18 POUR DEPOSE SS BORD A 12H25</t>
  </si>
  <si>
    <t>LY339363</t>
  </si>
  <si>
    <t>11H57 : ENVOI BAGRUNNER AU TBM POUR ANTICIPER ARV BAG - PRISE EN CHARGE A 12H20 POUR DEPOSE SS BORD A 12H25</t>
  </si>
  <si>
    <t>LY339275</t>
  </si>
  <si>
    <t>11H57 : ENVOI BAGRUNNER AU TBM POUR ANTICIPER ARV BAG - PRISE EN CHARGE A 12H21 POUR DEPOSE SS BORD A 12H25</t>
  </si>
  <si>
    <t>XH966746</t>
  </si>
  <si>
    <t>12H05 : APPEL TMB - SANS REPONSE / 12H27 : APPEL LEAD TMB - OK BAG SERA EMMENE  L AVION</t>
  </si>
  <si>
    <t>AT695141</t>
  </si>
  <si>
    <t>12H25 : APPEL COORDO - SANS REPONSE / RAPPEL A 12H42 : / NEG/ BAG LOCALISE AU HF2B 16H40 /A CMNAT65776 EN ATTENTE DE FWD</t>
  </si>
  <si>
    <t>AT704223</t>
  </si>
  <si>
    <t>T2B EJECTION B02 17H43</t>
  </si>
  <si>
    <t>APPEL SUP GALERIE T2 A 17H44 ET SIGNALE</t>
  </si>
  <si>
    <t>AT704247</t>
  </si>
  <si>
    <t>2B HORS FORMAT 17H50</t>
  </si>
  <si>
    <t>APPEL SUP GALERIE T2 A 17H52  ET SIGNALE</t>
  </si>
  <si>
    <t>AT702158</t>
  </si>
  <si>
    <t>PISTE 18H23</t>
  </si>
  <si>
    <t>CHARGE ET DECHARGE</t>
  </si>
  <si>
    <t>APPEL LEAD AT A 18H00/STRL/CHARGE ET DECHARGE/APPEL COORDO DU VOL 18H36/STRL PRISE A BORD AVEC ACCORD CIE MAIS VOL FERME POUR L'ANNULER</t>
  </si>
  <si>
    <t>QR137982</t>
  </si>
  <si>
    <t>QR041/17SEP25051</t>
  </si>
  <si>
    <t>NEG REQUETEUR + BAG RADAR / CHECK DONE BY SBA AUSSI NEG PAS CHEZ EUX/A BOGAV25051 CFI  LE 18 SEP  01H30 SUREMENT DECHARGE DANS MAUVAISE ZONE A BOG</t>
  </si>
  <si>
    <t>LO722942</t>
  </si>
  <si>
    <t>LO333/16SEP</t>
  </si>
  <si>
    <t>22:58</t>
  </si>
  <si>
    <t>TMB CONTACTE 06H45 CONFIRME AVOIR 10 INBOUND POUR AV DU JOUR / ENVOI BAG RUNNER POUR RECP ET INJ NAVETTE T1</t>
  </si>
  <si>
    <t>LO723009</t>
  </si>
  <si>
    <t>LO723683</t>
  </si>
  <si>
    <t>LO724260</t>
  </si>
  <si>
    <t>LO724270</t>
  </si>
  <si>
    <t>LO724271</t>
  </si>
  <si>
    <t>LO726702</t>
  </si>
  <si>
    <t>LO726738</t>
  </si>
  <si>
    <t>LO727397</t>
  </si>
  <si>
    <t>LO727430</t>
  </si>
  <si>
    <t>LO724318</t>
  </si>
  <si>
    <t>BAG NON LOCALISE CHEZ TMB / POIDS DE 23KG / J+1  A BOGAV25050 /BAG PRESENTE SUR LE VOL AV055/18SEP EN REFUS</t>
  </si>
  <si>
    <t>LO724319</t>
  </si>
  <si>
    <t>BAG NON LOCALISE CHEZ TMB / POSS CABIN BAG POIDS 11KG A VERIFIER? / CHARGE PAR LA SUITE 08H51</t>
  </si>
  <si>
    <t>WS467571</t>
  </si>
  <si>
    <t>11:43</t>
  </si>
  <si>
    <t>13H07 : ENVOI BAGRUNNER EN EM92 POUR RECUP BAG - PRISE EN CHARGE 14H40 POUR DEPOSE SS BORD 16H19</t>
  </si>
  <si>
    <t>WS467574</t>
  </si>
  <si>
    <t>EI132813</t>
  </si>
  <si>
    <t>12H31 : APPEL DIRBY T1 - SANS REPONSE/RUSH REFAIT SUR LE EI527/17SEP</t>
  </si>
  <si>
    <t>EI132814</t>
  </si>
  <si>
    <t>12H31 : APPEL DIRBY T1 - SANS REPONSE / PAS DE RUSH REFAIT</t>
  </si>
  <si>
    <t>EI132815</t>
  </si>
  <si>
    <t>EI273805</t>
  </si>
  <si>
    <t>T1 EJECTION CARR SAT4</t>
  </si>
  <si>
    <t>12H29 : APPEL GALERIE T1 POUR DONNER LOC BAG - BAG DEPOSE A L AVION</t>
  </si>
  <si>
    <t>EI274339</t>
  </si>
  <si>
    <t>T1 EJECTION SAT 4 - WJ43</t>
  </si>
  <si>
    <t>15H45 : APPEL GALERIE T1 - BAG ENCORE ATTENDU</t>
  </si>
  <si>
    <t>EI274447</t>
  </si>
  <si>
    <t>EI274606</t>
  </si>
  <si>
    <t>EI132823</t>
  </si>
  <si>
    <t>BSM CREATION 12H47</t>
  </si>
  <si>
    <t>APPEL SUP DIRBY T1 A 16H50/DEMANDE DE FAIRE LE NECESSAIRE/DIT QU'IL N'Y A PLUS PERSONNE EN GALERIE POUR ENVOYER LE RUSH SUR LE VOL</t>
  </si>
  <si>
    <t>EI274186</t>
  </si>
  <si>
    <t>BSM CREATION 13H40</t>
  </si>
  <si>
    <t>APPEL LEADER EI A 17H10 MAIS PAS DE REPONSE/RAPPEL A 17H20/PAS DE REPONSE/STRL EN ALTEA/SUREMENT PRISE A BORD PAR PAX/</t>
  </si>
  <si>
    <t>EI275512</t>
  </si>
  <si>
    <t>T1 EJECTION WJ40 20H21</t>
  </si>
  <si>
    <t>PAS DE MVT 21H07</t>
  </si>
  <si>
    <t>APPEL GALERIE T1 A 21H08 ET SIGNALE</t>
  </si>
  <si>
    <t>EI275407</t>
  </si>
  <si>
    <t>T1 HORS FORMAT 20H03</t>
  </si>
  <si>
    <t>LY339783</t>
  </si>
  <si>
    <t>13H10 : ENVOI BAGRUNNER MC80 - NEG BAG NON TROUVE / NEG DANS TS SYSTEMES/A KEFFI17246 EN ATTENTE DE FWD</t>
  </si>
  <si>
    <t>LY337060</t>
  </si>
  <si>
    <t>13H30 : APPEL GALERIE T1  - BAG NON RECU/A KEFFI17243 EN ATTENTE DE FWD</t>
  </si>
  <si>
    <t>LY339716</t>
  </si>
  <si>
    <t>T1 EJECTION SJ06</t>
  </si>
  <si>
    <t>13H30 : APPEL GALERIE T1  - BAG NON RECU/A KEFFI17246 EN ATTENTE DE FWD</t>
  </si>
  <si>
    <t>LY339889</t>
  </si>
  <si>
    <t>13H30 : APPEL GALERIE T1  - BAG NON RECU/A KEFFI17242 EN ATTENTE DE FWD</t>
  </si>
  <si>
    <t>LY340027</t>
  </si>
  <si>
    <t>13H30 : APPEL GALERIE T1  - BAG NON RECU/A KEFFI17247 EN ATTENTE DE FWD</t>
  </si>
  <si>
    <t>LY340147</t>
  </si>
  <si>
    <t>13H30 : APPEL GALERIE T1  - BAG NON RECU/A KEFFI17241 EN ATTENTE DE FWD</t>
  </si>
  <si>
    <t>LY340171</t>
  </si>
  <si>
    <t>LY340187</t>
  </si>
  <si>
    <t>13H30 : APPEL GALERIE T1  - BAG NON RECU/A KEFFI17245 EN ATTENTE DE FWD</t>
  </si>
  <si>
    <t>LY340241</t>
  </si>
  <si>
    <t>13H30 : APPEL GALERIE T1  - BAG NON RECU/A KEFFI17244 EN ATTENTE DE FWD</t>
  </si>
  <si>
    <t>LY340253</t>
  </si>
  <si>
    <t>LY340275</t>
  </si>
  <si>
    <t>AF484351</t>
  </si>
  <si>
    <t>AF1747</t>
  </si>
  <si>
    <t>15:13</t>
  </si>
  <si>
    <t>TBM EJECTION VERS T1 16H28</t>
  </si>
  <si>
    <t>PRIS EN CHARGE PAR BAGRUNNER A 16H29 AU TBM ET DEPOSE SUR LA JETEE DEPART A 16H44 CAR VOL RETARDE/APPEL GALERIE T1 A 17H02 ET SIGNALE BAG EN SJ06</t>
  </si>
  <si>
    <t>FI806947</t>
  </si>
  <si>
    <t>T1 CYNO 16H43</t>
  </si>
  <si>
    <t>APPEL GALERIE T1 A 117H02 ET SIGNALE POUR LE RECUPERER</t>
  </si>
  <si>
    <t>HF096775</t>
  </si>
  <si>
    <t>HORS FORMAT 2A</t>
  </si>
  <si>
    <t>PAS DE MVMT DEPUIS 06H50 / ENVOI BAG RUNNER CONFIRME AVOIR ÉTÉ DEPOSE SS BORD SANS SCAN</t>
  </si>
  <si>
    <t>JU217761</t>
  </si>
  <si>
    <t>T2D EJECTION D02 19H37</t>
  </si>
  <si>
    <t>PAS DE MVT 19H59</t>
  </si>
  <si>
    <t>APPEL SUP GALERIE 20H00/PAS DE REPONSE/APPEL CHEF D'EQUIPE 20H01/PAS DE REPONSE/SIGNALE PAR BAGRUNNER AU MANUT DU VOL A 20H05</t>
  </si>
  <si>
    <t>JU217772</t>
  </si>
  <si>
    <t>T2D EJECTION D02 19H35</t>
  </si>
  <si>
    <t>JU217776</t>
  </si>
  <si>
    <t>JU217802</t>
  </si>
  <si>
    <t>T2D EJECTION D02 19H49</t>
  </si>
  <si>
    <t>LA755927</t>
  </si>
  <si>
    <t>INACTIF</t>
  </si>
  <si>
    <t>11H20 : ATT / BAG INACTIF - APPEL LEAD - BAG SERA REACTIVE A LA FIN DU VOL - CHARGE EN CONTENANT</t>
  </si>
  <si>
    <t>LA810097</t>
  </si>
  <si>
    <t>REBUT 2A</t>
  </si>
  <si>
    <t>11H20 : ATT / BAG INACTIF - APPEL LEAD - BAG SERA REACTIVE A LA FIN DU VOL - CHARGE EN CONTENANT /  RESTE EN A CHARGER - A VERIF</t>
  </si>
  <si>
    <t>LA810939</t>
  </si>
  <si>
    <t>LA810990</t>
  </si>
  <si>
    <t>CA854973</t>
  </si>
  <si>
    <t>11H45 : BAG EN ATTENTE - TAG EN DOUBLON - PAX SUREMENT RRTE - BAG CHARGE SUR LA8133/16SEP A 21H37 - EN CONTENANT RB</t>
  </si>
  <si>
    <t>XH966735</t>
  </si>
  <si>
    <t>HU103517</t>
  </si>
  <si>
    <t>HU7907</t>
  </si>
  <si>
    <t>07:10</t>
  </si>
  <si>
    <t>13H10 : APPEL CHEF GALERIE - BAG BIEN CHARGE EN CONTENANT - PEUT ETRE CHARGE SAN SCAN - /J+1 PAS DE DOSSIER OUVERT</t>
  </si>
  <si>
    <t>LO748626</t>
  </si>
  <si>
    <t>T2D EJECTION D02 17H49</t>
  </si>
  <si>
    <t>PAS DE MVT 18H46</t>
  </si>
  <si>
    <t>APPEL SUP GALERIE T2 A 18H56 ET SIGNALE</t>
  </si>
  <si>
    <t>LO748635</t>
  </si>
  <si>
    <t>T2D EJECTION D02 17H50</t>
  </si>
  <si>
    <t>PAS DE MVT 18H47</t>
  </si>
  <si>
    <t>LO749332</t>
  </si>
  <si>
    <t>T2D EJECTION D02 19H01</t>
  </si>
  <si>
    <t>APPEL CHEF D'EQUIPE 2D  A 19H06 ET SIGNALE</t>
  </si>
  <si>
    <t>18/09/2026</t>
  </si>
  <si>
    <t>AC940585</t>
  </si>
  <si>
    <t>TBM REC CYNO  11H18</t>
  </si>
  <si>
    <t>12H15 :CYNO VERIFIE PAR  BAG RUNNER MAIS NEGATIF →  AGENT CYNO CONF L AVOIR TRAITE ET ENVOYE SS BORD</t>
  </si>
  <si>
    <t>AT712965</t>
  </si>
  <si>
    <t>T2B EJECTION 05H31</t>
  </si>
  <si>
    <t>6H50 : CTC  SUP GALERIE + B02 VERIFIE PAR BAG RUNNER : BAG INTROUVABLE /J+1 PAS DE DOSSIER OUVERT</t>
  </si>
  <si>
    <t>AF559836</t>
  </si>
  <si>
    <t>AF1151</t>
  </si>
  <si>
    <t>14:15</t>
  </si>
  <si>
    <t>JETEE 113 16H40</t>
  </si>
  <si>
    <t>AUCUNE TRACE EN BAGERA → VU A 16H58 EN REQUETEUR  EN JETEE 113 : CTC AGENT JETEE 113  POUR MISE A DISPO ET PRISE  EN CHARGE PAR BAGRUNNER → 17H18 :DEPOSE JETEE</t>
  </si>
  <si>
    <t>AT723798</t>
  </si>
  <si>
    <t>T2B EJECTION B02 15H06</t>
  </si>
  <si>
    <t>PAS DE MVT 17H37</t>
  </si>
  <si>
    <t>17H37 : CTC CHEF D'EQUIPE PR VERIFICATION ET PRISE EN CHARGE → BAG TRES LEGER 1KG</t>
  </si>
  <si>
    <t>LH227635</t>
  </si>
  <si>
    <t>LH1050/ 17SEP</t>
  </si>
  <si>
    <t>22:13</t>
  </si>
  <si>
    <t>T1 ARRIVEE 6 22H32</t>
  </si>
  <si>
    <t>BAG LIVRE EN SLB LE 17/09→  CTC DIRBY T1: PLUSIEURS APPELS SANS RÉPONSE →  AGENT DIRBY SEULE SUR PLACE : AUCUNE ACTION POSSIBLE /A/LPBAV19722 -O/CDGLH13170-EN ATTENTE DE FWD</t>
  </si>
  <si>
    <t>EK778183</t>
  </si>
  <si>
    <t>EK73/17SEP</t>
  </si>
  <si>
    <t>13:25</t>
  </si>
  <si>
    <t>AUCUINE LOC</t>
  </si>
  <si>
    <t>RRTED DU VOL AF436/17SEP : ANNULE→  AUCUNE TRACE TOUS SYSTEMES /   BOGAV25058-EN ATTENTE FWD</t>
  </si>
  <si>
    <t>EK778184</t>
  </si>
  <si>
    <t>AV74708</t>
  </si>
  <si>
    <t>BSM CREA 06H00</t>
  </si>
  <si>
    <t>POUSSETTE 5 KGS  PRISE EN PORTE</t>
  </si>
  <si>
    <t>WS470667</t>
  </si>
  <si>
    <t>EM92 12H26</t>
  </si>
  <si>
    <t>/</t>
  </si>
  <si>
    <t>13H47  :  PRISE EN CHARGE PAR BAG RUNNER EN EM92 +  DEPOSE SS BORD A 16H12</t>
  </si>
  <si>
    <t>WS470672</t>
  </si>
  <si>
    <t>DE022026</t>
  </si>
  <si>
    <t>T3 TRI 14H57</t>
  </si>
  <si>
    <t>15H47 : APPEL GALERIE T3 POUR PRISE EN CHARGE</t>
  </si>
  <si>
    <t>AF522417</t>
  </si>
  <si>
    <t>AF579</t>
  </si>
  <si>
    <t>08:12</t>
  </si>
  <si>
    <t>T1 ARRIVEE 2</t>
  </si>
  <si>
    <t>09H47: X 2 BAGS DEPOSE TARDIVE EN JETEE DEPART→ 10H03 : DPT VERS PISTE →SOUTES FERMEES→RETOUR LL/DUBEI30283-FO EI521/19SEP</t>
  </si>
  <si>
    <t>AF522460</t>
  </si>
  <si>
    <t>EI277409</t>
  </si>
  <si>
    <t>6KGS - POSSIBLE BAGAGE A MAIN PRIS DANS L AVION/ J+1 PAS DE DOSSIER OUVERT</t>
  </si>
  <si>
    <t>EI277425</t>
  </si>
  <si>
    <t>EI132923</t>
  </si>
  <si>
    <t>REBUT T1 14H39</t>
  </si>
  <si>
    <t>15H45 : APPEL GALERIE T1  POUR PRISE EN CHARGE</t>
  </si>
  <si>
    <t>EI277804</t>
  </si>
  <si>
    <t>EI277939</t>
  </si>
  <si>
    <t>T1 EJECTION CARROUSSEL WJ43 14H32</t>
  </si>
  <si>
    <t>EI277945</t>
  </si>
  <si>
    <t>BR722000</t>
  </si>
  <si>
    <t>BR87</t>
  </si>
  <si>
    <t>JETEE T1  11H04</t>
  </si>
  <si>
    <t>BAGAGE INCONNU : REFUS</t>
  </si>
  <si>
    <t>12H33 : RETOUR LL→  12H55 : APPEL DIRBY + SBA PR REMISE EN CIRCUIT CAR PAX A BORD  →  BAG NON LOCALISE EN SLB DU T1 →  13H20 : VU AVEC GALERIE BAG INTROUVABLE  /KEFFI17274 -EN ATTENTE FWD</t>
  </si>
  <si>
    <t>FI815218</t>
  </si>
  <si>
    <t>T1 EJECTION SJ06 12H21</t>
  </si>
  <si>
    <t>13H20 : APPEL GALERIE  POUR PRISE EN CHARGE</t>
  </si>
  <si>
    <t>FI815220</t>
  </si>
  <si>
    <t>AF519911</t>
  </si>
  <si>
    <t>07:30</t>
  </si>
  <si>
    <t>T2B DECHARGE NAVETTE 09H29</t>
  </si>
  <si>
    <t>10H00 : X 5 BAGS  DEPOSE PAR ERREUR EN A18 PAR  AGENT TBM → 10H01 :TROUVE ET  PRIS EN CHARGE PAR BAG RUNNER +DEPOSE S/ BORD</t>
  </si>
  <si>
    <t>DL707792</t>
  </si>
  <si>
    <t>07:58</t>
  </si>
  <si>
    <t>AF536091</t>
  </si>
  <si>
    <t>07:36</t>
  </si>
  <si>
    <t>AF536331</t>
  </si>
  <si>
    <t>AF536092</t>
  </si>
  <si>
    <t>AF570953</t>
  </si>
  <si>
    <t>17:58</t>
  </si>
  <si>
    <t>TBM MC80 18H48</t>
  </si>
  <si>
    <t>19H02 : PRIS EN CHARGE PAR BAGRUNNER ET DEPOSE SUR LA JETEE DEPART</t>
  </si>
  <si>
    <t>DL718817</t>
  </si>
  <si>
    <t>AF0025</t>
  </si>
  <si>
    <t>13:22</t>
  </si>
  <si>
    <t>TBM MC80 17H48</t>
  </si>
  <si>
    <t>AF549874</t>
  </si>
  <si>
    <t>TBM MC80 12H33</t>
  </si>
  <si>
    <t>12H45 :TBM MC80 + JETEE VERIF PAR BAG RUNNER :NEG→ 13H43: SCANNE SUR LE SK568 PAR ERREUR /GRULA57458 FO LA8133/19SEP</t>
  </si>
  <si>
    <t>XH966812</t>
  </si>
  <si>
    <t>RUSH PRESENTE PAR ERREUR SUR LE LA8133/18SEP ISO LA8133/19SEP → DEMANDE ANNULATION RUSH A TMB</t>
  </si>
  <si>
    <t>LA834585</t>
  </si>
  <si>
    <t>13H03: CTC LEAD DU VOL PR ACTIVER BAG → 13H35 :B AG TJS INACTIF → POSS FORCE/CHARGE MAIS  SANS SCAN / J+1 PAS DOSSIER CREE</t>
  </si>
  <si>
    <t>LO755099</t>
  </si>
  <si>
    <t>X40 05H30</t>
  </si>
  <si>
    <t>06H05 : APPEL SUP GALERIE PR VERIF  →06H25 : PRIS EN CHARGE PAR BAG RUNNER POUR REMISE EN CIRCUIT</t>
  </si>
  <si>
    <t>LO754721</t>
  </si>
  <si>
    <t>BSM CREA 5H44</t>
  </si>
  <si>
    <t>06H05 : APPEL SUP GALERIE PR VERIF →06H25:PRIS EN CHARGE BAG RUNNER +DEPOSE S/ BORD</t>
  </si>
  <si>
    <t>HU173452</t>
  </si>
  <si>
    <t>HU757</t>
  </si>
  <si>
    <t>07:59</t>
  </si>
  <si>
    <t>REBUS T1 08H59</t>
  </si>
  <si>
    <t>X 3 BAGS LOCALISE  REBUT T1 →  10H00+10H30 : 2 X APPELS  GALL T1  POUR  VERIF ET RECUP → 11H14 :MIS EN NAVETTE TARDIVEMENT →  TROP TARD POUR LE VOL/WAWLO69817-FO LO332/19SEP</t>
  </si>
  <si>
    <t>HU173453</t>
  </si>
  <si>
    <t>X 3 BAGS LOCALISE SEN HX2 + REBUT T1 →  10H05+10H35 : 2 X APPELS  GALL T1  POUR  VERIF ET RECUP → 11H14 :MIS EN NAVETTE TARDIVEMENT →  TROP TARD POUR LE VOL/WAWLO69817-FO LO332/19SEP</t>
  </si>
  <si>
    <t>HU624354</t>
  </si>
  <si>
    <t>HU403188</t>
  </si>
  <si>
    <t>AUCUN ETRACE</t>
  </si>
  <si>
    <t>NEGATIF TOUS SYSTEMES PUIS 1ERE LOC AU SAT1 A 14H28 /WAWLO69817-FO LO332/19SEP</t>
  </si>
  <si>
    <t>XH865301</t>
  </si>
  <si>
    <t>BSM CREATION 19H47</t>
  </si>
  <si>
    <t>20H00  : APPEL LEAD PR INFO :HBAG AVEC LR → 20H40 : APPEL COORDO CONFIRME LE CHARGEMENT SANS SCAN  ( pensait qu'il n'était pas dans le système)</t>
  </si>
  <si>
    <t>XH865340</t>
  </si>
  <si>
    <t>BSM CREATION 19H49</t>
  </si>
  <si>
    <t>LO728820</t>
  </si>
  <si>
    <t>VOIR COMMENTAIRE CI-DESSUS</t>
  </si>
  <si>
    <t>LO729091</t>
  </si>
  <si>
    <t>LO729099</t>
  </si>
  <si>
    <t>LO729174</t>
  </si>
  <si>
    <t>LO729636</t>
  </si>
  <si>
    <t>LO729639</t>
  </si>
  <si>
    <t>LO729642</t>
  </si>
  <si>
    <t>LO729643</t>
  </si>
  <si>
    <t>LO729644</t>
  </si>
  <si>
    <t>RJ747137</t>
  </si>
  <si>
    <t>T2C - C03 14H19</t>
  </si>
  <si>
    <t>15H00 : ENVOI BAGRUNNER CARR 3 → VU AVEC AGENT GALERIE:  BAG SUREMENT PARTI  SS SCAN → 15H37 : APPEL GALERIE  :  BAG TJS NON VU  /J+1 PAS DE DOSSIER OUVERT</t>
  </si>
  <si>
    <t>19/09/2026</t>
  </si>
  <si>
    <t>AF641372</t>
  </si>
  <si>
    <t>AF1301</t>
  </si>
  <si>
    <t>14:23</t>
  </si>
  <si>
    <t>TBS  14H53</t>
  </si>
  <si>
    <t>PAS DE SORTIE STOCKEUR</t>
  </si>
  <si>
    <t>17H27 : DEMANDE AU  PILOTE AF DE FAIRE EXTRAIRE LE BAGAGE AU TBC</t>
  </si>
  <si>
    <t>AI676474</t>
  </si>
  <si>
    <t>21H28 : CTC LEAD GATE PR CONF SI CREW A UN BAG → CONF BAG RECHERCHE PAR LA CIE → 21H29 : REBUS C05 + HF+ CYNO + GALERIE VERIF PAR BAGRUNNER :NEG→NEG TS SYSTEMES / SUREMENT BAG FANTOME→ A VERIF / J+ 1 PAS DE DOSSIER OUVERT</t>
  </si>
  <si>
    <t>AT749975</t>
  </si>
  <si>
    <t>17H11 : CTC  LEADER AT  POUR ACTIVER LE TAG DANS LE S YSTEME</t>
  </si>
  <si>
    <t>AT749976</t>
  </si>
  <si>
    <t>AF659426</t>
  </si>
  <si>
    <t>AF1235</t>
  </si>
  <si>
    <t>17:02</t>
  </si>
  <si>
    <t>2E VERS TBM 17H50</t>
  </si>
  <si>
    <t>18H06 : CTC AGENT  TBM MC80 PR SIGNALER BAG HOT CNX → SERA LIVRER SOUS BORD</t>
  </si>
  <si>
    <t>LH378766</t>
  </si>
  <si>
    <t>22:39/18SEP</t>
  </si>
  <si>
    <t>ARRIVEES T1</t>
  </si>
  <si>
    <t>DECHARGE AUX ARRIVEES</t>
  </si>
  <si>
    <t>06H15 :  CTC  DIRBY T1 POUR CHECK SLB ET RE-INJECTER LE BAG</t>
  </si>
  <si>
    <t>AV105836</t>
  </si>
  <si>
    <t>INJECT WJ43 05H41</t>
  </si>
  <si>
    <t>CHECK AVEC GALERIE  T1 : PEUT ETRE CHARGE SANS SCAN /J+ 1 PAS DE DOSSIER OUVERT</t>
  </si>
  <si>
    <t>TN124748</t>
  </si>
  <si>
    <t>09H35: PRIS EN CHARGE PAR BAGRUNNER ET ENVOIE T3</t>
  </si>
  <si>
    <t>TN124769</t>
  </si>
  <si>
    <t>09H35 :PRIS EN CHARGE PAR BAGRUNNER ET ENVOIE T3</t>
  </si>
  <si>
    <t>WS473343</t>
  </si>
  <si>
    <t>11:52</t>
  </si>
  <si>
    <t>TBM CYNO 12H28</t>
  </si>
  <si>
    <t>15H09 :PRIS EN CHARGE PAR BAGRUNNER + LIVRE SOUS BORD A 15H54</t>
  </si>
  <si>
    <t>WS473344</t>
  </si>
  <si>
    <t>EI279283</t>
  </si>
  <si>
    <t>WJ43 08H20</t>
  </si>
  <si>
    <t>9H40 : CHECK AVEC GALERIE  T1 :NEG /BAG INTROUVABLE → 20H11 : VU AU REBUS T1  /DUBEI30356 FO EI521/20SEP</t>
  </si>
  <si>
    <t>EI279244</t>
  </si>
  <si>
    <t>BSM CREA 08H05</t>
  </si>
  <si>
    <t>BAG 5KG / POTENTIEL BAG CABINE /J+ 1PAS DE DOSSIER OUVERT</t>
  </si>
  <si>
    <t>EI279722</t>
  </si>
  <si>
    <t>REBUT T1 09H01</t>
  </si>
  <si>
    <t>10H30:  CTC GALERIE T1 POUR ENVOIE SOUS BORD</t>
  </si>
  <si>
    <t>EI280375</t>
  </si>
  <si>
    <t>WJ43 09H49</t>
  </si>
  <si>
    <t>10H45 : CTC  GALERIE T1  PR VERIF JETEE  → TOUT EST PARTI SUR PISTE /J+1 PAS DE DOSSIER OUVERT</t>
  </si>
  <si>
    <t>IB041101</t>
  </si>
  <si>
    <t>T3 TRI 10H56</t>
  </si>
  <si>
    <t>12H00: CTC  GALERIE T3/ NAVETTE SAMSIC:  REFUSE DE PRENDRE LE BAG → PROBLEME DE CONTRAT/12H15 : CTC  DIRBY  T3 PR PRISE EN CHARGE RUSH → 0 ACTION</t>
  </si>
  <si>
    <t>EI133051</t>
  </si>
  <si>
    <t>AF651259</t>
  </si>
  <si>
    <t>AF1763</t>
  </si>
  <si>
    <t>AUCUNE  TRACE TOUS SYTEMES PUIS VU EN  AUTORUSH SUR  BOB A 16H50 AU T2G  → 18H03 : EJECTION WJ41 /DUBEI30382 FO EI521/20SEP</t>
  </si>
  <si>
    <t>AF612579</t>
  </si>
  <si>
    <t>14:48</t>
  </si>
  <si>
    <t>T1 EJECTION WJ43 16H08</t>
  </si>
  <si>
    <t>16H20 : CTC GALERIE T1  POUR VERIF ET ENVOI SOUS BORD</t>
  </si>
  <si>
    <t>EI282485</t>
  </si>
  <si>
    <t>T1 EJECTION WJ43 16H00</t>
  </si>
  <si>
    <t>DL925500</t>
  </si>
  <si>
    <t>DL290</t>
  </si>
  <si>
    <t>13:39</t>
  </si>
  <si>
    <t>TME TRIEUR 16H50</t>
  </si>
  <si>
    <t>TN RENTRE EN 0006 ISO 5006</t>
  </si>
  <si>
    <t>RRTE DU AF1816→ BSM CREE H-15→ LOC EN BOB AU TME→ 16H50 : DMD EXTRACTION BAG AU PIILOTE AF  → SEULE POSSIBILITE EXTRACTION AU  QSE  MAIS TROP TARD POUR CHARGEMENT/DUBEI30386</t>
  </si>
  <si>
    <t>DL932173</t>
  </si>
  <si>
    <t>EI282153</t>
  </si>
  <si>
    <t>NEGATIF TOUS SYTEMES → INDENTIFIE EN STRL EN ALTEA→ SUREMENT PRISE A BORD PAR PAX/J+1 PAS DE DOSSIER OUVERT</t>
  </si>
  <si>
    <t>FI826033</t>
  </si>
  <si>
    <t>BSM CREA 10H45</t>
  </si>
  <si>
    <t>13H00 : CTC  GALERIE T1 POUR VERIF :  NEG /NEGATIF TOUS SYTEME/ 13H15 : TENTATIVE CTC LEAD FI MAIS S/ REPONSE → 21H50 : 1ERE TRACE CYNO T1 /KEFFI17321-EN ATTENTE FWD</t>
  </si>
  <si>
    <t>AF646763</t>
  </si>
  <si>
    <t>AF1139</t>
  </si>
  <si>
    <t>TBM EJECTION MJ91 15H05</t>
  </si>
  <si>
    <t>15H08 : PRIS EN CHARGE PAR  BAG RUNNER +  DEPOSE JETEE</t>
  </si>
  <si>
    <t>DL864461</t>
  </si>
  <si>
    <t>AF003</t>
  </si>
  <si>
    <t>06:04</t>
  </si>
  <si>
    <t>REBUT MJ20 07H09</t>
  </si>
  <si>
    <t>REBUS TBM</t>
  </si>
  <si>
    <t>07H20 : PRIS EN CHARGE PAR  BAGRUNNER+ DEPOSE JETEE</t>
  </si>
  <si>
    <t>DL802024</t>
  </si>
  <si>
    <t>08:05</t>
  </si>
  <si>
    <t>SAT 1 10H06</t>
  </si>
  <si>
    <t>ERREUR D'ACHEMINEMENT</t>
  </si>
  <si>
    <t>ERREUR D'ACHEMINEMENT : BAG CHARGE EN NAVETTE POUR LE T1 A 09H50/BEGJU37427 - FO JU243/20SEP</t>
  </si>
  <si>
    <t>KL571865</t>
  </si>
  <si>
    <t>KL1409</t>
  </si>
  <si>
    <t>17:38</t>
  </si>
  <si>
    <t>JETEE 112 19H17</t>
  </si>
  <si>
    <t>TN RENTRE EN AF ISO KL</t>
  </si>
  <si>
    <t>RRTE DU AF1294 →19H29: CTC  LEADER JU PR MODIF LE TN EN KL ISO AF→19H35 :  CTC  LA JETEE 112  POUR MISE A DISPO BAG → 19H47 : PRIS EN CHARGE PAR BAGRUNNER + DEPOSE JETEE 20H14</t>
  </si>
  <si>
    <t>KL571894</t>
  </si>
  <si>
    <t>KL571909</t>
  </si>
  <si>
    <t>JETEE 112 19H18</t>
  </si>
  <si>
    <t>KL571930</t>
  </si>
  <si>
    <t>JETEE 112 19H19</t>
  </si>
  <si>
    <t>KL571982</t>
  </si>
  <si>
    <t>JETEE 112 19H20</t>
  </si>
  <si>
    <t>KL572026</t>
  </si>
  <si>
    <t>JETEE 112 19H21</t>
  </si>
  <si>
    <t>KL572071</t>
  </si>
  <si>
    <t>JETEE 112 19H22</t>
  </si>
  <si>
    <t>KL572091</t>
  </si>
  <si>
    <t>TME ZHF 18H48</t>
  </si>
  <si>
    <t>RRTE DU AF1294→ 19H29 :CTC LEADER PR MODIF LE TN EN KL ISO AF→ 20H20 : CTC  TBM MC80 PR VERIFIER LA ZONE HF ET LIVRER LE BAG SOUS BORD</t>
  </si>
  <si>
    <t>KL572182</t>
  </si>
  <si>
    <t>JETEE 112 19H24</t>
  </si>
  <si>
    <t>KL572142</t>
  </si>
  <si>
    <t>TME ZHF 18H49</t>
  </si>
  <si>
    <t>DL649383</t>
  </si>
  <si>
    <t>DL0224</t>
  </si>
  <si>
    <t>08:46</t>
  </si>
  <si>
    <t>MNB A18</t>
  </si>
  <si>
    <t>TN RENTRE EN 0006 ISO 3006</t>
  </si>
  <si>
    <t>RRTE DU JU241→19H29: CTC  LEADER JU PR MODIF LE TN EN KL ISO AF →19H58 : CTC LEAD TMB PR PRISE EN CHARGE MAIS PAS DE BAGO DISPO →  19H59 : PRIS EN CHARGE PAR BAGRUNNER +DEPOSE S/ BORD</t>
  </si>
  <si>
    <t>DL752478</t>
  </si>
  <si>
    <t>TBM MC80 20H18</t>
  </si>
  <si>
    <t>RRTE DU JU241→19H55:  CTC LEAD  JUPOUR MODIF TN EN KL ISO AF →20H22 : PRIS EN CHARGE PAR BAGRUNNER +T LIVRE SOUS BORD A 20H34</t>
  </si>
  <si>
    <t>DL764162</t>
  </si>
  <si>
    <t>RRTE DU JU241→19H29: CTC  LEADER JU PR MODIF LE TN EN KL ISO AF →19H58 : CTC LEAD TMB PR PRISE EN CHARGE MAIS PAS DE BAGO DISPO →  19H59 : PRIS EN CHARGE PAR BAGRUNNER +DEPOSE S/ BORD SS SCAN</t>
  </si>
  <si>
    <t>DL767616</t>
  </si>
  <si>
    <t>AF614708</t>
  </si>
  <si>
    <t>18:28</t>
  </si>
  <si>
    <t>19H33 : PRIS EN CHARGE PAR BAGRUNNER+  DEPOSE SUR LA JETEE DEPART A 20H14</t>
  </si>
  <si>
    <t>AF614777</t>
  </si>
  <si>
    <t>AF614720</t>
  </si>
  <si>
    <t>TBM MC80 19H17</t>
  </si>
  <si>
    <t>AF614714</t>
  </si>
  <si>
    <t>TBM MC80 19H16</t>
  </si>
  <si>
    <t>AF659286</t>
  </si>
  <si>
    <t>TBM MC80 20H16</t>
  </si>
  <si>
    <t>20H22 : PRIS EN CHARGE PAR BAGRUNNER + LIVRE SOUS BORD A 20H34</t>
  </si>
  <si>
    <t>AF659237</t>
  </si>
  <si>
    <t>TBM MC80 20H12</t>
  </si>
  <si>
    <t>JU222703</t>
  </si>
  <si>
    <t>T2D  EJECTION D02 18H32</t>
  </si>
  <si>
    <t>PAS DE MVT 20H55</t>
  </si>
  <si>
    <t>20H58 : VU AVEC D'EQUIPE: BAGAGE SUREMENT CHARGE SANS SCAN / J+1 PAS DE DOSSIER OUVERT</t>
  </si>
  <si>
    <t>AF660181</t>
  </si>
  <si>
    <t>JETEE 113 CYNO 20H49</t>
  </si>
  <si>
    <t>OK CYNO A  21H02→ PRIS EN CHARGE PAR BAGRUNNER A 21H04 MAIS TROP TARD POUR CHARGEMENT→ RETOUR LL 21H14 /BEGJU37439 - FO JU243/20SEP</t>
  </si>
  <si>
    <t>JU222756</t>
  </si>
  <si>
    <t>21H15 :VU AC  LEAD JU : POUSSETE PRISE EN PORTE PAR PAX</t>
  </si>
  <si>
    <t>BA151846</t>
  </si>
  <si>
    <t>09:38</t>
  </si>
  <si>
    <t>ARRIVEES 2C 10H45</t>
  </si>
  <si>
    <t>DLV EN SLB</t>
  </si>
  <si>
    <t>CF COMMENTAIRES CI- DESSUS</t>
  </si>
  <si>
    <t>BA152075</t>
  </si>
  <si>
    <t>BA152199</t>
  </si>
  <si>
    <t>BA152426</t>
  </si>
  <si>
    <t>BA148890</t>
  </si>
  <si>
    <t>RJ120</t>
  </si>
  <si>
    <t>RJ754558</t>
  </si>
  <si>
    <t>BSM CREA 05H26</t>
  </si>
  <si>
    <t>06H29 : CTC  LEAD PR VERIF TYPE BAG ( 13KG):  NO STRL/ NO HF → 06H32 : APRES VERIF AU REBUS DU C PAR BAGRUNNER  BAG PRIS EN CHARGE ET DEPOSE S/ BORD</t>
  </si>
  <si>
    <t>RJ758922</t>
  </si>
  <si>
    <t>BSM CREA 13H28</t>
  </si>
  <si>
    <t>14H48 : CTC LEAD CKIN POUR VERIF TYPE  BAG :NO STRL/NO HF  → 14H50: VERIF AC GALERIE : NEG→14H55 : TROUVE AU REBUT DU C PAR BAGRUNNER ET LIVRE SOUS BORD A 15H25</t>
  </si>
  <si>
    <t>20/09/2026</t>
  </si>
  <si>
    <t>XH966859</t>
  </si>
  <si>
    <t>HF 2D / 21H14 19SEP</t>
  </si>
  <si>
    <t>07H00 APPEL TMB POUR CHECK ET ENVOIE SOUS BORD</t>
  </si>
  <si>
    <t>AT764180</t>
  </si>
  <si>
    <t>NOTE DECHARGE</t>
  </si>
  <si>
    <t>DECHARGE DE CONTENANT  ALORS QUE PAX BIEN A BORD /J+1 BAG NON AUTORISE EN SOUTE  AHL CMNAT35834 -FO AT789/20SEP</t>
  </si>
  <si>
    <t>AT764100</t>
  </si>
  <si>
    <t>PAX ANNULE BAG DECHARGE DE CONTENANT MAIS APPARAIT EN MANQUANT → BAG NON ANNULE DANS LE SYTEME SUITE PROCEDURE AT CIE</t>
  </si>
  <si>
    <t>AT760490</t>
  </si>
  <si>
    <t>AT764064</t>
  </si>
  <si>
    <t>AT770236</t>
  </si>
  <si>
    <t>BSM ONLY 11H15</t>
  </si>
  <si>
    <t>12H45 :VU AVEC LEADER :BAGAGE A MAIN QUI SERA PRIS EN PORTE</t>
  </si>
  <si>
    <t>AT775683</t>
  </si>
  <si>
    <t>T2B EJECTION B02 15H27</t>
  </si>
  <si>
    <t>PAS DE MVT 17H38</t>
  </si>
  <si>
    <t>17H40 : VU AVEC SUP GALERIE : BAG LIVRE SOUS BORD SANS SCAN</t>
  </si>
  <si>
    <t>AT777039</t>
  </si>
  <si>
    <t>BAG ENVOYE TAGLESS</t>
  </si>
  <si>
    <t>17H55 :CTC  LEAD AT → BAGAGE ENVOYE TAGLESS EN GALERIE (GY22)→ 17H58 :CTC SUP GALERIE QUI CONFIIRME PRESENCE TAGLESS → DEMANDE DLV SOUS BORD → RAPPEL LEAD AT POUR IMPRIMER LE TN</t>
  </si>
  <si>
    <t>DL129377</t>
  </si>
  <si>
    <t>DL220/19SEP</t>
  </si>
  <si>
    <t>JETEE 2B 17H27</t>
  </si>
  <si>
    <t>BAG REFUSE/TN NON RENTRE</t>
  </si>
  <si>
    <t>17H55 :VU  LEAD AT PAX  PREVU SUR LE VOL MAIS SANS  BAG DANS SON DOSSIER→ DEMANDE DE RAJOUTER LE TN  EN 4006129377PR ASSURER CHARGEMENT  CHARGE</t>
  </si>
  <si>
    <t>DE4292</t>
  </si>
  <si>
    <t>DE038634</t>
  </si>
  <si>
    <t>BAG CABINE / AVERIF</t>
  </si>
  <si>
    <t>DE038066</t>
  </si>
  <si>
    <t>DE038047</t>
  </si>
  <si>
    <t>DE037934</t>
  </si>
  <si>
    <t>DE037924</t>
  </si>
  <si>
    <t>DE037914</t>
  </si>
  <si>
    <t>DE037816</t>
  </si>
  <si>
    <t>DE037811</t>
  </si>
  <si>
    <t>DE037765</t>
  </si>
  <si>
    <t>DE037747</t>
  </si>
  <si>
    <t>DE037686</t>
  </si>
  <si>
    <t>DE038602</t>
  </si>
  <si>
    <t>DE038581</t>
  </si>
  <si>
    <t>DE041045</t>
  </si>
  <si>
    <t>BSM CREA 08H57 / MODIF 10H00</t>
  </si>
  <si>
    <t>PAS DE TRACE D'INJECT</t>
  </si>
  <si>
    <t>AUCUNE TRACE D'INJECT/FRADE31502 - FO DE4264/21SEP/TAG ANN PUIS CREE DE NOUVEAU CAR NOT CHECK TO FINAL DEST (YYZ) → NEW TAG (041058 +040779)  NON RECONNU PAR SYSTÈME BAGERA</t>
  </si>
  <si>
    <t>DE041451</t>
  </si>
  <si>
    <t>BSM CREA 09H07 / MOFIF 10H00</t>
  </si>
  <si>
    <t>DE042492</t>
  </si>
  <si>
    <t>BSM CREA 09H30 / MODIF 10H10</t>
  </si>
  <si>
    <t>AUCUNE TRACE D'INJECT/ ULNOM34218 - FO DE4264/21SEP/TAG ANNULE PUIS CREE DE NOUVEAU CAR NOT CHECK TO FINAL DEST (ULN) → NON RECONNU PAR SYSTÈME BAGERA</t>
  </si>
  <si>
    <t>EI283768</t>
  </si>
  <si>
    <t>BAGAGE CABINE 10KG</t>
  </si>
  <si>
    <t>EI283769</t>
  </si>
  <si>
    <t>EI284440</t>
  </si>
  <si>
    <t>CHARGE → DECHARGE→  RECHARGE MAIS PASSE EN REFUS/ J+1 PAS DE DOSSIER OUVERT</t>
  </si>
  <si>
    <t>EI133130</t>
  </si>
  <si>
    <t>GE16 09H54</t>
  </si>
  <si>
    <t>DEPOSE TARDIVE RUSH</t>
  </si>
  <si>
    <t>09H55:  CTC  GALERI ET1 POUR ENVOI SOUS BORD → TENTE MAIS REFUSE :SOUTES FERMEES→ RETOUR LL</t>
  </si>
  <si>
    <t>EI283921</t>
  </si>
  <si>
    <t>DEPART VERS PISTE 09H43</t>
  </si>
  <si>
    <t>PAS DE SCAN DE CHARGEMENT</t>
  </si>
  <si>
    <t>VU AC GALERIE → BAG CHARGE S/S SCAN SUR PISTE</t>
  </si>
  <si>
    <t>EI284397</t>
  </si>
  <si>
    <t>PISTE/DECHARGE DE CONTENANT</t>
  </si>
  <si>
    <t>DECHARGE DE CONTENANT PUIS PLUS DE TRACE → SUREMENT CHARGE EN VRAC /J+ 1 PAS DE DOSSIER OUVERT</t>
  </si>
  <si>
    <t>EI284401</t>
  </si>
  <si>
    <t>11:00</t>
  </si>
  <si>
    <t>EI285160</t>
  </si>
  <si>
    <t>HF T1 09H36</t>
  </si>
  <si>
    <t>10 H35 : CTC  GALERIE T1 POUR ENVOI SOUS BORD → SUREMENT CHARGE SANS SCAN / J+1 PAS DE DOSSIER OUVERT</t>
  </si>
  <si>
    <t>EI285161</t>
  </si>
  <si>
    <t>EI286184</t>
  </si>
  <si>
    <t>13H05: VU AC LEAD EI : WCHC(180KG) QUI SERA PRISE EN PORTE</t>
  </si>
  <si>
    <t>AF697472</t>
  </si>
  <si>
    <t>AF0501</t>
  </si>
  <si>
    <t>CHARGE NAVETTE T2→T1 15H02</t>
  </si>
  <si>
    <t>DEPART VERS PISTE 15H41  /APPEL LEADER /PAX NON PRESENTE EN PORTE  16H08→ OK BORDED 16H29</t>
  </si>
  <si>
    <t>AF699041</t>
  </si>
  <si>
    <t>CHARGE NAVETTE T2→T1 14H46</t>
  </si>
  <si>
    <t>DEPART VERS PISTE 15H41  /APPEL LEADER /PAX NON PRESENTE EN PORTE  16H08→ OK 16H29</t>
  </si>
  <si>
    <t>AF699212</t>
  </si>
  <si>
    <t>CHARGE NAVETTE T2→T1 15H03</t>
  </si>
  <si>
    <t>DEPART VERS PISTE 15H41  /APPEL LEADER /PAX NON PRESENTE EN PORTE  16H08→ 16H32 REFUS CHARGEMENT / TAG NON RENTRE DANS  ALTEA/A DUBEI30468  FO EI527/21SEP</t>
  </si>
  <si>
    <t>EI286708</t>
  </si>
  <si>
    <t>GALERIE T1 CTC POUR VERIFICATION  15H50 POUSSETTE</t>
  </si>
  <si>
    <t>16:31</t>
  </si>
  <si>
    <t>EI286707</t>
  </si>
  <si>
    <t>GALERIE T1  CTC  POUR VERIFICATION  15H50 WCMP</t>
  </si>
  <si>
    <t>16:32</t>
  </si>
  <si>
    <t>EI286692</t>
  </si>
  <si>
    <t>GALERIE T1 CTC POUR  VERIFICATION  15H50 POUSSETTE</t>
  </si>
  <si>
    <t>16:33</t>
  </si>
  <si>
    <t>EI286668</t>
  </si>
  <si>
    <t>16:34</t>
  </si>
  <si>
    <t>EI286607</t>
  </si>
  <si>
    <t>IB501444</t>
  </si>
  <si>
    <t>IB0585</t>
  </si>
  <si>
    <t>11:53</t>
  </si>
  <si>
    <t>NEG TS SYSTÈMES → 12H52: VU AC GAL SAMSIC T3 : BAGS DEPOSES A LA NAVETTE T3/T1 SS SCAN→ 13H24 : VU AC GAL T1 : BAG INTROUVABLE/13H31:VU AC NAVETTE SAMSIC :DMD DEPOSE S/ BORD CAR TJS PAS PRIS EN CHARGE/KEFFI17364-FOFI543/21SEP</t>
  </si>
  <si>
    <t>IB501559</t>
  </si>
  <si>
    <t>IB501606</t>
  </si>
  <si>
    <t>IB501657</t>
  </si>
  <si>
    <t>FI838373</t>
  </si>
  <si>
    <t>BSM ONLY11H19</t>
  </si>
  <si>
    <t>13H00 : VU AC GALERIE T1 : BAG HF ( PERCHE) EMMENE SOUS BORD SS SCAN</t>
  </si>
  <si>
    <t>FI839848</t>
  </si>
  <si>
    <t>EJECTION SJ06</t>
  </si>
  <si>
    <t>12H50 : VU AVEC GALERIE: BAG INTROUVABLE /J+1 PAS DE DOSSIER OUVERT</t>
  </si>
  <si>
    <t>FI841939</t>
  </si>
  <si>
    <t>T1 CYNO MJ90 16H28</t>
  </si>
  <si>
    <t>APPEL GALERIE T1 A 16H35 ET SIGNALE</t>
  </si>
  <si>
    <t>FI843120</t>
  </si>
  <si>
    <t>T1 HORS FORFMAT 16H24</t>
  </si>
  <si>
    <t>IB041113</t>
  </si>
  <si>
    <t>BSM 14H52</t>
  </si>
  <si>
    <t>APPEL DIRBY T3 ET T1 A PLUSIEURS REPRISES MAIS INJOIGNABLE</t>
  </si>
  <si>
    <t>AF696165</t>
  </si>
  <si>
    <t>AF051</t>
  </si>
  <si>
    <t>2E VERS TBM 09H58</t>
  </si>
  <si>
    <t>ARRIVEE TBM TROP TARDIVE POUR CHARGEMENT/ A BEGJU37460 FO JU243/20SEP</t>
  </si>
  <si>
    <t>MK679542</t>
  </si>
  <si>
    <t>MK014</t>
  </si>
  <si>
    <t>08:02</t>
  </si>
  <si>
    <t>2E VERS TBM 10H03</t>
  </si>
  <si>
    <t>ARRIVEE TBM TROP TARDIVE POUR CHARGEMENT/ A TIVJU23900 FO JU241/JU682/21SEP</t>
  </si>
  <si>
    <t>AF713017</t>
  </si>
  <si>
    <t>M80 09H56</t>
  </si>
  <si>
    <t>10H03 ENVOIE BAGRUNNER POUR RECUP ET TENTER CHARGEMENT / SOUTE FERMEE/A BEGJU37459 FO JU243/20SEP</t>
  </si>
  <si>
    <t>JU225662</t>
  </si>
  <si>
    <t>T2D EJECTION D02 19H34</t>
  </si>
  <si>
    <t>APPEL CHEF D'EQUIPE SUP GALERIE A 19H40 ET SIGNALE</t>
  </si>
  <si>
    <t>AF684992</t>
  </si>
  <si>
    <t>AF0337</t>
  </si>
  <si>
    <t>QSE 10H29 REQUETEUR</t>
  </si>
  <si>
    <t>RRTE DU AF1146/APPEL QSE 16H37/NEG/DIT QUE LE BAG A ÉTÉ VU ET REFUSE A 15H34 SOUS BORD DU AF1146/RUSHE SUR AF1046/20SEP</t>
  </si>
  <si>
    <t>AA200240</t>
  </si>
  <si>
    <t>AA0150</t>
  </si>
  <si>
    <t>RRTE DU LO2/19SEP/NEGATIF EN BAGRADAR/REQUETEUR/BOB/NO FWD/APPEL LEAD LO A 18H58 ET DEMANDE DE VERIFIER AVEC PAX SI PAS RECUPERE A L'ARRIVEE DU VOL D'APORT/NEG /A KRKLO74378  EN ATTENTE DE FWD</t>
  </si>
  <si>
    <t>LO820347</t>
  </si>
  <si>
    <t>T2D EJECTION D02 18H50</t>
  </si>
  <si>
    <t>PAS DE MVT 19H24</t>
  </si>
  <si>
    <t>APPEL SUP GAL A 19H30 ET SIGNALE POUR VERIFIER</t>
  </si>
  <si>
    <t>AF684776</t>
  </si>
  <si>
    <t>TBM MC80 17H53</t>
  </si>
  <si>
    <t>PAS DE MVT 19H15</t>
  </si>
  <si>
    <t>APPEL TBM MC80 19H15/DIT L'AVOIR LIVRE EN GALERIE SANS LE SCANNER/APPEL CHEF D'EQUIPE 19H20/DEMANDE DE LIVRER SOUS BORD CAR BAG EN GALERIE</t>
  </si>
  <si>
    <t>AF684796</t>
  </si>
  <si>
    <t>PAS DE MVT19H15</t>
  </si>
  <si>
    <t>AF686277</t>
  </si>
  <si>
    <t>AF0159</t>
  </si>
  <si>
    <t>MH773774</t>
  </si>
  <si>
    <t>HF 2A</t>
  </si>
  <si>
    <t>RETARD INJECTION HF</t>
  </si>
  <si>
    <t>SCANNE AU HF DU 2A A 11 H29 → SOUTES FERMEES / J+1 A KULMH95861 FO MH31/21SEP</t>
  </si>
  <si>
    <t>MH776074</t>
  </si>
  <si>
    <t>SCANNE AU HF DU 2A A 11 H29 → SOUTES FERMEES /J+1 A CGKMH39133  FO MH21/21SEP/MH713/22SEP</t>
  </si>
  <si>
    <t>MH776095</t>
  </si>
  <si>
    <t>AF732599</t>
  </si>
  <si>
    <t>AF7433</t>
  </si>
  <si>
    <t>13:07</t>
  </si>
  <si>
    <t>T2C INJECTION 13H47</t>
  </si>
  <si>
    <t>PLUS DE MVT</t>
  </si>
  <si>
    <t>ENVOI BAGRUNNER POUR VERIFIER AVEC LA GALERIE 15H00→ DEPART VERS PISTE →CHARGE EN RB 15H11</t>
  </si>
  <si>
    <t>AF732640</t>
  </si>
  <si>
    <t>13:08</t>
  </si>
  <si>
    <t>T2C INJECTION 13H56</t>
  </si>
  <si>
    <t>AF732677</t>
  </si>
  <si>
    <t>13:09</t>
  </si>
  <si>
    <t>T2C INJECTION 14HH05</t>
  </si>
  <si>
    <t>AF701997</t>
  </si>
  <si>
    <t>14:05</t>
  </si>
  <si>
    <t>CHARGE EN AKH13344RJ</t>
  </si>
  <si>
    <t>DEPART VERS PISTE /APPEL LEADER /PAX NON PRESENTE EN PORTE  15H10→  OK BOARDED CHARGE EN EN RB 15H20</t>
  </si>
  <si>
    <t>AF702007</t>
  </si>
  <si>
    <t>AF0433</t>
  </si>
  <si>
    <t>CHARG EEN AKH13344RJ</t>
  </si>
  <si>
    <t>AF687268</t>
  </si>
  <si>
    <t>AF0499</t>
  </si>
  <si>
    <t>05:56</t>
  </si>
  <si>
    <t>REBUS 2C  14H32</t>
  </si>
  <si>
    <t>DEPART VERS 14H55 →CHARGE EN  AKH13344RJ 15H10</t>
  </si>
  <si>
    <t>21/09/2026</t>
  </si>
  <si>
    <t>AC249483</t>
  </si>
  <si>
    <t>06:56</t>
  </si>
  <si>
    <t>PAS DE TRACES</t>
  </si>
  <si>
    <t>VU EN REQUETEUR BAG TOMBE AUX ARRIVEES DU A / SBA CONTACTE A DEUX REPRISES / BAG ATTENDU AUX HF DU A DE 10H15 A 12H00 PAS DE BAG VU - AHLDELAI27103 PAS DE RUSH PREVU A J+1</t>
  </si>
  <si>
    <t>AI790105</t>
  </si>
  <si>
    <t>CHECK DONE BY BAG RUNNER JETEE DEPART 2C ET ALENTOURS / NEG - PAS DE DOSSIER OUVERT A J+1</t>
  </si>
  <si>
    <t>AT801328</t>
  </si>
  <si>
    <t>CYNO 2B 17H25</t>
  </si>
  <si>
    <t>APPEL GALERIE 18H08 PR RELANCER LA CYNO</t>
  </si>
  <si>
    <t>AT800646</t>
  </si>
  <si>
    <t>DEPART VERS PISTE 17H34</t>
  </si>
  <si>
    <t>BAG DECHARGE DE CONTENANT 18H29 - BAG NON AUTORISE EN SOUTE LIVRE T2BD ARRIVEE</t>
  </si>
  <si>
    <t>LH713533</t>
  </si>
  <si>
    <t>22:10/20SEP</t>
  </si>
  <si>
    <t>06H21 APPEL DIRBY T1 POUR REINJECT BAG / BAG AU HF T1 07H32 APPEL GALERIE T1 POUR PRISE EN CHARGE / NEW APPEL A 08H25</t>
  </si>
  <si>
    <t>LH713637</t>
  </si>
  <si>
    <t>LH713668</t>
  </si>
  <si>
    <t>LH713761</t>
  </si>
  <si>
    <t>DE065934</t>
  </si>
  <si>
    <t>BSM CREA 05H35 / MODIF 07H56</t>
  </si>
  <si>
    <t>APPEL GALERIE T3 POUR VERIF / NEG - AUCUNE TRACE DANS NOS DIFERENTS SYSTEMES - PAS DE DOSSIER OUVERT A J+1</t>
  </si>
  <si>
    <t>WS478763</t>
  </si>
  <si>
    <t>13H40 : ENVOI BAGRUNNER - PRISE EN CHARGE A 13H45 POUR DEPOSE JETEE VOL A 13H55</t>
  </si>
  <si>
    <t>WS478767</t>
  </si>
  <si>
    <t>DE080002</t>
  </si>
  <si>
    <t>JMS SCANNE/ APPEL LEAD APRES DEPART DU VOL PAS DINFO/ 30KG / AHLCAIDE10091 DOSSIER MEME NOM MAIS PAS MEME TN DE079983</t>
  </si>
  <si>
    <t>DE084664</t>
  </si>
  <si>
    <t>JMS SCANNE/ APPEL LEAD APRES DEPART DU VOL / PROB PRIS EN PORTE/ 8KG / PAS DE DOSSIER OUVERT A J+1</t>
  </si>
  <si>
    <t>DE084683</t>
  </si>
  <si>
    <t>DE084688</t>
  </si>
  <si>
    <t>EI289245</t>
  </si>
  <si>
    <t>CYNO T1 09H48</t>
  </si>
  <si>
    <t>T1 INJECTION 08H59 / CYNO 09H48 / 10H00 APPEL GALERIE T1 POUR ENVOIE SOUS BORD / SCANNE 10H17 JETEE T1 PUIS BAG REFUSE ENREGISTRE SUR AUTRE VOL - AHLDUBEI30499</t>
  </si>
  <si>
    <t>HC573946</t>
  </si>
  <si>
    <t>HC403</t>
  </si>
  <si>
    <t>CHECK REQUETEUR / BAGRADAR / AUCUNE TRACE BAG - LOCALISE A 17H28 AU 2C HF - PAS DE RUSH PREVU AHLDUBEI30508</t>
  </si>
  <si>
    <t>HC573949</t>
  </si>
  <si>
    <t>CHECK REQUETEUR / BAGRADAR / AUCUNE TRACE BAG - AHLDUBEI30508</t>
  </si>
  <si>
    <t>AA212148</t>
  </si>
  <si>
    <t>AA150/20SEP</t>
  </si>
  <si>
    <t>15H48 : ATT/ ENREGISTREMENT TARDIF 15H40 - APPEL AA - SANS REPONSE / A 20H03 EN BAGERA LOCALISE EN JETEE T1 TAG EXISTE POUR D'AUTRES VOLS REFUS- AHLDUBEI30536</t>
  </si>
  <si>
    <t>AA212149</t>
  </si>
  <si>
    <t>15H48 : ATT/ ENREGISTREMENT TARDIF 15H38 - APPEL AA - SANS REPONSE / RECHERCHE REQUETEUR ET BAGRADAR : AUCUNE LOC -BAG JAMAIS ARRIVE A CDG O/B AA830/AA722/21SEP AHLDUBEI30536</t>
  </si>
  <si>
    <t>AF790547</t>
  </si>
  <si>
    <t>AF0431</t>
  </si>
  <si>
    <t>15H52 ARRIVEE SAT 1 / EN JETEE 16H14  MAIS RETROUVE AU REBUT 16H29 -AHLDUBEI30535</t>
  </si>
  <si>
    <t>EI291786</t>
  </si>
  <si>
    <t>EJECTION WJ40 21H08</t>
  </si>
  <si>
    <t>INJECTION TARDIVE DS INFRA</t>
  </si>
  <si>
    <t>APPEL GALERIE T1 21H10 POUR ETRE SUR QUE LE BAG SERAIT PRIS EN CHARGE</t>
  </si>
  <si>
    <t>FI854280</t>
  </si>
  <si>
    <t>6KG PROB PRIS EN PORTE/ PAS DE DOSSIER OUVERT A J+1</t>
  </si>
  <si>
    <t>FI855669</t>
  </si>
  <si>
    <t>CYNO T1 16H37</t>
  </si>
  <si>
    <t>BLOQUE CYNO JUSQUA 17H28</t>
  </si>
  <si>
    <t>T1 CYNO 17H28 - ARRIVEE SUR LE TAPIS 2 A 17H38 OK CYNO APRES DEPART - AHLKEFFI17396 PAS DE RUSH PREVU A J+1</t>
  </si>
  <si>
    <t>AF829039</t>
  </si>
  <si>
    <t>CHARGE NAVETTE T1-T2 16H37</t>
  </si>
  <si>
    <t>APPEL NAVETTE POUR SAVOIR SI BAG DECHARGE DOIT RAPPELER/ LOC A 17H36 SAT1 PUIS REBUT 17H46 - AHLKEFFI17397 PAS DE RUSH PREVU A J+1</t>
  </si>
  <si>
    <t>AF796698</t>
  </si>
  <si>
    <t>AF1401</t>
  </si>
  <si>
    <t>09H58 PRIS EN CHARGE PAR BAGRUNNER ET DEPOSE SUR JETEE</t>
  </si>
  <si>
    <t>AF796770</t>
  </si>
  <si>
    <t>AF796827</t>
  </si>
  <si>
    <t>HF111405</t>
  </si>
  <si>
    <t>INJECT 2A 10H05</t>
  </si>
  <si>
    <t>PAS DE MVT / PERTE DE TRACE</t>
  </si>
  <si>
    <t>11H20 APPEL REP ABCD POUR CHECK INFRAS / BAG BIEN SORTI SUR LE TAPIS / BAG BLEU / PEUT ETRE CHARGE SANS SCAN - PAS DE DOSSIER OUVERT A J+1</t>
  </si>
  <si>
    <t>AF797834</t>
  </si>
  <si>
    <t>AF7471</t>
  </si>
  <si>
    <t>07:39</t>
  </si>
  <si>
    <t>09H50 PRIS EN CHARGE PAR BAGRUNNER</t>
  </si>
  <si>
    <t>AF799223</t>
  </si>
  <si>
    <t>DL215514</t>
  </si>
  <si>
    <t>DL240127</t>
  </si>
  <si>
    <t>AF786761</t>
  </si>
  <si>
    <t>M81</t>
  </si>
  <si>
    <t>DL215515</t>
  </si>
  <si>
    <t>AF748726</t>
  </si>
  <si>
    <t>DEPART VERS PISTE 08H54</t>
  </si>
  <si>
    <t>LOCALISE AU TBM A 07H47/ ENVOI BAGRUNNER 08H POUR VERIFIER NEG /  DERNIERE LOC EN JETEE 2D 08H54 MAIS PAS DE TRACE DE CHARGEMENT / PAS DE DOSSIER OUVERT A J+1</t>
  </si>
  <si>
    <t>DL240128</t>
  </si>
  <si>
    <t>M80 09H46</t>
  </si>
  <si>
    <t>LOCALISE AU TBM INJECTION 09H43 / BAG NON TROUVE PAR BAGRUNNER 09H45/ PAS DE TRACE DE CHARGEMENT / 09H48 BAG STOPPE PAR CIE JU SELON BAGERA - AHLBEGJU37487</t>
  </si>
  <si>
    <t>JU227957</t>
  </si>
  <si>
    <t>4KG /PROB PRIS EN PORTE// PAS DE DOSSIER OUVERT A J+1</t>
  </si>
  <si>
    <t>AF826990</t>
  </si>
  <si>
    <t>TME 113 17H44</t>
  </si>
  <si>
    <t>APPEL 113 18H38// BAG TJS A LEUR NIVEAU</t>
  </si>
  <si>
    <t>AF825683</t>
  </si>
  <si>
    <t>18:40</t>
  </si>
  <si>
    <t>TME HF</t>
  </si>
  <si>
    <t>APPEL TME HF 20H35/ LES BAGS AURAIENT ÉTÉ DEPOSES AU TBM SANS SCAN/ DMD INTERVENTION BAG RUNNER/ APPEL COORDO+ LEAD PR PREVENIR</t>
  </si>
  <si>
    <t>AF825766</t>
  </si>
  <si>
    <t>AF821211</t>
  </si>
  <si>
    <t>AF822436</t>
  </si>
  <si>
    <t>PAS DE LOC TOUS SYSTEMES/ ENREGISTRE A 21H04/ LOCALISE AU QSE 22H32 PUIS A LA HALLE 22H58/ LE 23 05H23 SORTIE KUBE /A NOUSB55426</t>
  </si>
  <si>
    <t>SB742299</t>
  </si>
  <si>
    <t>PAS DE TRACE/  POUSSETTE</t>
  </si>
  <si>
    <t>AF819549</t>
  </si>
  <si>
    <t>CHARGE EN AKE40103SB</t>
  </si>
  <si>
    <t>TRANSF VRAC</t>
  </si>
  <si>
    <t>PLUSIEURS TENTATIVES MAIS REFUS CHARGEMENT/ BAG NON RENTRE DANS ALTEA/ A NOUSB55427 FO SB501/23SEP</t>
  </si>
  <si>
    <t>22/09/2026</t>
  </si>
  <si>
    <t>142D</t>
  </si>
  <si>
    <t>LO837119</t>
  </si>
  <si>
    <t>LO336/21SEP</t>
  </si>
  <si>
    <t>18:59</t>
  </si>
  <si>
    <t>REBUT T2C C05</t>
  </si>
  <si>
    <t>ENVOI BAG RUNNER REBUT + TMB A18 POUR LOCALISATION ET RECUP / LAST SEEN REBUT C05 19H43/21SEP / TROUVE EN A18 06H44</t>
  </si>
  <si>
    <t>AC343271</t>
  </si>
  <si>
    <t>06:33</t>
  </si>
  <si>
    <t>VU AVEC GEH BAG NON LISTE CHARGE DEPUIS YUL / PAS D INJECTION A CDG AVANT LE DEPART DU VOL  / 1ERE LOCALISATION 08H23 / J+1 DELAI27124 FO AI148/23SEP</t>
  </si>
  <si>
    <t>AC343414</t>
  </si>
  <si>
    <t>VU AVEC GEH BAG NON LISTE CHARGE DEPUIS YUL / PAS D INJECTION A CDG AVANT LE DEPART DU VOL  / 1ERE LOCALISATION 17H12 / J+1 DELAI27124 FO AI148/23SEP</t>
  </si>
  <si>
    <t>AC343272</t>
  </si>
  <si>
    <t>T2C C003</t>
  </si>
  <si>
    <t>INJECTION TARDIVE T2C EJECTION 07H12 / ENVOI BAG RUNNER SUR JETEE POUR VERIF 07H33 / BAG NON VU EN JETEE /J+1   BAG CHARGE SUR LES 3 AU MEME NOM</t>
  </si>
  <si>
    <t>AC351867</t>
  </si>
  <si>
    <t>AC0874</t>
  </si>
  <si>
    <t>T2C EJECTION REBUT C05 11H49</t>
  </si>
  <si>
    <t>RRTE DU AI142D/APPEL LEADER TMB A 18H35/DEMANDE DE VERIFIER EN A18 ET D'ENVOYER LE BAG SUR LE VOL/DIT QUE PERSONNE EN GALERIE /RAPPEL 18H55</t>
  </si>
  <si>
    <t>AC351890</t>
  </si>
  <si>
    <t>T2C EJECTION REBUT C05 11H44</t>
  </si>
  <si>
    <t>AI872176</t>
  </si>
  <si>
    <t>BSM CREATION 18H04</t>
  </si>
  <si>
    <t>APPEL LEAD AI A 20H00 POUR VERIF AVEC LE PAX/APPEL AGENT HF AU CHECK A 20H10/NEG/TROUVE PAR BAGRUNNER EN REBUT 2C ET LIVRE S/BORD A 20H23</t>
  </si>
  <si>
    <t>AT816027</t>
  </si>
  <si>
    <t>2B REC CYNO 11H51</t>
  </si>
  <si>
    <t>APPEL SUP GALERIE 12H10</t>
  </si>
  <si>
    <t>AT815408</t>
  </si>
  <si>
    <t>BSM CREA 11H16</t>
  </si>
  <si>
    <t>APPEL SUP GALERIE 12H10 / ENVOI BAG RUNNER 12H12</t>
  </si>
  <si>
    <t>AT822397</t>
  </si>
  <si>
    <t>DEPART VERS PISTE 17H33</t>
  </si>
  <si>
    <t>BSM CREATION A NOUVEAU 18H05</t>
  </si>
  <si>
    <t>APPEL SUP GALERIE 18H40/DIT QUE LE BAG A BIEN ÉTÉ LIVRE EN PISTE ET POSSIBLE CHARGE EN PISTE MAIS PAS SCANNE</t>
  </si>
  <si>
    <t>DE022043</t>
  </si>
  <si>
    <t>PAS DE MVMT / ENVOI BAG RUNNER T3 / BAG RECUP CHEZ DIRBY T3 ET DEPOSE EN JETEE DEPART</t>
  </si>
  <si>
    <t>DE104314</t>
  </si>
  <si>
    <t>BSM CREA 10H30</t>
  </si>
  <si>
    <t>POSS POUSETTE 5KGS / APPEL GALERIE T3 NEG 10H40 / APPEL COORDO INJOIGNABLE 10H55</t>
  </si>
  <si>
    <t>AF835353</t>
  </si>
  <si>
    <t>07:33</t>
  </si>
  <si>
    <t>VU REQUETEUR ENTREE TRIEUR ET PLUS DE TRACE / VU AVEC AF MEME INFO A/ DUBEI30585 /J+1 TOUJOURS PAS DE TRACE</t>
  </si>
  <si>
    <t>AF847303</t>
  </si>
  <si>
    <t>06:41</t>
  </si>
  <si>
    <t>CHARGE EN AKH66973EI</t>
  </si>
  <si>
    <t>TAG NON RENTRE DANS ALTEA/  A/DUBEI30584 FO EI529/22SEP</t>
  </si>
  <si>
    <t>AF847145</t>
  </si>
  <si>
    <t>TAG NON RENTRE DANS ALTEA/ A  /DUBEI30584 FO EI529/22SEP</t>
  </si>
  <si>
    <t>AF847268</t>
  </si>
  <si>
    <t>TAG NON RENTRE DANS ALTEA/  A /DUBEI30583 FO EI529/22SEP</t>
  </si>
  <si>
    <t>AF847228</t>
  </si>
  <si>
    <t>MH823228</t>
  </si>
  <si>
    <t>MH0021</t>
  </si>
  <si>
    <t>07:01</t>
  </si>
  <si>
    <t>TAG NON RENTRE DANS ALTEA/  A /DUBEI30591 FO EI529/22SEP</t>
  </si>
  <si>
    <t>EI293338</t>
  </si>
  <si>
    <t>POSSIBLE CABIN BAG / POIDS 05KG</t>
  </si>
  <si>
    <t>EI292850</t>
  </si>
  <si>
    <t>12H42 : VU AVEC GALERIE T1 - BAG TJS ATTENDU - NEG / REBUS T1 A 14H43 BAG INITIALEMENT PREVU SUR LE EI523  DU 20 SEPT  A/IADEI19444 EN ATTENTE DE FWD</t>
  </si>
  <si>
    <t>EI293685</t>
  </si>
  <si>
    <t>5 KGS - POUSSETTE  PRIS EN CABINE  -</t>
  </si>
  <si>
    <t>EI293691</t>
  </si>
  <si>
    <t>10 KGS - POUSSETTE  PRIS EN CABINE  -</t>
  </si>
  <si>
    <t>EI294469</t>
  </si>
  <si>
    <t>HBAG DE 3KG EN ALTEA/ PRIS EN CABINE</t>
  </si>
  <si>
    <t>EI295111</t>
  </si>
  <si>
    <t>T1 INJECTION WD4 19H35</t>
  </si>
  <si>
    <t>PAS D'EJECTION 20H20</t>
  </si>
  <si>
    <t>APPEL REP T1 A 20H20 ET SIGNALE/LE BAG BLOQUE SUR LE TAPIS CAR TROP LEGER (5KG) /FORCE VERS LA CYNO</t>
  </si>
  <si>
    <t>EI295360</t>
  </si>
  <si>
    <t>T1 EJECTION WJ40 20H35</t>
  </si>
  <si>
    <t>APPEL GALERIE T1 A 20H55 ET SIGNALE</t>
  </si>
  <si>
    <t>AF016104</t>
  </si>
  <si>
    <t>AF7333</t>
  </si>
  <si>
    <t>14:14</t>
  </si>
  <si>
    <t>16H20 : PRISE EN CHARGE PAR BAGRUNNER 16H20 POUR LIVRAISON SOUS BORD 16H24</t>
  </si>
  <si>
    <t>AF016131</t>
  </si>
  <si>
    <t>JU229015</t>
  </si>
  <si>
    <t>APPEL COORDO 2 REPRISE 10H05+10H12 PAS DE REPONSES / POSSIBLE X 2 STROLLER POIDS 6KG / FINALEMENT CHARGE LAST MINUTE EN SOUTE</t>
  </si>
  <si>
    <t>JU229016</t>
  </si>
  <si>
    <t>APPEL COORDO 2 REPRISE 10H05+10H12 PAS DE REPONSES / POSSIBLE X 2 STROLLER POIDS 6KG/ FINALEMENT CHARGE LAST MIN EN SOUTE</t>
  </si>
  <si>
    <t>AF023286</t>
  </si>
  <si>
    <t>AF1069</t>
  </si>
  <si>
    <t>17:29</t>
  </si>
  <si>
    <t>TBM MC80 18H13</t>
  </si>
  <si>
    <t>TOUJOURS AU TBM MC 080 19H40</t>
  </si>
  <si>
    <t>PRIS EN CHARGE PAR BAGRUNNER A 19H45 ET LIVRE SOUS BORD A 20H04</t>
  </si>
  <si>
    <t>AF865750</t>
  </si>
  <si>
    <t>AF0505</t>
  </si>
  <si>
    <t>15:21</t>
  </si>
  <si>
    <t>TBM MC80 18H42</t>
  </si>
  <si>
    <t>AF865751</t>
  </si>
  <si>
    <t>AF870847</t>
  </si>
  <si>
    <t>13:51</t>
  </si>
  <si>
    <t>AF870881</t>
  </si>
  <si>
    <t>TOUJOURS AU TBM MC 080 19H44</t>
  </si>
  <si>
    <t>AF874346</t>
  </si>
  <si>
    <t>TBM MC80 18H45</t>
  </si>
  <si>
    <t>TOUJOURS AU TBM MC 080 19H45</t>
  </si>
  <si>
    <t>AF874356</t>
  </si>
  <si>
    <t>AF0029</t>
  </si>
  <si>
    <t>16:28</t>
  </si>
  <si>
    <t>TBM MC80 18H46</t>
  </si>
  <si>
    <t>TOUJOURS AU TBM MC 080 19H46</t>
  </si>
  <si>
    <t>AF871024</t>
  </si>
  <si>
    <t>18:53</t>
  </si>
  <si>
    <t>TBM MC80 19H44</t>
  </si>
  <si>
    <t>JU229994</t>
  </si>
  <si>
    <t>JETEE 2D 18H59</t>
  </si>
  <si>
    <t>PAS DE DEPT VERS PISTE 19H50</t>
  </si>
  <si>
    <t>LX835158</t>
  </si>
  <si>
    <t>LX632</t>
  </si>
  <si>
    <t>08:49</t>
  </si>
  <si>
    <t>TBM CYNO 11H17</t>
  </si>
  <si>
    <t>ENVOI BAG RUNNER 12H05 / PRISE EN CHARGE BAG RUNNER 12H12 / LIVRE SOUS BORD 12H17</t>
  </si>
  <si>
    <t>07:00</t>
  </si>
  <si>
    <t>LO847922</t>
  </si>
  <si>
    <t>JETEE 2D</t>
  </si>
  <si>
    <t>PAS DE MVMT / LAST BAG ATTENDU SUR VOL /ENVOI BAG RUNNER 06H50 EN JETEE D04 / BAG PRIS EN CHARGE ENTRE TEMPS ET LIVRE SS BORD</t>
  </si>
  <si>
    <t>MK687185</t>
  </si>
  <si>
    <t>VU REQUETEUR + BAG RADAR NOT SEEN AT CDG X 2 BAGS / FINALEMENT INJ ET CHARGE 10H00</t>
  </si>
  <si>
    <t>MK687190</t>
  </si>
  <si>
    <t>MK0141</t>
  </si>
  <si>
    <t>VU REQUETEUR + BAG RADAR NOT SEEN AT CDG /A WAWLO70166 EN ATTENTE DE FWD</t>
  </si>
  <si>
    <t>MK687229</t>
  </si>
  <si>
    <t>PRIS EN CHARGE PAR BAG RUNNER ET LIVRE SS BORD</t>
  </si>
  <si>
    <t>MK687174</t>
  </si>
  <si>
    <t>MK687203</t>
  </si>
  <si>
    <t>T2D NAVETTE</t>
  </si>
  <si>
    <t>LAST SEEN T2D NAVETTE 09H32 / BAG NON VU PAR BAG RUNNER MC80+¨PISTE / J+1  TROUVE TAGLESS /A WAWLO70165  TAGLESS FO LO336/23SEP</t>
  </si>
  <si>
    <t>AA212132</t>
  </si>
  <si>
    <t>AA0048/22SEP</t>
  </si>
  <si>
    <t>12:40</t>
  </si>
  <si>
    <t>15H22 : APPEL AMERICAN - BAG EN RUSH DFW-ORD - PAS ARV SUR CDG - /J+1 A AMMRJ43888 EN ATTENTE DE FWD</t>
  </si>
  <si>
    <t>AA212133</t>
  </si>
  <si>
    <t>15H22 : APPEL AMERICAN -  BAG A DFW - NON LOCALISE SUR CDG - PAS DE RUSH PREVU/J+1 A AMMRJ43889 EN ATTENTE DE FWD</t>
  </si>
  <si>
    <t>AA220610</t>
  </si>
  <si>
    <t>AA150/22SEP</t>
  </si>
  <si>
    <t>AA220611</t>
  </si>
  <si>
    <t>15H22 : APPEL AMERICAN - BAG LOCALISE A ORD - PAS DE RUSH PREVU / J+1 A AMMRJ43888 EN ATTENTE DE FWD</t>
  </si>
  <si>
    <t>RJ798857</t>
  </si>
  <si>
    <t>T2C EJECTION CARROUSSEL C03</t>
  </si>
  <si>
    <t>16H10 : APPEL CHEF GALERIE - VONT RETOURNER RECUP BAG EN C03 - VERIF FAITE PAR BAGRUNNER - NEG</t>
  </si>
  <si>
    <t>RJ798859</t>
  </si>
  <si>
    <t>16H10 : ENVOI BAGRUNNER EN C003 ET AU REBUT/NEG/APPEL B1  A 16H58/CONFIRME QUE BAG EN SOUTE/APPEL BAGO HF AU DEPART/NEG/LIVRE SOUS BORD</t>
  </si>
  <si>
    <t>23/09/2026</t>
  </si>
  <si>
    <t>AC452554</t>
  </si>
  <si>
    <t>09:59</t>
  </si>
  <si>
    <t>VU AVEC GEH BAG LISTE NOT LOADED FROM YUL /J+1 A DELAI27157 FO AC405/AC42/23SEP</t>
  </si>
  <si>
    <t>AF879960</t>
  </si>
  <si>
    <t>11H40 : BAG EN ATTENTE / LE   PAX A RECUPERE SON  BAG DU VOL AI142/22SEP  ET RE ENREGISTRE EN AI 911300 SUR LE VOL AI148/23SEP</t>
  </si>
  <si>
    <t>AF078903</t>
  </si>
  <si>
    <t>AF1581</t>
  </si>
  <si>
    <t>13:50</t>
  </si>
  <si>
    <t>GERESTI</t>
  </si>
  <si>
    <t>P/UP AF ET CHECKED AT</t>
  </si>
  <si>
    <t>RRTE DU 1AF034/APPEL SALON AF 2E 16H30/NEG/PAX A RECUP BAG ET ENREGISTRE AT841950/APPEL LEAD AT 17H01  POUR CXL AF MAIS IMPOSSIBLE/NE PAS TENIR COMPTE DU TAG AF</t>
  </si>
  <si>
    <t>AF078934</t>
  </si>
  <si>
    <t>RRTE DU 1AF034/APPEL SALON AF 2E 16H30/NEG/PAX A RECUP BAG ET ENREGISTRE AT842079/APPEL LEAD AT 17H01  POUR CXL AF MAIS IMPOSSIBLE/NE PAS TENIR COMPTE DU TAG AF</t>
  </si>
  <si>
    <t>DL389963</t>
  </si>
  <si>
    <t>AF0033</t>
  </si>
  <si>
    <t>11:34</t>
  </si>
  <si>
    <t>TDS3 JETEE 342 A 16H59</t>
  </si>
  <si>
    <t>RRTE DU AF848/APPEL GTB TDS3 A 17H07/CONFIRME QUE LE BAG EST TOUJOURS EN JETEE 342/PRIS EN CHARGE PAR BAGRUNNER A 17H24 ET LIVRE SOUS BORD A 17H36</t>
  </si>
  <si>
    <t>LH184164</t>
  </si>
  <si>
    <t>VL2238/22SEP</t>
  </si>
  <si>
    <t>VU REQUETEUR + CHECK DONE BY DIRBY PAS DE BAG EN SLB OU LUR GALLERIE / NOT SEEN AT CDG /J+1 AUCUNE TRACE D INJECTION CHARGE EN RB</t>
  </si>
  <si>
    <t>AZ609970</t>
  </si>
  <si>
    <t>AZ332/22SEP</t>
  </si>
  <si>
    <t>23:26</t>
  </si>
  <si>
    <t>T1 HORS FORMAT HX2</t>
  </si>
  <si>
    <t>PERTE DE TRACE DEPUIS DEPOSE SAT1 06H32 / APPEL SUP GALL T1 MAIS PAS DE RETOUR / BAG FINALEMENT LOC EN GE16 HF A 08H42 / TOO LATE POUR PRISE EN CHARGE /J+1 A GUAAV12912  FO AV55/AV742/24SEP</t>
  </si>
  <si>
    <t>AF047365</t>
  </si>
  <si>
    <t>AF874</t>
  </si>
  <si>
    <t>08:59</t>
  </si>
  <si>
    <t>T1 WJ43/10H54</t>
  </si>
  <si>
    <t>DEPOSE TARDIVE NAVETTE T1 10H46 / APPEL SUP T1 POUR DEMANDE DE RECUP ET DEPOSE SS BORD / J+1  A DUBEI30655 FO EI529/23SEP</t>
  </si>
  <si>
    <t>EI133576</t>
  </si>
  <si>
    <t>T1 HF 7H16</t>
  </si>
  <si>
    <t>09H15 : APPEL HORS FORMAT T1 POUR VERIF ET RE INJECTION - OK</t>
  </si>
  <si>
    <t>EI133611</t>
  </si>
  <si>
    <t>EI133612</t>
  </si>
  <si>
    <t>EI297782</t>
  </si>
  <si>
    <t>POUSSETTE EN ALTEA/SUREMENT PRISE A BORD PAR PAX</t>
  </si>
  <si>
    <t>EI133700</t>
  </si>
  <si>
    <t>BSM ONLY 14H32</t>
  </si>
  <si>
    <t>APPEL DIRBY T1 A 21H10 ET DEMANDE DE FAIRE LE NECESSAIRE</t>
  </si>
  <si>
    <t>09:30</t>
  </si>
  <si>
    <t>HF117269</t>
  </si>
  <si>
    <t>CHECK DONE BY BAG RUNNER 09H12+09H40 PLUS RIEN EN JETEE DEPART / VU AVEC CHEF GALL BAG BIEN DEPOSE SS BORD LAST MINUTE / A VERIFIER</t>
  </si>
  <si>
    <t>JU230609</t>
  </si>
  <si>
    <t>VU AVEC LEAD DU VOL 09H46 POSS DUPE TAG ET NON CABIN BAG CAR TROP ELEVE EN POIDS - PRISE EN CHARGE PAR BAGRUNNER 10H23  POUR DEPOSE SS BORD 10H29</t>
  </si>
  <si>
    <t>AF037662</t>
  </si>
  <si>
    <t>08:07</t>
  </si>
  <si>
    <t>X 2 LATE CKIN / ENVOI BAG RUNNNER MC80 POUR RECUP ET ENVOI SS BORD</t>
  </si>
  <si>
    <t>AF037485</t>
  </si>
  <si>
    <t>JU231644</t>
  </si>
  <si>
    <t>T2D EJECT VER CYNO 18H17</t>
  </si>
  <si>
    <t>PAS DE MVT 19H20</t>
  </si>
  <si>
    <t>APPEL SUP GALERIE A 19H20 ET SIGNALE POUR VERIFIER</t>
  </si>
  <si>
    <t>AF054869</t>
  </si>
  <si>
    <t>13:55</t>
  </si>
  <si>
    <t>DECHARGE TBM NAV 19H34</t>
  </si>
  <si>
    <t>STILL AU TBM 19H36</t>
  </si>
  <si>
    <t>PRIS EN CHARGE PAR BAGRUNNER ET DEPOSE SUR LA JETEE DEPART A 19H44</t>
  </si>
  <si>
    <t>AF054099</t>
  </si>
  <si>
    <t>AF053993</t>
  </si>
  <si>
    <t>PRIS EN CHARGE PAR BAGRUNNER ET DEPOSE SUR LA JETEE DEPART A 19H43</t>
  </si>
  <si>
    <t>AF059252</t>
  </si>
  <si>
    <t>AF0081</t>
  </si>
  <si>
    <t>15:31</t>
  </si>
  <si>
    <t>AF054061</t>
  </si>
  <si>
    <t>AF047347</t>
  </si>
  <si>
    <t>11:54</t>
  </si>
  <si>
    <t>PRIS EN CHARGE PAR BAGRUNNER ET DEPOSE SUR LA JETEE DEPART A 19H45</t>
  </si>
  <si>
    <t>DL649655</t>
  </si>
  <si>
    <t>DL0290</t>
  </si>
  <si>
    <t>13:49</t>
  </si>
  <si>
    <t>DL642888</t>
  </si>
  <si>
    <t>DECHARGE TBM NAV 18H58</t>
  </si>
  <si>
    <t>PRIS EN CHARGE PAR BAGRUNNER ET DEPOSE SUR LA JETEE DEPART A 19H42</t>
  </si>
  <si>
    <t>AM322780</t>
  </si>
  <si>
    <t>AF0173</t>
  </si>
  <si>
    <t>16:44</t>
  </si>
  <si>
    <t>TBM MC80 18H17</t>
  </si>
  <si>
    <t>PRIS EN CHARGE PAR BAGRUNNER ET DEPOSE SUR LA JETEE DEPART A 19H41</t>
  </si>
  <si>
    <t>AM322776</t>
  </si>
  <si>
    <t>TBM MC80 18H12</t>
  </si>
  <si>
    <t>AM322768</t>
  </si>
  <si>
    <t>AF087574</t>
  </si>
  <si>
    <t>AF1859</t>
  </si>
  <si>
    <t>15:49</t>
  </si>
  <si>
    <t>AF059251</t>
  </si>
  <si>
    <t>AF055475</t>
  </si>
  <si>
    <t>14:19</t>
  </si>
  <si>
    <t>AF054870</t>
  </si>
  <si>
    <t>AF052678</t>
  </si>
  <si>
    <t>AF0063</t>
  </si>
  <si>
    <t>08:43</t>
  </si>
  <si>
    <t>G3307627</t>
  </si>
  <si>
    <t>OU306690</t>
  </si>
  <si>
    <t>SCANNE EN PISTE</t>
  </si>
  <si>
    <t>12H50 : BAG EN ATTENTE / PAS DE TRACE D INJECTION / J+1  CHARGE EN RB</t>
  </si>
  <si>
    <t>VN629513</t>
  </si>
  <si>
    <t>VN011</t>
  </si>
  <si>
    <t>RECUP BAG BAG RUNNER ET LIVRE SS BORD 10H36</t>
  </si>
  <si>
    <t>LO866229</t>
  </si>
  <si>
    <t>APPEL SUP GALL + ENVOI BAG RUNNER 06H23+06H45 / PLUS RIEN EN JETTE / AGENT GALL CONF QUE SUREMENT DEPOSE SS BORD /J+1 PAS DE DOSSIER OUVERT</t>
  </si>
  <si>
    <t>BR896110</t>
  </si>
  <si>
    <t>BR0087</t>
  </si>
  <si>
    <t>07:56</t>
  </si>
  <si>
    <t>SAT 1</t>
  </si>
  <si>
    <t>X 2 BAGS AVEC PERTE DE TRACE / VU REQUETEUR DERNIERE TRACE WJ41 / 2 APPELS EFFECTUES SAT 1 POUR DEMANDE D INJECTION / FINALEMENT EN DEPOSE NAVETTE 10H34 TOO LATE /J+1  A WAWLO70624 FO  LO336/23SEP</t>
  </si>
  <si>
    <t>BR896119</t>
  </si>
  <si>
    <t>MK690606</t>
  </si>
  <si>
    <t>MK0014</t>
  </si>
  <si>
    <t>TBS 18H00</t>
  </si>
  <si>
    <t>RRTE DU LO332/DEMANDE PILOTE AF A 18H30 DE FAIRE EXTRAIRE LE BAGAGE AU TBM MC80/PRIS EN CHARGE PAR BAGRUNNER EN MC80 A 18H55 ET LIVRE SOUS BORD A 19H15</t>
  </si>
  <si>
    <t>MK690608</t>
  </si>
  <si>
    <t>AF056319</t>
  </si>
  <si>
    <t>AF0253</t>
  </si>
  <si>
    <t>17:24</t>
  </si>
  <si>
    <t>INJECTION TARDIVE 18H48</t>
  </si>
  <si>
    <t>DEPOSE 4 HS 18H12</t>
  </si>
  <si>
    <t>APPEL GTB AF TME 18H45 POUR VERIFIER SI PAS DE AKE EN ATTENTE/DEPOSE 4 HS DEPUIS 18H12/PRIS EN CHARGE PAR BAGRUNNER EN MC80 A 19H04 ET LIVRE SOUS BORD A 19H14</t>
  </si>
  <si>
    <t>AF056320</t>
  </si>
  <si>
    <t>INJECTION TARDIVE 18H57</t>
  </si>
  <si>
    <t>APPEL GTB AF TME 18H45 POUR VERIFIER SI PAS DE AKE EN ATTENTE/DEPOSE 4 HS DEPUIS 18H12/PRIS EN CHARGE PAR BAGRUNNER EN MC80 A 19H09 ET LIVRE SOUS BORD A 19H15</t>
  </si>
  <si>
    <t>AF056322</t>
  </si>
  <si>
    <t>INJECTION TARDIVE 18H49</t>
  </si>
  <si>
    <t>APPEL GTB AF TME 18H45 POUR VERIFIER SI PAS DE AKE EN ATTENTE/DEPOSE 4 HS DEPUIS 18H12/PRIS EN CHARGE PAR BAGRUNNER EN MC80 A 19H01  ET LIVRE SOUS BORD A 19H15</t>
  </si>
  <si>
    <t>AF056727</t>
  </si>
  <si>
    <t>APPEL GTB AF TME 18H45 POUR VERIFIER SI PAS DE AKE EN ATTENTE/DEPOSE 4 HS DEPUIS 18H12/PRIS EN CHARGE PAR BAGRUNNER EN MC80 A 19H01 ET LIVRE SOUS BORD A 19H14</t>
  </si>
  <si>
    <t>AF056749</t>
  </si>
  <si>
    <t>INJECTION TARDIVE 18H53</t>
  </si>
  <si>
    <t>APPEL GTB AF TME 18H45 POUR VERIFIER SI PAS DE AKE EN ATTENTE/DEPOSE 4 HS DEPUIS 18H12/PRIS EN CHARGE PAR BAGRUNNER EN MC80 A 19H09 ET LIVRE SOUS BORD A 19H14</t>
  </si>
  <si>
    <t>XH587931</t>
  </si>
  <si>
    <t>LIMITED RELEASE</t>
  </si>
  <si>
    <t>APPEL LEAD LO A 19H30/HBAG/APPEL COORDO 20H15/CONFIRME QUE HBAG CHARGE MAIS NE SAVAIT PAS QUE LE LIMITED RELEASE RENTRE DANS LE SYSTÈME ET TROP TARD POUR CXL</t>
  </si>
  <si>
    <t>XH603460</t>
  </si>
  <si>
    <t>XH612762</t>
  </si>
  <si>
    <t>XH612764</t>
  </si>
  <si>
    <t>XH612765</t>
  </si>
  <si>
    <t>LO881646</t>
  </si>
  <si>
    <t>APPEL LEAD LO A 19H30/STRL/APPEL COORDO 20H15/CONFIRME QUE STRL PRISE A BORD PAR PAX</t>
  </si>
  <si>
    <t>AA223059</t>
  </si>
  <si>
    <t>X2 BAGS WITH NO LOC / AA CONTACTE 10H12 / DEMANDE D ENVOI DES TAG PAR MESSAGE POUR CONF ULTERIEUR / MAIS PAS DE BAG A LEUR NIVEAU LORS DE LARRIVEE DFW AA48/J+1  A HDQMH47761 →OHDNRTAA47647</t>
  </si>
  <si>
    <t>AA223060</t>
  </si>
  <si>
    <t>X2 BAGS WITH NO LOC / AA CONTACTE 10H12 / DEMANDE D ENVOI DES TAG PAR MESSAGE POUR CONF ULTERIEUR / MAIS PAS DE BAG A LEUR NIVEAU LORS DE LARRIVEE DFW AA48/J+1  A HDQMH47761 →OHDNRTAA47650</t>
  </si>
  <si>
    <t>RJ808381</t>
  </si>
  <si>
    <t>BSM CREATION 13H01</t>
  </si>
  <si>
    <t>APPEL ADP A 15H00/NEG/TROUVE PAR BAGRUNNER ZEN REBUT C05 A 15H19 ET LIVRE SOUS BORD A 15H22</t>
  </si>
  <si>
    <t>AF101821</t>
  </si>
  <si>
    <t>AF1343</t>
  </si>
  <si>
    <t>19:48</t>
  </si>
  <si>
    <t>JETEE 112 20H30</t>
  </si>
  <si>
    <t>APPEL JETEE 112 A 20H35/CONFIRME QUE LE BAG LA-BAS/ENVOI BAGRUNNER A 20H39/PRIS EN CHARGE ET LIVRE SOUS BORD A 20H54</t>
  </si>
  <si>
    <t>AF101848</t>
  </si>
  <si>
    <t>AF100182</t>
  </si>
  <si>
    <t>AF101646</t>
  </si>
  <si>
    <t>AF7415</t>
  </si>
  <si>
    <t>19:37</t>
  </si>
  <si>
    <t>T2C INJECTION 20H20</t>
  </si>
  <si>
    <t>PAS D'EJECTION 20H35</t>
  </si>
  <si>
    <t>TROUVE PAR BAGRUNNER EN REBUT C05 ET DEPOSE SUR LA JETEE DEPART A 20H36</t>
  </si>
  <si>
    <t>AF100209</t>
  </si>
  <si>
    <t>REBUT C05 T2C 20H41</t>
  </si>
  <si>
    <t>MAUVAISE JETEE</t>
  </si>
  <si>
    <t>APPEL SUP GALERIE A 20H51 ET SIGNALE POUR LE RECUPERER/RAPPEL A 21H05/BAG RECUPERE ET LIVRE SOUS BORD</t>
  </si>
  <si>
    <t>AF089623</t>
  </si>
  <si>
    <t>15:47</t>
  </si>
  <si>
    <t>PISTE 21H26</t>
  </si>
  <si>
    <t>BAG NON AUTORISE</t>
  </si>
  <si>
    <t>PAX A BORD MAIS 1  BAG SUR 2 RENTRE DANS SON DOSSIER/APPEL LEAD SB ET SIGNALE MAIS TROP TARD/CHARGE AVEC LA REMARQUE LOAD OK CIE MAIS RESTE EN BAG EN ATTENTE</t>
  </si>
  <si>
    <t>24/09/2026</t>
  </si>
  <si>
    <t>AI547904</t>
  </si>
  <si>
    <t>APPEL LEAD GATE A 19H56/BATONS DE MARCHE QUE LE PAX A PRIS COMME HBAG MAIS OBLIGE PAR CIE DE LES LAISSER EN PASSERELLE POUR LES CHARGER EN SOUTE/DEMANDE DE LES SCANNER</t>
  </si>
  <si>
    <t>AF179550</t>
  </si>
  <si>
    <t>AF1707</t>
  </si>
  <si>
    <t>19:25</t>
  </si>
  <si>
    <t>CR27 TBC1 A 20H04</t>
  </si>
  <si>
    <t>TN RENTRE EN AI ISO AF</t>
  </si>
  <si>
    <t>APPEL LEAD GATE A 20H36/DEMANDE DE RENTRER LE TAG EN AF ISO AI/APPEL SUP GAL 20H37/NEG EN REBUT C05/BAG  TOMBE  DU BAC AU 2C/VU AVEC CHEF DE QUART 20H59/TRACE PERDUE 21H04 PUIS OK CYNO 21H46 /J+1   A DELAI27182  PAS DE MSG DE FWD</t>
  </si>
  <si>
    <t>AF179391</t>
  </si>
  <si>
    <t>REBUT C05 20H15</t>
  </si>
  <si>
    <t>APPEL LEAD GATE A 20H36 ET DEMANDE DE RENTRER LE TAG EN AF ISO AI/APPEL SUP GAL A 20H37 ET DEMANDE DE VERIFIER EN REBUT C05 CAR BSM CREE 20H36</t>
  </si>
  <si>
    <t>AF179460</t>
  </si>
  <si>
    <t>REBUT C05 20H13</t>
  </si>
  <si>
    <t>AF179495</t>
  </si>
  <si>
    <t>AT854529</t>
  </si>
  <si>
    <t>PAX RRTE O/B AT789 BAG DECHARGE O/B AT779 MAIS APARAIS COME BAG A TRAITER</t>
  </si>
  <si>
    <t>AT854530</t>
  </si>
  <si>
    <t>AT854821</t>
  </si>
  <si>
    <t>AT854822</t>
  </si>
  <si>
    <t>AT854824</t>
  </si>
  <si>
    <t>AT854825</t>
  </si>
  <si>
    <t>AT855172</t>
  </si>
  <si>
    <t>AT856061</t>
  </si>
  <si>
    <t>AT856261</t>
  </si>
  <si>
    <t>AT856474</t>
  </si>
  <si>
    <t>AT856536</t>
  </si>
  <si>
    <t>AT856655</t>
  </si>
  <si>
    <t>AT857283</t>
  </si>
  <si>
    <t>AT857321</t>
  </si>
  <si>
    <t>AT857472</t>
  </si>
  <si>
    <t>AT857481</t>
  </si>
  <si>
    <t>AT861951</t>
  </si>
  <si>
    <t>T2B TRI SECURISATION DEPUIS 16H13</t>
  </si>
  <si>
    <t>PAS DE MVT 17H35</t>
  </si>
  <si>
    <t>ENVOI BAGRUNNER A 17H36 POUR VERIFIER/NEG A LA CYNO/APPEL CHEF DE QUART ABCD 17H58/DIT DE VERIFIER EN REBUT/NEG/VA VERIF AVEC LA MAINTE NANCE ET NOUS RAPPELER</t>
  </si>
  <si>
    <t>AT863624</t>
  </si>
  <si>
    <t>BSM 17H34</t>
  </si>
  <si>
    <t>APPEL SUP GALERIE A 17H41/BAG TAGLESS EN GALERIE AVEC BINGO AT861344/TAG ORIGINAL ANNULE ET BAG LIVRE SOUS BORD POUR COLLER LE NOUVEAU TN AT863624</t>
  </si>
  <si>
    <t>XH967211</t>
  </si>
  <si>
    <t>2B HORS FORMAT 15H13</t>
  </si>
  <si>
    <t>APPEL SUP GALERIE 17H38 ET SIGNALE</t>
  </si>
  <si>
    <t>AT854172</t>
  </si>
  <si>
    <t>LL TMB A18</t>
  </si>
  <si>
    <t>RRTE DU AT779/BAG TROUVE AU LL TMB EN A18 A 17H17/DEMANDE DE LE DEPOSER SUR LA JETEE DU VOL</t>
  </si>
  <si>
    <t>LO878984</t>
  </si>
  <si>
    <t>23SEP 23:09</t>
  </si>
  <si>
    <t>REQUETEUR BAG RADAR NEG/ APPEL TMB POUR VERIF SLB NEG 06H05 /</t>
  </si>
  <si>
    <t>LO881702</t>
  </si>
  <si>
    <t>REQUETEUR BAG RADAR NEG/ APPEL TMB POUR VERIF SLB NEG 06H05</t>
  </si>
  <si>
    <t>LO882013</t>
  </si>
  <si>
    <t>AV101727</t>
  </si>
  <si>
    <t>T1 GE16 HORS FORMAT 23SEP 18H07</t>
  </si>
  <si>
    <t>APPEL HF T1 POUR VERIF ET INJETION 07H00</t>
  </si>
  <si>
    <t>DE161783</t>
  </si>
  <si>
    <t>BSM CREA 09H07</t>
  </si>
  <si>
    <t>APPEL GALERIE T3 POUR VERIF 10H00  NEG /J+1  FRADE55368 EN ATTENTE DE FWD</t>
  </si>
  <si>
    <t>AF098462</t>
  </si>
  <si>
    <t>AF407</t>
  </si>
  <si>
    <t>06:57</t>
  </si>
  <si>
    <t>BSM CREA 09H36</t>
  </si>
  <si>
    <t>BSM CREA TARDIVE</t>
  </si>
  <si>
    <t>ENTREE 2E PIM 09H54 / CHARGE NAVETTE 10H15/J+1 A DUBEI30692 FO EI529/24SEP</t>
  </si>
  <si>
    <t>AF098496</t>
  </si>
  <si>
    <t>AF093281</t>
  </si>
  <si>
    <t>N ÉTAIT PAS DANS A TRAITER/ TAG NON RENTRE DANS ALTEA/J+1 A DUBEI30694 FO EI529/24SEP</t>
  </si>
  <si>
    <t>EI300061</t>
  </si>
  <si>
    <t>T1 EJECTION WJ36 09H25</t>
  </si>
  <si>
    <t>APPEL GALERIE T1 POUR VERIF ET ENVOI SOUS BORD 10H35 / CONFIRMATION PAR LE SUP GALERIE BAG CHARGE 10H45 /J+1 A SNNEI76904 FO EI909/27SEP</t>
  </si>
  <si>
    <t>EI301560</t>
  </si>
  <si>
    <t>TI EJECTION WJ43 A 13H39</t>
  </si>
  <si>
    <t>RESPON GALERIE  CONFIRME BAG CHARGE /PROBLEME DE SCAN</t>
  </si>
  <si>
    <t>EI301585</t>
  </si>
  <si>
    <t>TI EJECTION WJ43 A 13H44</t>
  </si>
  <si>
    <t>EI301807</t>
  </si>
  <si>
    <t>TI EJECTION WJ43 A 14H20</t>
  </si>
  <si>
    <t>EI302769</t>
  </si>
  <si>
    <t>TOMBE DU CONTAINER</t>
  </si>
  <si>
    <t>BAG TOMBE DU CONTAINER / PRIS EN CHARGE PAR UN BAGAGISTE MAIS TROP TARDIVEMENT / SOUTE FERMEE / BAG REMONTE AUX ARRIVEES T1</t>
  </si>
  <si>
    <t>EK64670</t>
  </si>
  <si>
    <t>EK73</t>
  </si>
  <si>
    <t>EM50/14H31</t>
  </si>
  <si>
    <t>DMD BAG RUNNER A 15H30 POUR  VERIFIER EM50  OK CYNO A 15H45 ET PRISE EN CHARGE A 15H56 ET DEPOSE S/BORD A 16H37</t>
  </si>
  <si>
    <t>AF157699</t>
  </si>
  <si>
    <t>EM091 A 15H50</t>
  </si>
  <si>
    <t>PRISE EN CHARGE PAR BAG RUNNER  A 15H51  ET DEPOSE S/BORD A 16H37</t>
  </si>
  <si>
    <t>FI880181</t>
  </si>
  <si>
    <t>T1 EJECTION SJ06 15H55</t>
  </si>
  <si>
    <t>PAS DE MVT 16H29</t>
  </si>
  <si>
    <t>APPEL GALERIE T1 A 16H29 ET SIGNALE POUR LE RECUPERER</t>
  </si>
  <si>
    <t>FI880196</t>
  </si>
  <si>
    <t>T1 EJECTION SJ06 15H54</t>
  </si>
  <si>
    <t>09:00</t>
  </si>
  <si>
    <t>HF120391</t>
  </si>
  <si>
    <t>2A CYNO 08H38</t>
  </si>
  <si>
    <t>PAX VVIP / LATE CKIN / APPEL SUP GALERIE BAG BIEN CHARGE SUR LE VOL //</t>
  </si>
  <si>
    <t>HF120392</t>
  </si>
  <si>
    <t>T2A INJECTION 08H37</t>
  </si>
  <si>
    <t>HF120393</t>
  </si>
  <si>
    <t>T2A EJECTION 08H45</t>
  </si>
  <si>
    <t>HF120396</t>
  </si>
  <si>
    <t>T2A INJECTION 08H45</t>
  </si>
  <si>
    <t>AF122488</t>
  </si>
  <si>
    <t>AF31</t>
  </si>
  <si>
    <t>06:19</t>
  </si>
  <si>
    <t>REQUETEUR BAG RADAR NEG/  CHECK SUR BOB AUCUNE TRACE SUR CDG 07H20 / DEPOSE TBM HF 08H /PAS DE MOUVEMENT ENVOI BAG RUNNER 08H55 / PRIS EN CHARGE ET DEPOSE JETEE  09H18</t>
  </si>
  <si>
    <t>AF122814</t>
  </si>
  <si>
    <t>AF75</t>
  </si>
  <si>
    <t>07:20</t>
  </si>
  <si>
    <t>TCN INJECTION JETEE 26</t>
  </si>
  <si>
    <t>PAS DE NORIA</t>
  </si>
  <si>
    <t>ENVOI BAG RUNNER 09H00 / PRIS EN CHARGE 09H22 / LIVRE SOUS BORD 09H28</t>
  </si>
  <si>
    <t>XH967212</t>
  </si>
  <si>
    <t>APPEL LEADER TMB A 18H51 ET DEMANDE DE FAIRE LE NECESSAIRE/RAPPEL A 19H35 POUR LA MEME RAISON/INJECTE A 19H43/APPEL SUP GAL 19H49 ET SIGNALE POUR LE RECUPERER</t>
  </si>
  <si>
    <t>JU234161</t>
  </si>
  <si>
    <t>PISTE 20H27</t>
  </si>
  <si>
    <t>A DECHARGE</t>
  </si>
  <si>
    <t>MEME BAGAGE EN ALERTE A DECHARGE/NON VU ET A TRAITER/PAS DE TRACE DE DECHARGEMENT/PAX A BORD AVEC 3 BAGS D'ENREGISTRES DONT 1  A DECHARGER/A VERIFIER</t>
  </si>
  <si>
    <t>BA529925</t>
  </si>
  <si>
    <t>09:35</t>
  </si>
  <si>
    <t>REQUETEUR BAG RADAR NEG / APPEL SBA T2A POUR VERIF SLB 11H20 INJOIGNABLE /J+1  PAS DE DOSSIER OUVERT J+1</t>
  </si>
  <si>
    <t>BA529987</t>
  </si>
  <si>
    <t>BA600094</t>
  </si>
  <si>
    <t>REQUETEUR BAG RADAR NEG / APPEL SBA T2A POUR VERIF SLB 11H20 INJOIGNABLE /J+1 PAS DE TRACE / A GRULA57886</t>
  </si>
  <si>
    <t>BA600127</t>
  </si>
  <si>
    <t>REQUETEUR BAG RADAR NEG / APPEL SBA T2A POUR VERIF SLB 11H20 INJOIGNABLE/J+1 PAS DE DOSSIER OUVERT</t>
  </si>
  <si>
    <t>BA624412</t>
  </si>
  <si>
    <t>REQUETEUR BAG RADAR NEG / APPEL SBA T2A POUR VERIF SLB 11H20 INJOIGNABLE /J+1 PAS DE TRACE A GRULA57885</t>
  </si>
  <si>
    <t>LH417132</t>
  </si>
  <si>
    <t>VL2226</t>
  </si>
  <si>
    <t>T1 GE16 HORS FORMAT 09H47</t>
  </si>
  <si>
    <t>CTC T1 HORS FORMA A 11H01  RE CTC A 12H08  PAS D'ACTION /J+1  AUCUN  MVT DEPUIS /A GRULA57892</t>
  </si>
  <si>
    <t>LA981306</t>
  </si>
  <si>
    <t>BSM CREATION  10H05</t>
  </si>
  <si>
    <t>CTC LEAD LA A 12H15 CTC CHEF DE QUART ABCD  PAS  INFO BAG RUNNER A VERIFIER  TAPIE  1 PAS DE BAG SANS TAG /J+1 PAS DE DOSSIER OUVERT</t>
  </si>
  <si>
    <t>LO888238</t>
  </si>
  <si>
    <t>T2D EJECTION VERS CYNO 05H51</t>
  </si>
  <si>
    <t>APPEL SUP GALERIE 06H15 / ENVOI BAG RUNNER DEPOSE JETEE DPT 06H23 / DPT VERS PISTE 06H25</t>
  </si>
  <si>
    <t>AF138230</t>
  </si>
  <si>
    <t>AF7323</t>
  </si>
  <si>
    <t>08:58</t>
  </si>
  <si>
    <t>REQUETEUR BAG RADAR BOB NEG 09H50 / 2F INJECTION 10H01 / ENVOI BAG RUNNER TBM MJ80 POUR ESSAYER DE LES INTERCEPTE A TEMPS 10H04 / PRIS EN CHARGE 10H17  / LIVRE SOUS BORD 10H23</t>
  </si>
  <si>
    <t>AF138231</t>
  </si>
  <si>
    <t>REQUETEUR BAG RADAR BOB NEG 09H50 / 2F INJECTION 10H01 / ENVOI BAG RUNNER TBM MJ80 POUR ESSAYER DE LES INTERCEPTE A TEMPS 10H04</t>
  </si>
  <si>
    <t>BR469668</t>
  </si>
  <si>
    <t>T2D NAVETTE 09H52</t>
  </si>
  <si>
    <t>APPEL SUP GALERIE / PLUS RIEN EN GALERIE TOUT EST PARTI A L AVION 10H10</t>
  </si>
  <si>
    <t>LO003463</t>
  </si>
  <si>
    <t>T2D EJECTION D02 19H09</t>
  </si>
  <si>
    <t>PAS DE MVT 19H13</t>
  </si>
  <si>
    <t>APPEL SUP GALERIE 19H22 ET SIGNALE</t>
  </si>
  <si>
    <t>LO002815</t>
  </si>
  <si>
    <t>JETEE 2D 18H04</t>
  </si>
  <si>
    <t>PAS DE DEPT PISTE 19H13</t>
  </si>
  <si>
    <t>LO003480</t>
  </si>
  <si>
    <t>T2D EJECTION  D02 19H15</t>
  </si>
  <si>
    <t>LAST MINUTE BAG</t>
  </si>
  <si>
    <t>LO003471</t>
  </si>
  <si>
    <t>T2D EJECTION D02 19H14</t>
  </si>
  <si>
    <t>BA623524</t>
  </si>
  <si>
    <t>TBM NAVETTE 10H28</t>
  </si>
  <si>
    <t>CHARGE NAVETTE / APPEL TBM SAMSIC CONFIRME QUE LE BAG VA BIEN ETRE ENVOYE / 10H50 AUCUN MOUV ENVOI BAG RUNNER / ERREUR DE TRAJET BAG DEPOSE AU LL A18 11H05/J+1 A KULMH95915 EN ATTENDE FWD</t>
  </si>
  <si>
    <t>TBM MC80 14H10</t>
  </si>
  <si>
    <t>RRTE DU AT779/APPEL AGENT TBM MC80 A 17H05/NEG/APPEL LEAD TMB A 17H08/VA VOIR AVEC SON BAGO ET NOUS RAPPELLE /BAG A LA MNB  2A/DEMANDE DE LE DEPOSER SUR LA JETEE DEPART</t>
  </si>
  <si>
    <t>25/09/2026</t>
  </si>
  <si>
    <t>LX543858</t>
  </si>
  <si>
    <t>LX646</t>
  </si>
  <si>
    <t>24SEP 23:42</t>
  </si>
  <si>
    <t>T1 ARRIVEE 5 00H13</t>
  </si>
  <si>
    <t>APPEL DIRBY POUR REINJECTION  05H55 / BAG RETOUVE ER REINJECTE 06H23</t>
  </si>
  <si>
    <t>LX551883</t>
  </si>
  <si>
    <t>T1 ARRIVEE 5 00H10</t>
  </si>
  <si>
    <t>DE187392</t>
  </si>
  <si>
    <t>BSM CREA 06H42</t>
  </si>
  <si>
    <t>APPEL GALERIE T3 NEG 07H45 PLUS RIEN EN GALERIE / BAG 5KGS POSS CABIN OU POUSSETTE / APPEL COORDO INJOIGNABLE 08H05  / PAS DE DOSSIER OUVERT A J+1</t>
  </si>
  <si>
    <t>AF186763</t>
  </si>
  <si>
    <t>08:19</t>
  </si>
  <si>
    <t>T1 EJECTION WJ43 10H03</t>
  </si>
  <si>
    <t>ARRIVEE TARDIVE T1</t>
  </si>
  <si>
    <t>APPEL GALERIE T1 POUR ENVOI SOUS BORD 10H00 / DPT VERS PISTE 10H13 / APPEL COORDO BAG NON CHARGE 10H16 - AHLDUBEI30732 O/B EI529/25SEP</t>
  </si>
  <si>
    <t>AF186764</t>
  </si>
  <si>
    <t>T1 EJECTION WJ43 09H59</t>
  </si>
  <si>
    <t>AF187895</t>
  </si>
  <si>
    <t>T1 EJECTION WJ41  10H11</t>
  </si>
  <si>
    <t>APPEL GALERIE T1 POUR ENVOI SOUS BORD 12H12  / APPEL COORDO BAG NON CHARGE SOUTE FERMEE 10H16 - AHLDUBEI30732 O/B EI529/25SEP</t>
  </si>
  <si>
    <t>AF187830</t>
  </si>
  <si>
    <t>2E TRI 08H57</t>
  </si>
  <si>
    <t>REQUETEUR  SYSTÈME AF TRACE PERDUE A 08H57 / POSSIBILITE ERREUR ACHEMINEMENT 09H30 / NOUVEL LOC TME204 A 10H11 - AHLDUBEI30732 PAS DE RUSH PREVU A J+1</t>
  </si>
  <si>
    <t>EI304026</t>
  </si>
  <si>
    <t>BSM CREA 09H44</t>
  </si>
  <si>
    <t>POUSSETTE</t>
  </si>
  <si>
    <t>APPEL  COORDO 11H05 POUSSETTE QUI RESTE EN CABINE DONC PAS SCANNER MAIS BIEN A BORD</t>
  </si>
  <si>
    <t>EI303911</t>
  </si>
  <si>
    <t>EI304862</t>
  </si>
  <si>
    <t>BSM CREATION A 11H28</t>
  </si>
  <si>
    <t>CTC COORDO  SANS REPONSE PROBABLEMENT HAND BAG 5KG O/B SANS SCAN - PAS DE DOSSIER OUVERT A J+1</t>
  </si>
  <si>
    <t>EI133891</t>
  </si>
  <si>
    <t>20H30 APPEL DIRBY POUR INJECTION - AHLDUBEI30738 DOSSIER FERME LE 26SEP</t>
  </si>
  <si>
    <t>EI306144</t>
  </si>
  <si>
    <t>BSM CREA 19H31</t>
  </si>
  <si>
    <t>BAG CABINE /</t>
  </si>
  <si>
    <t>AF195687</t>
  </si>
  <si>
    <t>NEG REQUETEUR/BAG RADAR- LOCALISE A 17H32 AU QSE - ENTREE KUBE A 19H03 PUIS SORTIE A 19H34 - AHLKEFFI17523 PAS DE RUSH PREVU A J+1</t>
  </si>
  <si>
    <t>34 RUSH DE PREVU / APPEL TMB POUR ENVOI 07H20</t>
  </si>
  <si>
    <t>HF123269</t>
  </si>
  <si>
    <t>BSM CREA 07H45</t>
  </si>
  <si>
    <t>APPEL SUP GALERIE POUR VERIF 08H25</t>
  </si>
  <si>
    <t>HF123271</t>
  </si>
  <si>
    <t>HF123272</t>
  </si>
  <si>
    <t>HF123273</t>
  </si>
  <si>
    <t>JU278252</t>
  </si>
  <si>
    <t>BSM CREA 07H59</t>
  </si>
  <si>
    <t>APPEL SUP GALERIE POUR VERIF ET ENVOI SOUS BORD 09H19 NEG / APPEL COORDO 09H50</t>
  </si>
  <si>
    <t>CM280941</t>
  </si>
  <si>
    <t>15:04</t>
  </si>
  <si>
    <t>ARRIIVEES 2E</t>
  </si>
  <si>
    <t>TAG CM P/UP ET ENREGISTRE JU</t>
  </si>
  <si>
    <t>17H CTC AF 2E POUR CONFIRME RECUP PAR PAP AU 2E A 16H55 / OK / BAG RE ENREGISTRE EN JU236647 ET DEMANDE ANNULATION DU CM280941</t>
  </si>
  <si>
    <t>AF251915</t>
  </si>
  <si>
    <t>AF1781</t>
  </si>
  <si>
    <t>TME JETEE 113 18H42</t>
  </si>
  <si>
    <t>19H35 ENVOIE BAGRUNNER POUR RECUP /PRIS EN CHARGE A 19H45 ET LIVRE SOUS BORD A 20H11</t>
  </si>
  <si>
    <t>AF206573</t>
  </si>
  <si>
    <t>18:38</t>
  </si>
  <si>
    <t>HF TBM 19H29</t>
  </si>
  <si>
    <t>TROUVE EN PISTE</t>
  </si>
  <si>
    <t>19H47 ENVOIE BAGRUNNER POUR RECUP/DEPOSE PAR AGENT TBM AU 2D HORS FORMAT 20H00/HF TROUVE EN PISTE PAR BAGRUNNER ET LIVRE SOUS BORD A 20H09</t>
  </si>
  <si>
    <t>AF205938</t>
  </si>
  <si>
    <t>DECHARGE TBM NAV 19H43</t>
  </si>
  <si>
    <t>BAG TROUVE EN PISTE PAR BAGRUNNER AVANT L'ARRIVEE DE L'AVION  ET LIVRE SOUS BORD A 20H09</t>
  </si>
  <si>
    <t>AF253918</t>
  </si>
  <si>
    <t>AF1095</t>
  </si>
  <si>
    <t>18:33</t>
  </si>
  <si>
    <t>AF253936</t>
  </si>
  <si>
    <t>CA347526</t>
  </si>
  <si>
    <t>06:16</t>
  </si>
  <si>
    <t>SLB T1  TAPIE 3</t>
  </si>
  <si>
    <t>PAS DE MVT A 10H00</t>
  </si>
  <si>
    <t>CTC SBA  PLUSIUERS FOIS DEPUIS  10H10 SANS REPONSE /REPONSE DE SBA A 11H45 BAG INTROUVABLE  EN SLB/ RETROUVER A 12H42  TROP TARD POUR LE VOL - AHLGRULA57957 PAS DE RUSH PREVU</t>
  </si>
  <si>
    <t>LY490632</t>
  </si>
  <si>
    <t>09:20</t>
  </si>
  <si>
    <t>TBM EM80 A 10H00</t>
  </si>
  <si>
    <t>PAS DE MVT  12H00</t>
  </si>
  <si>
    <t>DMD BAG RUNNER A 12H05 D'ALLER VERIFIER AU TBM  BAG INTROUVABLE - AHLGRULA57958 PAS DE RUSH PREVU A J+1</t>
  </si>
  <si>
    <t>TK764734</t>
  </si>
  <si>
    <t>09:52</t>
  </si>
  <si>
    <t>TBM EM80 A 10H45</t>
  </si>
  <si>
    <t>DMD BAG RUNNER A 12H05 D'ALLER VERIFIER AU TBM INTROUVABLE /REAPARUE EN PISTE A 12H32</t>
  </si>
  <si>
    <t>BR520321</t>
  </si>
  <si>
    <t>TBM NAVETTE 08H49</t>
  </si>
  <si>
    <t>APPEL SUP GALERIE NEG 09H50 / ENVOI BAG RUNNER 09H55 / CONFIRMATION BAG SOUS BORD 10H05</t>
  </si>
  <si>
    <t>MK697029</t>
  </si>
  <si>
    <t>TBM NAVETTE 09H57</t>
  </si>
  <si>
    <t>MK697031</t>
  </si>
  <si>
    <t>MK697032</t>
  </si>
  <si>
    <t>BA709036</t>
  </si>
  <si>
    <t>09:28</t>
  </si>
  <si>
    <t>TBM 10H36</t>
  </si>
  <si>
    <t>ENVOI BAG RUNNER 10H38 / PRIS EN CHARGE 10H47 / LMIVRE SOUS BORD 10H54</t>
  </si>
  <si>
    <t>26/09/2026</t>
  </si>
  <si>
    <t>AF307368</t>
  </si>
  <si>
    <t>AF7361</t>
  </si>
  <si>
    <t>10:54</t>
  </si>
  <si>
    <t>TCNEDS3/11H42</t>
  </si>
  <si>
    <t>TRACE PERDUE</t>
  </si>
  <si>
    <t>VU AVEC AF 11H45/PAS POSSIBLE DE TROUVER LA TRACE/PANNE INFORMATIQUE TDS4+TDS3 - LOCALISE REBUT 13H22  - BAG O/B AI142/26SEP/AI308/28SEP</t>
  </si>
  <si>
    <t>AV417725</t>
  </si>
  <si>
    <t>08H44 : APPEL GALERIE T1 -  BAG PAS ENCORE RECU - SERA  RAMENE A L AVION - 8H43 JETEE T1 - RETROUVE AU REBUT 16H16 - PAS DE RUSH PREVU - PAS DE DOSSIER OUVERT A J+1</t>
  </si>
  <si>
    <t>TN133582</t>
  </si>
  <si>
    <t>09H57 : APPEL NAVETTE T1-T2 / BAG RECUPERE SERONT DEPOSES AU T3 - APPEL T3 10H50 POUR INFORMER - AHLFRADE55410 O/B DE4264/27SEP</t>
  </si>
  <si>
    <t>TN133585</t>
  </si>
  <si>
    <t>DE228200</t>
  </si>
  <si>
    <t>8 KGS : POSSIBLE BAGAGE CABINE PRIS DANS L AVION - PAS DE DOSSIER OUVERT A J+1</t>
  </si>
  <si>
    <t>EI306640</t>
  </si>
  <si>
    <t>HORS FORMAT</t>
  </si>
  <si>
    <t>10H07 : APPEL HORS FORMAT - VOL PAS ENCORE ARV - BAG ENCORE A LEUR NIVEAU</t>
  </si>
  <si>
    <t>EI309146</t>
  </si>
  <si>
    <t>T1 INJECTION 14H17</t>
  </si>
  <si>
    <t>LOCALISE T1 INJECTION 14H17 / APPEL GALERIE T1 16H00 POUR VERIF - PUIS VU AU REBUT A 18H03 - AHLDUBEI30831 O/B EI521/27SEP</t>
  </si>
  <si>
    <t>AF309865</t>
  </si>
  <si>
    <t>S3NTT</t>
  </si>
  <si>
    <t>VU AVEC AF 11H45/PAS POSSIBLE DE TROUVER LA TRACE/PANNE INFORMATIQUE TDS4+TDS3 - LOCALISE REBUT 14H55  - AHLKEFFI17564 PAS DE RUSH PREVU A J+1</t>
  </si>
  <si>
    <t>FI000076</t>
  </si>
  <si>
    <t>T1 IJECTION 11H21</t>
  </si>
  <si>
    <t>APPEL GALERIE T1 13H00 POUIR VERIF SUR SJ06/PAS DE TRACE / POSS CHARGE SANS SCANNE - LOCALISE EN EJECTION 11H21 - PAS DE DOSSIER OUVERT A J+1</t>
  </si>
  <si>
    <t>FI000533</t>
  </si>
  <si>
    <t>T1 IJECTION 12H02</t>
  </si>
  <si>
    <t>APPEL GALERIE T1 13H00 POUIR VERIF SUR SJ06/PAS DE TRACE - BAG SCANNE A 21H09 AU HF - LIVRE EN SLB A 21H30 - AHLKEFFI17562 PAS DE RUSH PREVU A J+1</t>
  </si>
  <si>
    <t>HF126497</t>
  </si>
  <si>
    <t>2A REC CYNO</t>
  </si>
  <si>
    <t>08H17 : ENVOI BAGRUNNER 2A CYNO - PRISE EN CHARGE A 8H29 POUR DEPOSE SS BORD 08H31</t>
  </si>
  <si>
    <t>HF126536</t>
  </si>
  <si>
    <t>08H17 : ENVOI BAGRUNNER 2A CYNO - PRISE EN CHARGE A 8H29 POUR DEPOSE SS BORD 08H32</t>
  </si>
  <si>
    <t>HF126587</t>
  </si>
  <si>
    <t>08H48 : APPEL LEAD - SUREMENT DUPE DE TAG - AUCUNE LOCALISATION A CDG - AHLABJHF12087 PAS DE RUSH PREVU A J+1</t>
  </si>
  <si>
    <t>AF340847</t>
  </si>
  <si>
    <t>M80 19H30</t>
  </si>
  <si>
    <t>19H50 ENVOIE BAGRUNNER POUIR RECUP ET DEPOSE SOUS BORD</t>
  </si>
  <si>
    <t>AF346865</t>
  </si>
  <si>
    <t>18:58</t>
  </si>
  <si>
    <t>M80 19H25</t>
  </si>
  <si>
    <t>AF340113</t>
  </si>
  <si>
    <t>19:04</t>
  </si>
  <si>
    <t>20H05 ENVOIE BAGRUNNER POUR RECUP ET DEPOSE SOUS BORD</t>
  </si>
  <si>
    <t>LH731741</t>
  </si>
  <si>
    <t>10:02</t>
  </si>
  <si>
    <t>T1 ARRIVEE 6/10H24</t>
  </si>
  <si>
    <t>APPEL DIRBY PLUSIEURS FOIS / AUCUNE REPONSE - BAG LIVRE EN SLB PAR ERREUR - AHLGRULA58035</t>
  </si>
  <si>
    <t>LH731783</t>
  </si>
  <si>
    <t>APPEL DIRBY PLUSIEURS FOIS / AUCUNE REPONSE - BAG LIVRE EN SLB PAR ERREUR - AHLGRULA58033</t>
  </si>
  <si>
    <t>LH735972</t>
  </si>
  <si>
    <t>LG288438</t>
  </si>
  <si>
    <t>LG8011</t>
  </si>
  <si>
    <t>AF2T225</t>
  </si>
  <si>
    <t>VU AVEC AF 11H45/PAS POSSIBLE DE TROUVER LA TRACE/PANNE INFORMATIQUE TDS4+TDS3 - AHLGYNLA24791 PAS DE RUSH PREVU A J+1</t>
  </si>
  <si>
    <t>AF293842</t>
  </si>
  <si>
    <t>AF1553</t>
  </si>
  <si>
    <t>2E TRI SECURISASTION 09H54</t>
  </si>
  <si>
    <t>ENVOI BAG RUNNER 2E TRI 11H45+TBM/PAS DE TRACE - AHLCWBLA34586 - PAS DE RUSH PREVU A J+1</t>
  </si>
  <si>
    <t>AF299253</t>
  </si>
  <si>
    <t>AF7347</t>
  </si>
  <si>
    <t>LCB302 10H36</t>
  </si>
  <si>
    <t>PERTE DE SUIVI</t>
  </si>
  <si>
    <t>APPEL LCB 11H15/VERIF PAR AGENT/PAS DE TRACE/VERIF PAR BAG RUNNER AU TBM + T2C/PAS DE TRACE/PANNE INFORMATIQUE TDS4+TDS3 - PAS DE DOSSIER OUVERT A J+1 - PAS DE RUSH PREVU</t>
  </si>
  <si>
    <t>LG288380</t>
  </si>
  <si>
    <t>LCB302 10H27</t>
  </si>
  <si>
    <t>APPEL LCB 11H15/VERIF PAR AGENT/PAS DE TRACE/VERIF PAR BAG RUNNER AU TBM + T2C/PAS DE TRACE/PANNE INFORMATIQUE TDS4+TDS3 - AHLGRULA58030 O/B LA8133/27SEP</t>
  </si>
  <si>
    <t>LG288385</t>
  </si>
  <si>
    <t>LCB302 10H34</t>
  </si>
  <si>
    <t>LG288435</t>
  </si>
  <si>
    <t>LCB302 09H57</t>
  </si>
  <si>
    <t>APPEL LCB 11H15/VERIF PAR AGENT/PAS DE TRACE/VERIF PAR BAG RUNNER AU TBM + T2C/PAS DE TRACE/PANNE INFORMATIQUE TDS4+TDS3 - AHLGYNLA24794 PAS DE RUSH PREVU A J+1</t>
  </si>
  <si>
    <t>LG288437</t>
  </si>
  <si>
    <t>LG288439</t>
  </si>
  <si>
    <t>LCB302 10H28</t>
  </si>
  <si>
    <t>APPEL LCB 11H15/VERIF PAR AGENT/PAS DE TRACE/VERIF PAR BAG RUNNER AU TBM + T2C/PAS DE TRACE/PANNE INFORMATIQUE TDS4+TDS3 - AHLGYNLA24791 PAS DE RUSH PREVU A J+1</t>
  </si>
  <si>
    <t>AF298023</t>
  </si>
  <si>
    <t>10H02 : BAG INJECTE TBM - ENVOI BAGRUNNER POUR RECUP DES EJECTION -  BAG DÉJÀ RECUPERE PAR NAVETTE</t>
  </si>
  <si>
    <t>BA028605</t>
  </si>
  <si>
    <t>10H29 : ENVOI BAGRUNNER - PRISE EN CHARGE A 10H50  POUR DEPOSE SOUS BORD</t>
  </si>
  <si>
    <t>BA033728</t>
  </si>
  <si>
    <t>BA033820</t>
  </si>
  <si>
    <t>MH596595</t>
  </si>
  <si>
    <t>10H59 : APPEL LEAD MH - CHAISE QUI SERA DEPOSE EN PORTE</t>
  </si>
  <si>
    <t>27/09/2026</t>
  </si>
  <si>
    <t>DL765237</t>
  </si>
  <si>
    <t>11H49 : ENVOI BAGRUNNER EN MC80 POUR ANTICIPER ARV BAG - TOMBE EN C03 A 11H56/ APPEL GALERIE PR VERIF INFRA</t>
  </si>
  <si>
    <t>DL299805</t>
  </si>
  <si>
    <t>STOCKEUR</t>
  </si>
  <si>
    <t>20H15 DEMANDE D'EXTRACTION EN M80 / ENVOIE BAGRUNNER POUR RECUP ET DEPOSE SOUS BORD</t>
  </si>
  <si>
    <t>DL299806</t>
  </si>
  <si>
    <t>DL299910</t>
  </si>
  <si>
    <t>DL306932</t>
  </si>
  <si>
    <t>DL306935</t>
  </si>
  <si>
    <t>DL310785</t>
  </si>
  <si>
    <t>DL316559</t>
  </si>
  <si>
    <t>AT387069</t>
  </si>
  <si>
    <t>ARRIVEES 2B</t>
  </si>
  <si>
    <t>BAG DECHARGE A 18H41 ET DEPOSE AUX ARRIVEES 2B / APPARAIT A TRAITER CAUSE SYSTEM AT - PAS DE DOSSIER OUVERT A J+1</t>
  </si>
  <si>
    <t>AT387081</t>
  </si>
  <si>
    <t>BAG DECHARGE A 18H41 ET DEPOSE AU ARRIVEES 2B / APPARAIT A TRAITER CAUSE SYSTEM AT - PAS DE DOSSIER OUVERT A J+1</t>
  </si>
  <si>
    <t>AT387585</t>
  </si>
  <si>
    <t>DECHARGE A 18H41 / APPARAIT A TRAITER CAUSE SYSTEM AT - PAS DE DOSSIER OUVERT A J+1</t>
  </si>
  <si>
    <t>LH102062</t>
  </si>
  <si>
    <t>VL2238</t>
  </si>
  <si>
    <t>23:45</t>
  </si>
  <si>
    <t>06H35 : APPEL DIRBY T1 - RECHERCHE BAG ET SERONT REMIS DANS LE SYSTÈME - AUCUNE TRACE -AHLBOGAV25151</t>
  </si>
  <si>
    <t>OS741271</t>
  </si>
  <si>
    <t>22:15</t>
  </si>
  <si>
    <t>06H35 : APPEL DIRBY T1 - RECHERCHE BAG ET SERONT REMIS DANS LE SYSTÈME</t>
  </si>
  <si>
    <t>OS741315</t>
  </si>
  <si>
    <t>TN135290</t>
  </si>
  <si>
    <t>09H58: ENVOI BAGRUNNER POUR PRISE EN CHARGE A 10H07</t>
  </si>
  <si>
    <t>EI311657</t>
  </si>
  <si>
    <t>10H01 : APPEL CYNO T1 - BAG VA ETRE RAMENE SOUS BORD SI OK COORDO - AHLDUBEI30861 O/B EI527/27SEP</t>
  </si>
  <si>
    <t>EI311977</t>
  </si>
  <si>
    <t>10H01 : APPEL CYNO T1 - BAG VA ETRE RAMENE SOUS BORD SI OK COORDO - AHLDUBEI30863 O/B EI527/27SEP</t>
  </si>
  <si>
    <t>EI313124</t>
  </si>
  <si>
    <t>INJECTION WJ43  11H31</t>
  </si>
  <si>
    <t>APPEL GALERIE T1 12H46 PR VERIF INFRA - BAG REFUSE CHARGE SUR UN AUTRE VOL - AHLDUBEI30900</t>
  </si>
  <si>
    <t>EI312890</t>
  </si>
  <si>
    <t>EJECTION WJ43 10H52</t>
  </si>
  <si>
    <t>APPEL GALERIE T1 12H46 PR VERIF INFRA - LOC T1 INJECTION 10H48 / EJECTION SAT4 10H52 - RETOUR LL 28SEP 05H36 - AHLDUBEI30899 PAS DE RUSH PREVU A J+1</t>
  </si>
  <si>
    <t>EI313020</t>
  </si>
  <si>
    <t>APPEL GALERIE T1 12H00 POUR VERIF /PAS DE TRACE - PAS DE DOSSIER OUVERT A J+1</t>
  </si>
  <si>
    <t>EI313409</t>
  </si>
  <si>
    <t>BAG LOCALISE EN PISTE SUR LE EI525 PUIS ANNULE / PERTE DE TRACE / PEUT ETRE CHARGE O/B EI525 - PAS DE DOSSIER OUVERT A J+1</t>
  </si>
  <si>
    <t>IB867595</t>
  </si>
  <si>
    <t>IB585</t>
  </si>
  <si>
    <t>APPEL DIRBY T3 +NAVETTE 12H50/RECUPERE PAR NAVETTE ET DEPOSE T1 13H28</t>
  </si>
  <si>
    <t>OU472189</t>
  </si>
  <si>
    <t>OU470</t>
  </si>
  <si>
    <t>11:07</t>
  </si>
  <si>
    <t>TBM TRI 11H47</t>
  </si>
  <si>
    <t>ENVOI BAG RUNNER 13H15/RECUPERE ET LIVRE S/BORD</t>
  </si>
  <si>
    <t>AF393701</t>
  </si>
  <si>
    <t>S3NTT 12H51</t>
  </si>
  <si>
    <t>PANNE INFORMATIQUE TDS3+TDS4/ENVOI BAG RUNNER 12H55 S3NTT/PAS TROUVE/ARRIVEE TARDIVE A LA NAVETTE T1/T2 13H49 - AHLKEFFI17612 PAS DE RUSH PREVU A J+1</t>
  </si>
  <si>
    <t>AF393732</t>
  </si>
  <si>
    <t>AF399678</t>
  </si>
  <si>
    <t>AF1643</t>
  </si>
  <si>
    <t>12:01</t>
  </si>
  <si>
    <t>PANNE INFORMATIQUE TDS3+TDS4/ENVOI BAG RUNNER 12H55 S3NTT/PAS TROUVE/ARRIVEE TARDIVE A LA NAVETTE T1/T2 13H49 - AHLKEFFI17608 PAS DE RUSH PREVU A J+1</t>
  </si>
  <si>
    <t>AF399721</t>
  </si>
  <si>
    <t>AF403334</t>
  </si>
  <si>
    <t>AF7391</t>
  </si>
  <si>
    <t>11:44</t>
  </si>
  <si>
    <t>QSE 13H18</t>
  </si>
  <si>
    <t>APPEL QSE/ENVOI BAG RUNNER 13H45/RECUPERE ET DEPOSE AU TBM 14H00/</t>
  </si>
  <si>
    <t>XH967343</t>
  </si>
  <si>
    <t>06H55 : APPEL TMB POUR NE PAS OUBLIER BAGAGE</t>
  </si>
  <si>
    <t>AF372059</t>
  </si>
  <si>
    <t>AF0137</t>
  </si>
  <si>
    <t>09H58 : APPEL BAGRUNNER POUR ALLER EN MC80 - BAGS NON VU MS ARV TRES TARDIVE DU BAG -AHLSOFJU13846 PAS DE RUSH PREVU A J+1</t>
  </si>
  <si>
    <t>AF372079</t>
  </si>
  <si>
    <t>09H58 : APPEL BAGRUNNER POUR ALLER EN MC80 - BAGS NON VU MS ARV TRES TARDIVE DU BAG - AHLSOFJU13846 PAS DE RUSH PREVU A J+1</t>
  </si>
  <si>
    <t>OS746824</t>
  </si>
  <si>
    <t>T1 ARV 4</t>
  </si>
  <si>
    <t>10H47 APPEL DIRBY T1 - BAG VA ETRE RECHERCHE ET REMIS DANS LE SYSTÈME -12H16: APPEL TRANSIT T1 PR VERIF GE16 ET ENVOI T2 - AHLGRULA58082 PAS DE RUSH PREVU</t>
  </si>
  <si>
    <t>AF345390</t>
  </si>
  <si>
    <t>AF1289</t>
  </si>
  <si>
    <t>19:51</t>
  </si>
  <si>
    <t>TBM HF 26SEP 20H52</t>
  </si>
  <si>
    <t>12H14:DMD BAG RUNNER DE VERIF A18 PR REINTRO</t>
  </si>
  <si>
    <t>AF387523</t>
  </si>
  <si>
    <t>TRIEUR 2E 12H38</t>
  </si>
  <si>
    <t>CREATION TARDIVE BSM</t>
  </si>
  <si>
    <t>PAX REROUTE DU AF460/27SEP- BSM CREATION 12H27/ TROP TARD PR INTERVENIR - AHLCDGAF35894 O/B AF460/28SEP</t>
  </si>
  <si>
    <t>AF387566</t>
  </si>
  <si>
    <t>2E VERS TBM12H37</t>
  </si>
  <si>
    <t>PAX REROUTE DU AF460/27SEP- BSM CREATION 12H27/ TROP TARD PR INTERVENIR - AHLCDGAF35894 O/B AF454/27SEP</t>
  </si>
  <si>
    <t>LO061455</t>
  </si>
  <si>
    <t>T2D</t>
  </si>
  <si>
    <t>LOCALISE EN INJECTION 9H29/ EJECTION 9H31 - 10H04 : ENVOI BAGRUNNER AU 2D - PROBLEME RESEAU / BAG NON TROUVE - PAS DE DOSSIER OUVERT A J+1</t>
  </si>
  <si>
    <t>AC800581</t>
  </si>
  <si>
    <t>LOCALISE TBM 8H34 - DECHARGE NAVETTE 8H39 - 10H04 : ENVOI BAGRUNNER AU 2D - PROBLEME RESEAU / BAG NON TROUVE - PAS DE DOSSIER OUVERT A J+1</t>
  </si>
  <si>
    <t>BA129391</t>
  </si>
  <si>
    <t>09:18</t>
  </si>
  <si>
    <t>2C HORS FORMAT</t>
  </si>
  <si>
    <t>LOCALISE HF 10H29 - 10H38 : ENVOI BAGRUNNER A L ARRIVEE DU AC - 10H45 : RAPPEL DU BAGRUNNER BAG NON TROUVE - PAS DE DOSSIER OUVERT A J+1 DEST MEL 28SEP</t>
  </si>
  <si>
    <t>28/09/2026</t>
  </si>
  <si>
    <t>AC874591</t>
  </si>
  <si>
    <t>BAG NON CHARGE SUR LE VOL D'APPORT - LE BAGAGE N'EST PAS PARTIE DE YVR - AUCUN MSG DE FWD - PAS DE DOSSIER OUVERT A J+1</t>
  </si>
  <si>
    <t>AI819177</t>
  </si>
  <si>
    <t>T2C EJECTION C04 18H21</t>
  </si>
  <si>
    <t>PAS DE MVT 19H35</t>
  </si>
  <si>
    <t>APPEL GALERIE 2C A 19H35 ET SIGNALE</t>
  </si>
  <si>
    <t>AI819318</t>
  </si>
  <si>
    <t>T2C EJECTION C04 18H22</t>
  </si>
  <si>
    <t>PAS DE MVT 19H45</t>
  </si>
  <si>
    <t>APPEL SUP GALERIE T2 A 19H45 ET SIGNALE</t>
  </si>
  <si>
    <t>AI819349</t>
  </si>
  <si>
    <t>T2C EJECTION C04 18H23</t>
  </si>
  <si>
    <t>AI819854</t>
  </si>
  <si>
    <t>T2C EJECTION C04 18H36</t>
  </si>
  <si>
    <t>AI819616</t>
  </si>
  <si>
    <t>T2C EJECTION C04 18H30</t>
  </si>
  <si>
    <t>AI821101</t>
  </si>
  <si>
    <t>T2C EJECTION C0419H11</t>
  </si>
  <si>
    <t>AI820877</t>
  </si>
  <si>
    <t>T2C EJECTION C04 19H09</t>
  </si>
  <si>
    <t>PAS DE MVT  19H45</t>
  </si>
  <si>
    <t>AF437740</t>
  </si>
  <si>
    <t>AF7437</t>
  </si>
  <si>
    <t>20:30/27SEP</t>
  </si>
  <si>
    <t>LKHAL A 06H03</t>
  </si>
  <si>
    <t>MAUVAISE CHEMINEMENT</t>
  </si>
  <si>
    <t>CTC KUBE A 06H05 OK KUBE BAG DISPO POUR RECUP A 06H35  DMD BAG RUNNER D'INTERVENIR  /PRISE EN CHARGE ET LIVRE S/BORD  A 07H07</t>
  </si>
  <si>
    <t>AT397914</t>
  </si>
  <si>
    <t>T2B  A 06H56</t>
  </si>
  <si>
    <t>PAS DE MVT A 07H02</t>
  </si>
  <si>
    <t>PRISE EN CHARGE PAR BAG RUNNER ET DEPOSE S/BORD A 07H08</t>
  </si>
  <si>
    <t>AT397973</t>
  </si>
  <si>
    <t>T2B  A 06H57</t>
  </si>
  <si>
    <t>AT397985</t>
  </si>
  <si>
    <t>AF425715</t>
  </si>
  <si>
    <t>AF0185</t>
  </si>
  <si>
    <t>05:39</t>
  </si>
  <si>
    <t>TBM EM80 A 07H34</t>
  </si>
  <si>
    <t>ARRIVEE TARDIVE AU TBM</t>
  </si>
  <si>
    <t>DMD BAG RUNNER D'INTERCEPTER LE BAG A 07H29  - CHARGE NAVETTE 07H51 - TROP TARD POUR LE VOL -AHLCMNAT66013 O/B AT703/28SEP</t>
  </si>
  <si>
    <t>AA272647</t>
  </si>
  <si>
    <t>12:44</t>
  </si>
  <si>
    <t>13H50 : ENVOI  BAGRUNNER - PRISE EN CHARGE 13H55 POUR DEPOSE SS BORD 13H57 -</t>
  </si>
  <si>
    <t>AA272648</t>
  </si>
  <si>
    <t>AA277017</t>
  </si>
  <si>
    <t>AA277327</t>
  </si>
  <si>
    <t>LY548131</t>
  </si>
  <si>
    <t>16:27</t>
  </si>
  <si>
    <t>AUCUNE TRACE 17H14</t>
  </si>
  <si>
    <t>INJECTION TBM 17H28</t>
  </si>
  <si>
    <t>APPEL COORDO LY327 A 17H14/BAG DEPOSE AU TBM SUITE RAPPEL COORDO 17H25/PRIS EN CHARGE PAR BAGRUNNER A 17H47 ET LIVRE SOUS BORD A 17H53</t>
  </si>
  <si>
    <t>AT409654</t>
  </si>
  <si>
    <t>T2B EJECTION B02 17H35</t>
  </si>
  <si>
    <t>APPEL SUP GAL 17H39 ET SIGNALE</t>
  </si>
  <si>
    <t>AV900661</t>
  </si>
  <si>
    <t>LOCAL/CREW</t>
  </si>
  <si>
    <t>BSM CREATION A 08H31</t>
  </si>
  <si>
    <t>PAS  DE TRACE</t>
  </si>
  <si>
    <t>CTC LEAD AV PLUSIEURS FOIS SANS REPONSE - AUCUNE TRACE A CDG - PROBABLEMENT CHARGE - PAS DE DOSSIER OUVERT A J+1</t>
  </si>
  <si>
    <t>2AV678765</t>
  </si>
  <si>
    <t>BSM CREATION A 08H32</t>
  </si>
  <si>
    <t>CTC DIRBY A 08H45 / LE RUSH N'A PAS ÉTÉ FAIT PAR EUX - AUCUNE TRACE A CDG - PAS DE DOSSIER</t>
  </si>
  <si>
    <t>DE4392</t>
  </si>
  <si>
    <t>DE282955</t>
  </si>
  <si>
    <t>BAG DE 8KG EN REFUS DANS NOTRE SYSTÈME BAGERA - PAS DE DOSSIER OUVERT</t>
  </si>
  <si>
    <t>DE291446</t>
  </si>
  <si>
    <t>PAS DE TRACE TOUS SYSTEMES/ 8KG - PROBABLEMENT CHARGE SANS SCAN - PAS DE DOSSIERT A J+1</t>
  </si>
  <si>
    <t>WS498983</t>
  </si>
  <si>
    <t>14H02 : ENVOI BAGRUNNER VERIF AU TBM - BAG PRIS EN CHARGE A 14H29</t>
  </si>
  <si>
    <t>16:48</t>
  </si>
  <si>
    <t>DE298380</t>
  </si>
  <si>
    <t>APPEL SUP GAL 15H45/DEMANDE DE VERIFIER</t>
  </si>
  <si>
    <t>SQ716460</t>
  </si>
  <si>
    <t>SAT1 A 07H59</t>
  </si>
  <si>
    <t>PAS DE MVT A 09H45</t>
  </si>
  <si>
    <t>CTC SAT1 AU 99638 A 09H45 POUR FAIRE LE NECESSAIRE/PRESENTE AU CYNO A 10H08 /OK CYNO A 10H19 TROP TARD POUR LE VOL - AHLDUBEI30965 O/B EI529/28SEP</t>
  </si>
  <si>
    <t>EI316299</t>
  </si>
  <si>
    <t>TI CYNO 10H24</t>
  </si>
  <si>
    <t>BAG  RECONTROLE</t>
  </si>
  <si>
    <t>OK CYNO A 10H40 - SUR LA JETEE A 11H07 POUR UN DEPART 10H20 - NOTE EN REFUS ENREGISTRE SUR UN AUTRE VOL DANS BAGERA - AHLDUBEI30963 PAS DE RUSH PREVU</t>
  </si>
  <si>
    <t>EI316314</t>
  </si>
  <si>
    <t>BSM CREATION A 09H17</t>
  </si>
  <si>
    <t>PAS DE TRACE DEPUIS CREATION DE BSM BAG DE 12KG PROBABLEMENT CHARGE - PAS DE DOSSIER OUVERT A J+1</t>
  </si>
  <si>
    <t>EI316790</t>
  </si>
  <si>
    <t>OK CYNO 11H01</t>
  </si>
  <si>
    <t>TRAITEMENT TARDIF</t>
  </si>
  <si>
    <t>APPEL GALERIE T1 11H05 PR RECUP ET ENVOI SS BORD - BAG LOC ARRIVEE 12H48 / HF A 13H24 /EJECTION 13H53 REBUT 14H07 - AHLMCOEI14619 PAS DE RUSH PREVU</t>
  </si>
  <si>
    <t>EI317759</t>
  </si>
  <si>
    <t>CYNO 12H16</t>
  </si>
  <si>
    <t>APPEL GALERIE T1 12H30 POUR VERIF INFRA</t>
  </si>
  <si>
    <t>EI317801</t>
  </si>
  <si>
    <t>EI317350</t>
  </si>
  <si>
    <t>EJECTION WJ43 11H06</t>
  </si>
  <si>
    <t>BAG 8KG - INJECTION 11H03 - EJECTION SAT 4 11H06 - APPEL GALERIE T1 12H30 POUR VERIF INFRA - NEG - PAS DE DOSSIER A J+1</t>
  </si>
  <si>
    <t>EI318108</t>
  </si>
  <si>
    <t>PISTE 16H00</t>
  </si>
  <si>
    <t>T1 EJECTION EJ18 16H48</t>
  </si>
  <si>
    <t>BAG CHARGE EN SOUTE 16H00/DECHARGE DE SOUTE 16H37/APPEL COORDO 16H57/DIT QUE LE BAG A BIEN ÉTÉ CHARGE CAR VOL PARTI A 16H29 - AHLDUBEI30991</t>
  </si>
  <si>
    <t>A3809196</t>
  </si>
  <si>
    <t>A3616</t>
  </si>
  <si>
    <t>SLB 2B 14H05</t>
  </si>
  <si>
    <t>LIVRE EN MAUVAISE ZONE</t>
  </si>
  <si>
    <t>14H30 + 15H25 : CTC SBA  PR RE-INTRO BAG → PAS DE PERSONNEL/PRIS EN CHARGE PAR BAGRUNNER AU 2D HF A 16H18 ET LIVRE SOUS BORD A 16H29</t>
  </si>
  <si>
    <t>FI028093</t>
  </si>
  <si>
    <t>T1 CYNO 16H07</t>
  </si>
  <si>
    <t>PAS DE MVT 16H36</t>
  </si>
  <si>
    <t>APPEL SUP GAL A 16H10 ET SIGNALE/RAPPEL A 17H05/BAG LIVRE S/BORD SANS SCAN/APPEL COORDO 17H14/DIT QUE LE BAG A ÉTÉ REFUSE POUR RAISON INCONNUE</t>
  </si>
  <si>
    <t>AF444313</t>
  </si>
  <si>
    <t>AF375</t>
  </si>
  <si>
    <t>07:43</t>
  </si>
  <si>
    <t>TBM  HORS FORMA A 09H11</t>
  </si>
  <si>
    <t>PAS DE MVT A 09H22</t>
  </si>
  <si>
    <t>DMD INTERVENTION DE BAG RUNNER /PRISE EN CHARGE ET DEPOSE S/BORD A 09H43</t>
  </si>
  <si>
    <t>AF451846</t>
  </si>
  <si>
    <t>AF0333</t>
  </si>
  <si>
    <t>05:31</t>
  </si>
  <si>
    <t>PISTE A 09H21</t>
  </si>
  <si>
    <t>ANNULE</t>
  </si>
  <si>
    <t>BAG EN PISTE 9H21 MAIS ANNULE PAR CIE JU - AUCUNE TRACE APRES - PAS DE DOSSIER OUVERT A J+1 - PROBABLEMENT CHARGE</t>
  </si>
  <si>
    <t>AF513950</t>
  </si>
  <si>
    <t>19:12</t>
  </si>
  <si>
    <t>HOT REROUTING</t>
  </si>
  <si>
    <t>RRTE DU AF7318/JU253/28SEP//PRIS EN CHARGE PAR BAGRUNNER A 20H13 ET LIVRE SOUS BORD A 20H17</t>
  </si>
  <si>
    <t>AF513122</t>
  </si>
  <si>
    <t>TBM MC80 19H59</t>
  </si>
  <si>
    <t>RRTE DU AF7318/PRIS EN CHARGE PAR BAGRUNNER A 20H08 ET LIVRE SOUS BORD A 20H17</t>
  </si>
  <si>
    <t>AF513140</t>
  </si>
  <si>
    <t>TBM MC80 20H00</t>
  </si>
  <si>
    <t>LH322862</t>
  </si>
  <si>
    <t>10h30 : APPEL DIRBY / PAS DE TRACE TOUS SYSTEMES / POSSIBLE BAG CABINE 10 KGS - PAS DE DOSSIER OUVERT A J+1</t>
  </si>
  <si>
    <t>LO096550</t>
  </si>
  <si>
    <t>APPEL SUP GAL 18H52 ET SIGNALE</t>
  </si>
  <si>
    <t>RJ872113</t>
  </si>
  <si>
    <t>2C CYNO</t>
  </si>
  <si>
    <t>15H04 : APPEL CHEF GALERIE POUR VERIF -</t>
  </si>
  <si>
    <t>RJ872766</t>
  </si>
  <si>
    <t>RJ872788</t>
  </si>
  <si>
    <t>RJ872882</t>
  </si>
  <si>
    <t>15H04 : APPEL CHEF GALERIE POUR VERIF - BAG TOMBE DU TAPIS EN C03 - PRIS EN CHARGE 15H33 POUR DEPOSE SS BORD 15H38</t>
  </si>
  <si>
    <t>RJ872544</t>
  </si>
  <si>
    <t>15H10 : APPEL LEAD - PAS DE TRACE D INJECTION - NEG DANS TOUS SYSTEMES - O/B RJ118/29SEP</t>
  </si>
  <si>
    <t>RJ873402</t>
  </si>
  <si>
    <t>15H10 : APPEL LEAD - PAS DE TRACE D INJECTION - VU BAGERA - POSSIBLE DUPE DE TAG BLS - NEG DANS TS SYSTEMES - AHLRUHRJ12951 O/B RJ118/29SEP/RJ734/30SEP</t>
  </si>
  <si>
    <t>AF488004</t>
  </si>
  <si>
    <t>T2C INJECTION DEPUIS 18H39</t>
  </si>
  <si>
    <t>PAS D'EJECT/TOMBE EN C05</t>
  </si>
  <si>
    <t>APPEL SUP GALERIE A 20H15 ET DEMANDE DE VERIFIER ET RECUPERER LE BAGAGE EN REBUT C05</t>
  </si>
  <si>
    <t>AF488079</t>
  </si>
  <si>
    <t>SB748293</t>
  </si>
  <si>
    <t>T2C EJECTION C03 19H30</t>
  </si>
  <si>
    <t>APPEL SUP GAL A 20H55 ET SIGNALE/SAC A DOS NOIR RECU TAGLESS/DEMANDE DE LIVRER S/BORD POUR IDENTIF/SB748293 REMPLACE S/BORD PAR LIMITED XH652434</t>
  </si>
  <si>
    <t>SB748387</t>
  </si>
  <si>
    <t>T2C EJECTION C03 20H26</t>
  </si>
  <si>
    <t>APPEL SUP GALERIE A 20H33 ET SIGNALE/RAPPEL A 20H55/NEG SUR LE TAPIS - LE BAG A ÉTÉ CHARGE PLUS TOT MAIS SANS SCAN - PAS DE DOSSIER OUVERT A J+1</t>
  </si>
  <si>
    <t>SB748370</t>
  </si>
  <si>
    <t>T2C EJECTION C03 20H29</t>
  </si>
  <si>
    <t>APPEL SUP GALERIE A 20H33 ET SIGNALE</t>
  </si>
  <si>
    <t>AF487433</t>
  </si>
  <si>
    <t>T2C EJECTION C03 21H14</t>
  </si>
  <si>
    <t>BSM CREE 20H59</t>
  </si>
  <si>
    <t>RRTE DU AF182/PRIS EN CHARGE PAR BAGRUNNER ET LIVRE SOUS BORD A 21H19</t>
  </si>
  <si>
    <t>AF487478</t>
  </si>
  <si>
    <t>T2C EJECTION C03 21H15</t>
  </si>
  <si>
    <t>29/09/2026</t>
  </si>
  <si>
    <t>AC016413</t>
  </si>
  <si>
    <t>BAG NON-CHARGE SUR LE VOL D'APPORT/NON-CHARGE SUR LE VOL D'AVANT AC110/28SEP/VU AVEC AGENT FLUX AC A 17H15/NO FWD//J+1 PAS DE DOSSIER</t>
  </si>
  <si>
    <t>AC031118</t>
  </si>
  <si>
    <t>DL654807</t>
  </si>
  <si>
    <t>DL224/28SEP</t>
  </si>
  <si>
    <t>11:01</t>
  </si>
  <si>
    <t>JETEE 112 A 16H11</t>
  </si>
  <si>
    <t>TN RENTRE EN 0006 ISO 7006</t>
  </si>
  <si>
    <t>RRTE AF284/APPEL JETEE 112 18H07/NEG/APPEL QSE A 18H13/AFFIRM/APPEL LEAD AI 18H23/DMD MODIF TN EN 7006 ISO 0006/PRIS EN CHARGE PAR BAGRUNNER 18H29 ET DEPOSE 18H38</t>
  </si>
  <si>
    <t>DL654808</t>
  </si>
  <si>
    <t>JETEE 112 A 16H09</t>
  </si>
  <si>
    <t>DL662559</t>
  </si>
  <si>
    <t>DL662558</t>
  </si>
  <si>
    <t>JETEE 112 A 16H14</t>
  </si>
  <si>
    <t>UA486948</t>
  </si>
  <si>
    <t>UA915/28SEP</t>
  </si>
  <si>
    <t>TBM EJECT 2C DEPUIS 16H32</t>
  </si>
  <si>
    <t>REBUT C05 A 16H46</t>
  </si>
  <si>
    <t>APPEL LEAD AI  A 18H30/DMD DE RENTRER LE TN EN 6016 ISO 0016/ENVOI BAGRUNNER POUR RECUPERER EN REBUT 2C/PRIS EN CHARGE ET DEPOSE SUR LA JETEE DEPART 18H34</t>
  </si>
  <si>
    <t>DL667374</t>
  </si>
  <si>
    <t>LKHAL18H52</t>
  </si>
  <si>
    <t>RRTE AF284/APPEL LA HALLE 19H15/BAG AU KUBE/DMD EXTR/APPEL LEAD AI 19H08/DMD DE MODIFTN 7006 ISO 0006/PRIS EN CHARGE PAR BAGRUNNER A 19H31 ET DEPOSE JETEE 19H42</t>
  </si>
  <si>
    <t>DL669112</t>
  </si>
  <si>
    <t>LKHAL 18H52</t>
  </si>
  <si>
    <t>DL670185</t>
  </si>
  <si>
    <t>LKHAL 18H50</t>
  </si>
  <si>
    <t>AI880890</t>
  </si>
  <si>
    <t>2C HORS FORMAT 19H10</t>
  </si>
  <si>
    <t>OUBLIE SUR LA CHARLATTE</t>
  </si>
  <si>
    <t>TROUVE OUBLIE SUR UNE CHARLATTE PAR BAGRUNNER A 19H45 ET DEPOSE SUR LA JETEE DEPART 19H47</t>
  </si>
  <si>
    <t>XH956432</t>
  </si>
  <si>
    <t>2C HORS FORMAT 12H16</t>
  </si>
  <si>
    <t>PAS DE MVT 16H31</t>
  </si>
  <si>
    <t>APPEL LEADER TMB A 16H47 ET DEMANDE DE DEPOSER LE RUSH AU 2B ISO 2C/RUSH TOMBE EN REBUT C05/RAPPEL TMB POUR LE SIGNALER/RUSH ENVOYE SUR TAPIS ARRIVEE 17H18</t>
  </si>
  <si>
    <t>AF526908</t>
  </si>
  <si>
    <t>AF1313/28SEP</t>
  </si>
  <si>
    <t>22:25</t>
  </si>
  <si>
    <t>TMEZHF 5H45</t>
  </si>
  <si>
    <t>MAUVAISE EN DROIT</t>
  </si>
  <si>
    <t>CTC TME A 05H55 POUR FAIRE LE NECESSAIRE DE D'INJECTEE LE BAG DANS LE CIRCUIS</t>
  </si>
  <si>
    <t>AZ747356</t>
  </si>
  <si>
    <t>AZ332/28SEP</t>
  </si>
  <si>
    <t>23:36</t>
  </si>
  <si>
    <t>PAS DE LOC A 06H30</t>
  </si>
  <si>
    <t>NEG BAG RADAR/REQUETEUR/ALTEA /J+1 AHL BOGAV25172 PAS DE FWD</t>
  </si>
  <si>
    <t>AV554515</t>
  </si>
  <si>
    <t>CTROL CYNO TROP LONG</t>
  </si>
  <si>
    <t>BAGS RECONTROLER OK CYNO A 08H43 TROP TARD POUR LE VOL /J+1  FWD AV55/AV241/30SEP</t>
  </si>
  <si>
    <t>AV555165</t>
  </si>
  <si>
    <t>BAGS RECONTROLER OK CYNO A 08H43 TROP TARD POUR LE VOL //J+1 FWD AV55/AV197/30SEP</t>
  </si>
  <si>
    <t>AV555277</t>
  </si>
  <si>
    <t>BAGS RECONTROLER OK CYNO A 08H43 TROP TARD POUR LE VOL //FWD AV55/AV197/30SEP</t>
  </si>
  <si>
    <t>AV555361</t>
  </si>
  <si>
    <t>BAGS RECONTROLER OK CYNO A 08H43 TROP TARD POUR LE VOL //J+1 FWD AV55/AV161/30SEP</t>
  </si>
  <si>
    <t>AV555611</t>
  </si>
  <si>
    <t>BAGS RECONTROLER OK CYNO A 08H43 TROP TARD POUR LE VOL //FWD AV55/AV161/30SEP</t>
  </si>
  <si>
    <t>DE314366</t>
  </si>
  <si>
    <t>CTC CORDO AU LTEL 95328 MA CONFIRME QUE LES 7 BAGS CREW SONT BIEN A BORD  MAIS APPARAIT COMME BAG A TRAITER /</t>
  </si>
  <si>
    <t>DE314367</t>
  </si>
  <si>
    <t>0</t>
  </si>
  <si>
    <t>DE314368</t>
  </si>
  <si>
    <t>DE314369</t>
  </si>
  <si>
    <t>DE314370</t>
  </si>
  <si>
    <t>DE314371</t>
  </si>
  <si>
    <t>DE314396</t>
  </si>
  <si>
    <t>DE321591</t>
  </si>
  <si>
    <t>PISTE A 10H37</t>
  </si>
  <si>
    <t>REFUS SOUS BORD//J+1 AHL ICNLH46521 FWD DE4214/29SEP/LH712/30SEP</t>
  </si>
  <si>
    <t>AF526823</t>
  </si>
  <si>
    <t>08:26</t>
  </si>
  <si>
    <t>EMJ 091 A 10H20</t>
  </si>
  <si>
    <t>ARRIVE TARDIVE AU TBM</t>
  </si>
  <si>
    <t>DMD BAG RUNNER  DE  LA PRISE EN CHARGE COMME VOL RETADER A 10H59 /PRISE EN CHARGE A 10H35 ET DEPOSE S/BORD A 10H45 TROP TARD  RETOUR LL//J+1 AHL DUBEI31023</t>
  </si>
  <si>
    <t>EI320123</t>
  </si>
  <si>
    <t>EJ18 A 10H11</t>
  </si>
  <si>
    <t>RETOUR LL A 10H22</t>
  </si>
  <si>
    <t>CTC GALERIE T1  RETOUR LL A LA DEMANDE DU DIRBY T1//J+1 FWD EI521/EI117/30SEP /ENREGITREMENT TARDIF CHECK-ING</t>
  </si>
  <si>
    <t>AF527640</t>
  </si>
  <si>
    <t>EMJ 091 A 10H56</t>
  </si>
  <si>
    <t>PRISE EN CHARGE  PAR BAG RUNNER 11H06  / TROP TARD SOUTE FERMEE / RETOUR LL//J+1 AHL DUBEI31025 FWD EI525/30SEP</t>
  </si>
  <si>
    <t>EI320336</t>
  </si>
  <si>
    <t>NJ24 A 09H24</t>
  </si>
  <si>
    <t>PAQS DE MVT A 11H00</t>
  </si>
  <si>
    <t>CTC GALERIE T1 A 11H 00 ILS VONT PRENDRE EN CHARGE LE BAG //J+1 AHL BOIAS16582 //BAG BLOQUE DANS INFRA</t>
  </si>
  <si>
    <t>EI321351</t>
  </si>
  <si>
    <t>BSM 11H07</t>
  </si>
  <si>
    <t>AUCUNE TRACE DU BAG //J+1 PAS DE DOSSIER AHL BAG DE 17KG</t>
  </si>
  <si>
    <t>EI321457</t>
  </si>
  <si>
    <t>BSM 11H23</t>
  </si>
  <si>
    <t>BAG 8 KG / STROL</t>
  </si>
  <si>
    <t>EI134297</t>
  </si>
  <si>
    <t>BSM 14H34</t>
  </si>
  <si>
    <t>16H00 APPEL DIRBY T1 POUR INJECTION/RUSH INJECTE AU T1 HORS FORMAT A 17H00/TROP TARD POUR CHARGEMENT</t>
  </si>
  <si>
    <t>EI322773</t>
  </si>
  <si>
    <t>HBAG EN ALTEA/SUREMENT PRIS A BORD PAR PAX</t>
  </si>
  <si>
    <t>FI035796</t>
  </si>
  <si>
    <t>13H15 APPEL GALERIE T1 POUR ENVOIE SOUS BORD</t>
  </si>
  <si>
    <t>FI036089</t>
  </si>
  <si>
    <t>FI039101</t>
  </si>
  <si>
    <t>T1 CYNO 16H25</t>
  </si>
  <si>
    <t>PAS DE MVT 16H40</t>
  </si>
  <si>
    <t>APPEL GALERIE T1 A 16H40 ET SIGNALE</t>
  </si>
  <si>
    <t>FI038343</t>
  </si>
  <si>
    <t>T1 CHECK ZONE 05 A 15H06</t>
  </si>
  <si>
    <t>APPEL LEADER FI A 16H42 /CONFIRME QUE C'EST UN BAG EN SOUTE ET PLUS RIEN AU CHECK/BAG CHARGE EN "NORMAUX" EN BAGRADAR/NEG EN REQUETEUR//J+1 PAS DE DOSSIER</t>
  </si>
  <si>
    <t>XH967370</t>
  </si>
  <si>
    <t>PAS DE LOC /09H12</t>
  </si>
  <si>
    <t>CTC LEAD TMB A 09H15  POUR FAIRE LE NECESSAIRE POUR EJECTEE LE BAG</t>
  </si>
  <si>
    <t>AF539327</t>
  </si>
  <si>
    <t>AF357</t>
  </si>
  <si>
    <t>QSE 09/03</t>
  </si>
  <si>
    <t>PRISE EN CHARGE  PAR BAG RUNNER ET DEPOSE SOUS BORD A 09H49</t>
  </si>
  <si>
    <t>AF539977</t>
  </si>
  <si>
    <t>LOC DTS3 A 08H20</t>
  </si>
  <si>
    <t>CTC TDS3 A 09H30 BAG PROBABELEMENT ENVOYE AU QSE CTC QSE BAG INTROUVABLE //J+1 AHL BEGJU37729 FWD JU243/29SEP</t>
  </si>
  <si>
    <t>AF535599</t>
  </si>
  <si>
    <t>08:06</t>
  </si>
  <si>
    <t>TBM EM80 A 10H02</t>
  </si>
  <si>
    <t>CTC TBM A 10H05 D'ENVOYE LE BAG LE VOL RETARDER A 10H39</t>
  </si>
  <si>
    <t>AF530653</t>
  </si>
  <si>
    <t>AF0327</t>
  </si>
  <si>
    <t>05:57</t>
  </si>
  <si>
    <t>PISTE 10H35</t>
  </si>
  <si>
    <t>RRTE DU JU241//APPEL LEAD TMB A 18H30/PERSONNE EN GALERIE/DEMANDE DE FAIRE REETTIQUETER LE BAG ET DE L'ENVOYER SUR LE VOL DES QUE POSSIBLE</t>
  </si>
  <si>
    <t>XH967441</t>
  </si>
  <si>
    <t>APPEL LEADER TMB A 19H39 ET DEMANDE DE FAIRE LE NECESSAIRE/RAPPEL A 20H00 POUR LA MEME RAISON/INJECTE 20H14/APPEL SUP GAL 20H37 ET SIGNALE AU 2D HORS FORMAT</t>
  </si>
  <si>
    <t>OS385736</t>
  </si>
  <si>
    <t>09:15</t>
  </si>
  <si>
    <t>CHECK BAGRADAR / REQUETEUR / NEG / 11H30 APPEL DIRBY POUR CHECK SLB / NEG ./ BAG 10KG PEUT ETRE PRIS EN CABINE /</t>
  </si>
  <si>
    <t>LO114458</t>
  </si>
  <si>
    <t>T2D EJECT VERS CYNO 18H38</t>
  </si>
  <si>
    <t>PAS DE MVT 18H45</t>
  </si>
  <si>
    <t>APPEL SUP GALERIE T2 A 18H47 ET SIGNALE</t>
  </si>
  <si>
    <t>LO113826</t>
  </si>
  <si>
    <t>T2D EJECTION D02 17H48</t>
  </si>
  <si>
    <t>LO114094</t>
  </si>
  <si>
    <t>2D HORS FORMAT 18H09</t>
  </si>
  <si>
    <t>AF554158</t>
  </si>
  <si>
    <t>AF1579</t>
  </si>
  <si>
    <t>PRIS EN CHARGE PAR BAGRUNNER ET DEPOSE SOUS BORD</t>
  </si>
  <si>
    <t>AF554118</t>
  </si>
  <si>
    <t>"</t>
  </si>
  <si>
    <t>AF554186</t>
  </si>
  <si>
    <t>AF554221</t>
  </si>
  <si>
    <t>BA317137</t>
  </si>
  <si>
    <t>AF515861</t>
  </si>
  <si>
    <t>AF673</t>
  </si>
  <si>
    <t>EJECT VERS 2C 13H17</t>
  </si>
  <si>
    <t>NON INJECTE AU C</t>
  </si>
  <si>
    <t>SORTIE STOCKEUR A 13H13 INJECT VERS 2C A13H17 PUIS PERTE DE TRACE / 15H06 ENVOIE BAGRUNNER POUR VERIF REBUT C / NEG  /15H30  APPEL REP POUR VERIF LES INFRAS / NEG//J+1 AHL AMMRJ44025//FWD RJ118/30SEP</t>
  </si>
  <si>
    <t>AF516236</t>
  </si>
  <si>
    <t>CHARGE EN CONTAINER  DECHAGE A 14H39 PUIS CHARGE EN VRAC MAIS NON AUTORISE / //J+1 AHL AMMRJ44025 //FWD RJ118/30SEP</t>
  </si>
  <si>
    <t>30/09/2026</t>
  </si>
  <si>
    <t>AC109611</t>
  </si>
  <si>
    <t>PAS DE MVT 12H00</t>
  </si>
  <si>
    <t>12H00 : PRIS EN CHARGE PAR BAGRUNNER</t>
  </si>
  <si>
    <t>AC109612</t>
  </si>
  <si>
    <t>AC875</t>
  </si>
  <si>
    <t>AC103713</t>
  </si>
  <si>
    <t>AC876</t>
  </si>
  <si>
    <t>AC103712</t>
  </si>
  <si>
    <t>AC877</t>
  </si>
  <si>
    <t>AC117842</t>
  </si>
  <si>
    <t>AC878</t>
  </si>
  <si>
    <t>AC117785</t>
  </si>
  <si>
    <t>AC879</t>
  </si>
  <si>
    <t>AC112411</t>
  </si>
  <si>
    <t>AC880</t>
  </si>
  <si>
    <t>AC112410</t>
  </si>
  <si>
    <t>AC881</t>
  </si>
  <si>
    <t>AC117541</t>
  </si>
  <si>
    <t>AC0872</t>
  </si>
  <si>
    <t>10:32</t>
  </si>
  <si>
    <t>TBM VERS 2C DEPUIS 16H52</t>
  </si>
  <si>
    <t>17H52 :RETROUVE AU REBUT PAR BAG RUNNER →  SIGNALE AU BAGAGISTE DU VOL PR PRISE EN CHARGE</t>
  </si>
  <si>
    <t>AT451440</t>
  </si>
  <si>
    <t>17H03 : CTC  LEADER AT POUR ACTIVATION  TAG AFIN QU'IL PUISSE ETRE CHARGE</t>
  </si>
  <si>
    <t>AT453293</t>
  </si>
  <si>
    <t>BSM 17H48</t>
  </si>
  <si>
    <t>18H29 : CTC  LEADER → STRL ENREGISTREE EN PORTE→ BIEN CHARGEE MAIS PAS SCANNEE</t>
  </si>
  <si>
    <t>OS399381</t>
  </si>
  <si>
    <t>22:28/29SEP</t>
  </si>
  <si>
    <t>LIVRAISON AU MAUVAIS ENDROIT</t>
  </si>
  <si>
    <t>06H16 : CTC DIRBY T1 POUR INJECTION BAG DANS LES CIRCUITS</t>
  </si>
  <si>
    <t>AZ770778</t>
  </si>
  <si>
    <t>23:49/29SEP</t>
  </si>
  <si>
    <t>PAS DE LOC A 05H45</t>
  </si>
  <si>
    <t>05H50 : NEG TOUS SYSTEMES/BOGAV25184 - J+1 PAS DE  TRACE</t>
  </si>
  <si>
    <t>LX803599</t>
  </si>
  <si>
    <t>00:03</t>
  </si>
  <si>
    <t>05H50 : NEG TOUS SYSTEMES/ J+ 1 PAS DE DOSSIER OUVERT</t>
  </si>
  <si>
    <t>AF559736</t>
  </si>
  <si>
    <t>CHARGE NAVETTE A06H00</t>
  </si>
  <si>
    <t>PAS DE SCANE DE DECHARGEMENT</t>
  </si>
  <si>
    <t>07H30 : CTC NAVETTE POUR SAVOIR OU SONT LES BAGS :   PAS D'EXPLICATION →  07H35 : EM91 VERIF PAR BAG RUNNER:  NEG → 10H42 : VU AU SAT 1 /BOGAV25183</t>
  </si>
  <si>
    <t>AF559771</t>
  </si>
  <si>
    <t>CHARGE NAVETTE A06H01</t>
  </si>
  <si>
    <t>AF559824</t>
  </si>
  <si>
    <t>CHARGE NAVETTE A06H02</t>
  </si>
  <si>
    <t>2AV017272</t>
  </si>
  <si>
    <t>HORS FORMAT A 06H36</t>
  </si>
  <si>
    <t>PAS DE MVTT A 08H00</t>
  </si>
  <si>
    <t>08H10 : CTC HORS FORMATS T1 A 08H10 OK POUR PRISE EN CHARGE DE BAG</t>
  </si>
  <si>
    <t>MK717064</t>
  </si>
  <si>
    <t>07:44</t>
  </si>
  <si>
    <t>T1 WJ034</t>
  </si>
  <si>
    <t>SHORT CNX</t>
  </si>
  <si>
    <t>10H00 : CTC GALERIE T1 POUR PRISE EN CHARGE</t>
  </si>
  <si>
    <t>MK717068</t>
  </si>
  <si>
    <t>EI324716</t>
  </si>
  <si>
    <t>INJECT T1 10H49</t>
  </si>
  <si>
    <t>11H08 : OK CYNO OK→ TROP TARD POUR CHARGEMENT/DUBEI31061</t>
  </si>
  <si>
    <t>EI324296</t>
  </si>
  <si>
    <t>BSM CREA 09H41</t>
  </si>
  <si>
    <t>BAG 8KG BAG A MAIN</t>
  </si>
  <si>
    <t>EI325476</t>
  </si>
  <si>
    <t>STRL EN ALTEA /SUREMENT PRISE A BORD PAR PAX</t>
  </si>
  <si>
    <t>EI325541</t>
  </si>
  <si>
    <t>EI326474</t>
  </si>
  <si>
    <t>21H40 :CTC  LEADER EI 21H40→ PAS DE REPONSE→ SUREMENT STRL OU HBAG PRIS A BORD</t>
  </si>
  <si>
    <t>EI326588</t>
  </si>
  <si>
    <t>21H40 : CTC  LEADER EI 21H40→ PAS DE REPONSE→ SUREMENT STRL OU HBAG PRIS A BORD</t>
  </si>
  <si>
    <t>FI013021</t>
  </si>
  <si>
    <t>HF T1</t>
  </si>
  <si>
    <t>13H45 : APPEL GALERIE T1 POUR ENVOIE SOUS BORD</t>
  </si>
  <si>
    <t>FI046190</t>
  </si>
  <si>
    <t>BSM CREA 12H00</t>
  </si>
  <si>
    <t>BAG 1KG PROBABLE PRIS EN CABINE</t>
  </si>
  <si>
    <t>FI048499</t>
  </si>
  <si>
    <t>JETEE T1 15H18</t>
  </si>
  <si>
    <t>PAS DE DEPART VERS PISTE 16H40</t>
  </si>
  <si>
    <t>16H42 + 17H38  : CTC  GALERIE T1   POUR VERIFIER JETEE → PLUS SUR PLACE → BAGAGE SUREMENT CHARGE MAIS PAS SCANNE</t>
  </si>
  <si>
    <t>FI048166</t>
  </si>
  <si>
    <t>JETEE T1 16H05</t>
  </si>
  <si>
    <t>FUSIL/DEPT VERS PISTE MAIS EN GAL</t>
  </si>
  <si>
    <t>16H42 : CTC  GALERIE T1  CAR PAS DE MOUVEMENT → FUSIL QUI SERA  LIVRER SOUS BORD</t>
  </si>
  <si>
    <t>AF611685</t>
  </si>
  <si>
    <t>07:46</t>
  </si>
  <si>
    <t>JETEE 113 A 08H48</t>
  </si>
  <si>
    <t>09H23 :PRIS EN CHARGE PAR BAG RUNNER  ET DEPOSE SOUS BORD A 09H38</t>
  </si>
  <si>
    <t>AF615432</t>
  </si>
  <si>
    <t>AF719</t>
  </si>
  <si>
    <t>06:26</t>
  </si>
  <si>
    <t>TBM EM 80  A 09H24</t>
  </si>
  <si>
    <t>DMD BAG RUNNER DE SE POSITONNER AU TBM POUR INTERCEPTE LES BAGS → PRIS EN CHARGE ET LIVRE SOUS BORD A 09H38</t>
  </si>
  <si>
    <t>AF610541</t>
  </si>
  <si>
    <t>TBM EM 80  A 09H29</t>
  </si>
  <si>
    <t>DMD BAG RUNNER DE SE POSITONNER AU TBM POUR INTERCEPTE LES BAGS → PRIS EN CHARGE ET LIVRE SOUS BORD A 09H39</t>
  </si>
  <si>
    <t>AF631546</t>
  </si>
  <si>
    <t>AF0051</t>
  </si>
  <si>
    <t>DMD BAG RUNNER DE SE POSITONNER AU TBM POUR INTERCEPTE LES BAGS → PRIS EN CHARGE ET LIVRE SOUS BORD A 09H40</t>
  </si>
  <si>
    <t>DL668006</t>
  </si>
  <si>
    <t>DL224</t>
  </si>
  <si>
    <t>DMD BAG RUNNER DE SE POSITONNER AU TBM POUR INTERCEPTE LES BAGS → PRIS EN CHARGE ET LIVRE SOUS BORD A 09H41</t>
  </si>
  <si>
    <t>JU242</t>
  </si>
  <si>
    <t>10:01</t>
  </si>
  <si>
    <t>DL668005</t>
  </si>
  <si>
    <t>DMD BAG RUNNER DE SE POSITONNER AU TBM POUR INTERCEPTE LES BAGS → PRIS EN CHARGE ET LIVRE SOUS BORD A 09H42</t>
  </si>
  <si>
    <t>DL703498</t>
  </si>
  <si>
    <t>08:40</t>
  </si>
  <si>
    <t>TBM EM 80  A 09H35</t>
  </si>
  <si>
    <t>DMD AGENT   TBM EM 080 PRIS EN CHARGE RAPIDE</t>
  </si>
  <si>
    <t>DL703499</t>
  </si>
  <si>
    <t>TBM EM 80  A 10H01</t>
  </si>
  <si>
    <t>ARRIVE TARDIVE AU TBM → TROP TARD POUR POUR LE VOL/BEGJU37746</t>
  </si>
  <si>
    <t>AF607656</t>
  </si>
  <si>
    <t>09:04</t>
  </si>
  <si>
    <t>RRTE DU JU241/01OCT→ DEMANDE PILOTE AF AU TBM A 18H17 DE FAIRE EXTRAIRE LE BAG EN MC80→ PPEL AGENT TBM MC80 18H28 ET DEMANDE DE LE LIVRER SUR LE VOL</t>
  </si>
  <si>
    <t>AF658664</t>
  </si>
  <si>
    <t>18:45</t>
  </si>
  <si>
    <t>TBM MC80 19H30</t>
  </si>
  <si>
    <t>19H42 : PRIS EN CHARGE + LIVRE SOUS BORD PAR BAGRUNNER</t>
  </si>
  <si>
    <t>AF622414</t>
  </si>
  <si>
    <t>T2A NAVETTE 12H13</t>
  </si>
  <si>
    <t>12H17 :PRIS EN CHARGE + LIVRE SOUS BORD  PAR BAGRUNNER</t>
  </si>
  <si>
    <t>AF633998</t>
  </si>
  <si>
    <t>10:18</t>
  </si>
  <si>
    <t>TBM NAVETTE 10H55</t>
  </si>
  <si>
    <t>A3862565</t>
  </si>
  <si>
    <t>10:10</t>
  </si>
  <si>
    <t>A3862578</t>
  </si>
  <si>
    <t>OS403025</t>
  </si>
  <si>
    <t>NEG TOUS SYSTEMES →  APPEL DIRBY T1 NEG EN SLB/ J+ 1 PAS DE DOSSIER OUVERT</t>
  </si>
  <si>
    <t>MK717146</t>
  </si>
  <si>
    <t>TBM EM 80  A 09H30</t>
  </si>
  <si>
    <t>DMD BAG RUNNER DE SE POSITIONNER AU TBM POUR INTERCEPTE LES BAGS  → PRISE E EN CHARGE ET DEPOSE  AU JETEE DU VOL A 09H41</t>
  </si>
  <si>
    <t>MK717161</t>
  </si>
  <si>
    <t>MK717175</t>
  </si>
  <si>
    <t>MK717184</t>
  </si>
  <si>
    <t>MK717192</t>
  </si>
  <si>
    <t>MK717205</t>
  </si>
  <si>
    <t>MK717224</t>
  </si>
  <si>
    <t>LO124230</t>
  </si>
  <si>
    <t>JETEE 2D A 09H48 / J+1 PAS DE  DOSSIER OUVERT</t>
  </si>
  <si>
    <t>AA291869</t>
  </si>
  <si>
    <t>07:34</t>
  </si>
  <si>
    <t>NEG TOUS SYSTEMES → NO FWD→ 17H50: CTC  LEAD DU VOL POUR  VERIF AVEC PAX SI BAG RECUP A L ARRIVEE DU VOL AA :  CONFIRMATION BAG P/UP ET  ENREGISTRE SOUS LO133631</t>
  </si>
  <si>
    <t>AF664820</t>
  </si>
  <si>
    <t>AF1775</t>
  </si>
  <si>
    <t>20:00</t>
  </si>
  <si>
    <t>2F INJECTION 21H12</t>
  </si>
  <si>
    <t>BSM CREE H-30→ BAG INJECTE AU 2F A 21H12 ET EJECTE AU 2C TAPIS 03 A 21H28→ TROP TARD POUR CHARGEMENT/ EN ATTENTE DOSSIER A NOU</t>
  </si>
  <si>
    <t>ALYZIA   |   JOUR PAR JOUR</t>
  </si>
  <si>
    <t>DATE AFFICHÉE ▶</t>
  </si>
  <si>
    <t>RÉCAPITULATIF JOURNALIER  •  Changer la date en C5</t>
  </si>
  <si>
    <t>DOSSIERS DU JOUR  •  Filtrer la date dans DOSSIERS pour consulter les détails</t>
  </si>
  <si>
    <t>BAG. ATTENDUS</t>
  </si>
  <si>
    <t>Le récapitulatif se met à jour avec la date C5. Pour afficher et imprimer les dossiers détaillés du jour, utilisez le filtre DATE de la feuille DOSSIERS.</t>
  </si>
  <si>
    <t>TOTAL JOUR</t>
  </si>
  <si>
    <t>ALYZIA   |   SYNTHÈSE PAR DATE</t>
  </si>
  <si>
    <t>SUIVI JOURNALIER  •  Calculé à partir de la BASE</t>
  </si>
  <si>
    <t>BAGAGES ATTENDUS PAR COMPAGNIE  •  Données source conservées</t>
  </si>
  <si>
    <t>BAGAGES TRAITÉS</t>
  </si>
  <si>
    <t>TOTAL SEPTEMBRE</t>
  </si>
  <si>
    <t>ALYZIA   |   BASE DE DONNÉES</t>
  </si>
  <si>
    <t>SOURCE DES DONNÉES  •  Valeurs du fichier transmis, heures normalisées et préfixes de vol affichés</t>
  </si>
  <si>
    <t>TAGS EN DOUBLE</t>
  </si>
  <si>
    <t>LIGNES CONCERNÉES</t>
  </si>
  <si>
    <t>TAGS EN DOUBLE — À VÉRIFIER  (VRAI DOUBLON · STATUT DIFFÉRENT · LÉGITIME)</t>
  </si>
  <si>
    <t>OCC.</t>
  </si>
  <si>
    <t>TYPE</t>
  </si>
  <si>
    <t>OCCURRENCES TAG</t>
  </si>
  <si>
    <t>RANG DOUBLON</t>
  </si>
  <si>
    <t>TYPE DOUBLON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</si>
</sst>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>
    <font>
      <sz val="11"/>
      <name val="Carlito"/>
    </font>
    <font>
      <b/>
      <sz val="17"/>
      <color rgb="FFFFFFFF"/>
      <name val="Carlito"/>
    </font>
    <font>
      <b/>
      <sz val="10"/>
      <color rgb="FF16608D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20"/>
      <color rgb="FF9370DB"/>
      <name val="Carlito"/>
    </font>
    <font>
      <b/>
      <sz val="13"/>
      <color rgb="FF102B47"/>
      <name val="Carlito"/>
    </font>
    <font>
      <b/>
      <sz val="20"/>
      <color rgb="FFFFFFFF"/>
      <name val="Carlito"/>
    </font>
    <font>
      <b/>
      <sz val="11"/>
      <name val="Carlito"/>
    </font>
    <font>
      <sz val="11"/>
      <color rgb="FF059669"/>
      <name val="Carlito"/>
    </font>
    <font>
      <sz val="11"/>
      <color rgb="FF2563EB"/>
      <name val="Carlito"/>
    </font>
    <font>
      <sz val="11"/>
      <color rgb="FFDC2626"/>
      <name val="Carlito"/>
    </font>
    <font>
      <sz val="11"/>
      <color rgb="FF7C3AED"/>
      <name val="Carlito"/>
    </font>
    <font>
      <b/>
      <sz val="12"/>
      <name val="Carlito"/>
    </font>
    <font>
      <sz val="11"/>
      <color rgb="FFB45309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02B47"/>
      </patternFill>
    </fill>
    <fill>
      <patternFill patternType="solid">
        <fgColor rgb="FFEAF3F9"/>
      </patternFill>
    </fill>
    <fill>
      <patternFill patternType="solid">
        <fgColor rgb="FF16608D"/>
      </patternFill>
    </fill>
    <fill>
      <patternFill patternType="solid">
        <fgColor rgb="FFDCEEFF"/>
      </patternFill>
    </fill>
    <fill>
      <patternFill patternType="solid">
        <fgColor rgb="FF183153"/>
      </patternFill>
    </fill>
    <fill>
      <patternFill patternType="solid">
        <fgColor rgb="FFEAF0F7"/>
      </patternFill>
    </fill>
    <fill>
      <patternFill patternType="solid">
        <fgColor rgb="FFF1F5F9"/>
      </patternFill>
    </fill>
    <fill>
      <patternFill patternType="solid">
        <fgColor rgb="FF126B82"/>
      </patternFill>
    </fill>
    <fill>
      <patternFill patternType="solid">
        <fgColor rgb="FF10B981"/>
      </patternFill>
    </fill>
    <fill>
      <patternFill patternType="solid">
        <fgColor rgb="FF3B82F6"/>
      </patternFill>
    </fill>
    <fill>
      <patternFill patternType="solid">
        <fgColor rgb="FFEF4444"/>
      </patternFill>
    </fill>
    <fill>
      <patternFill patternType="solid">
        <fgColor rgb="FF9370DB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047857"/>
      </patternFill>
    </fill>
    <fill>
      <patternFill patternType="solid">
        <fgColor rgb="FF1D4ED8"/>
      </patternFill>
    </fill>
    <fill>
      <patternFill patternType="solid">
        <fgColor rgb="FFB91C1C"/>
      </patternFill>
    </fill>
    <fill>
      <patternFill patternType="solid">
        <fgColor rgb="FF6D28D9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4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/>
    <xf numFmtId="0" fontId="6" fillId="5" borderId="0" xfId="0" applyNumberFormat="1" applyFont="1" applyFill="1" applyBorder="1"/>
    <xf numFmtId="0" fontId="0" fillId="0" borderId="0" xfId="0"/>
    <xf numFmtId="0" fontId="0" fillId="0" borderId="0" xfId="0" applyAlignment="1">
      <alignment horizontal="center"/>
    </xf>
    <xf numFmtId="0" fontId="0" fillId="14" borderId="0" xfId="0" applyNumberFormat="1" applyFont="1" applyFill="1" applyBorder="1" applyAlignment="1">
      <alignment horizontal="center"/>
    </xf>
    <xf numFmtId="0" fontId="0" fillId="15" borderId="0" xfId="0" applyNumberFormat="1" applyFont="1" applyFill="1" applyBorder="1" applyAlignment="1">
      <alignment horizontal="center"/>
    </xf>
    <xf numFmtId="0" fontId="0" fillId="16" borderId="0" xfId="0" applyNumberFormat="1" applyFont="1" applyFill="1" applyBorder="1" applyAlignment="1">
      <alignment horizontal="center"/>
    </xf>
    <xf numFmtId="0" fontId="0" fillId="17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vertical="center" wrapText="1"/>
    </xf>
    <xf numFmtId="0" fontId="4" fillId="18" borderId="0" xfId="0" applyNumberFormat="1" applyFont="1" applyFill="1" applyBorder="1" applyAlignment="1">
      <alignment vertical="center" wrapText="1"/>
    </xf>
    <xf numFmtId="0" fontId="4" fillId="19" borderId="0" xfId="0" applyNumberFormat="1" applyFont="1" applyFill="1" applyBorder="1" applyAlignment="1">
      <alignment vertical="center" wrapText="1"/>
    </xf>
    <xf numFmtId="0" fontId="4" fillId="20" borderId="0" xfId="0" applyNumberFormat="1" applyFont="1" applyFill="1" applyBorder="1" applyAlignment="1">
      <alignment vertical="center" wrapText="1"/>
    </xf>
    <xf numFmtId="0" fontId="4" fillId="21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6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horizontal="center" vertical="center"/>
    </xf>
    <xf numFmtId="0" fontId="7" fillId="6" borderId="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/>
    </xf>
    <xf numFmtId="0" fontId="3" fillId="10" borderId="0" xfId="0" applyNumberFormat="1" applyFont="1" applyFill="1" applyBorder="1" applyAlignment="1">
      <alignment horizontal="center" vertical="center"/>
    </xf>
    <xf numFmtId="0" fontId="4" fillId="10" borderId="0" xfId="0" applyNumberFormat="1" applyFont="1" applyFill="1" applyBorder="1" applyAlignment="1">
      <alignment horizontal="center" vertical="center"/>
    </xf>
    <xf numFmtId="0" fontId="7" fillId="10" borderId="0" xfId="0" applyNumberFormat="1" applyFont="1" applyFill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/>
    </xf>
    <xf numFmtId="0" fontId="3" fillId="12" borderId="0" xfId="0" applyNumberFormat="1" applyFont="1" applyFill="1" applyBorder="1" applyAlignment="1">
      <alignment horizontal="center" vertical="center"/>
    </xf>
    <xf numFmtId="0" fontId="4" fillId="12" borderId="0" xfId="0" applyNumberFormat="1" applyFont="1" applyFill="1" applyBorder="1" applyAlignment="1">
      <alignment horizontal="center" vertical="center"/>
    </xf>
    <xf numFmtId="0" fontId="7" fillId="12" borderId="0" xfId="0" applyNumberFormat="1" applyFont="1" applyFill="1" applyBorder="1" applyAlignment="1">
      <alignment horizontal="center" vertical="center"/>
    </xf>
    <xf numFmtId="0" fontId="11" fillId="7" borderId="0" xfId="0" applyNumberFormat="1" applyFont="1" applyFill="1" applyBorder="1" applyAlignment="1">
      <alignment horizontal="center"/>
    </xf>
    <xf numFmtId="9" fontId="5" fillId="8" borderId="0" xfId="0" applyNumberFormat="1" applyFont="1" applyFill="1" applyBorder="1" applyAlignment="1">
      <alignment horizontal="center"/>
    </xf>
    <xf numFmtId="9" fontId="8" fillId="8" borderId="0" xfId="0" applyNumberFormat="1" applyFont="1" applyFill="1" applyBorder="1" applyAlignment="1">
      <alignment horizontal="center"/>
    </xf>
    <xf numFmtId="0" fontId="3" fillId="9" borderId="0" xfId="0" applyNumberFormat="1" applyFont="1" applyFill="1" applyBorder="1" applyAlignment="1">
      <alignment horizontal="center" vertical="center"/>
    </xf>
    <xf numFmtId="0" fontId="4" fillId="9" borderId="0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/>
    </xf>
    <xf numFmtId="164" fontId="13" fillId="8" borderId="0" xfId="0" applyNumberFormat="1" applyFont="1" applyFill="1" applyBorder="1" applyAlignment="1">
      <alignment horizontal="center"/>
    </xf>
    <xf numFmtId="0" fontId="3" fillId="11" borderId="0" xfId="0" applyNumberFormat="1" applyFont="1" applyFill="1" applyBorder="1" applyAlignment="1">
      <alignment horizontal="center" vertical="center"/>
    </xf>
    <xf numFmtId="0" fontId="4" fillId="11" borderId="0" xfId="0" applyNumberFormat="1" applyFont="1" applyFill="1" applyBorder="1" applyAlignment="1">
      <alignment horizontal="center" vertical="center"/>
    </xf>
    <xf numFmtId="0" fontId="7" fillId="11" borderId="0" xfId="0" applyNumberFormat="1" applyFont="1" applyFill="1" applyBorder="1" applyAlignment="1">
      <alignment horizontal="center" vertical="center"/>
    </xf>
    <xf numFmtId="0" fontId="10" fillId="7" borderId="0" xfId="0" applyNumberFormat="1" applyFont="1" applyFill="1" applyBorder="1" applyAlignment="1">
      <alignment horizontal="center"/>
    </xf>
    <xf numFmtId="0" fontId="4" fillId="13" borderId="0" xfId="0" applyNumberFormat="1" applyFont="1" applyFill="1" applyBorder="1" applyAlignment="1">
      <alignment horizontal="center" vertical="center"/>
    </xf>
    <xf numFmtId="0" fontId="7" fillId="13" borderId="0" xfId="0" applyNumberFormat="1" applyFont="1" applyFill="1" applyBorder="1" applyAlignment="1">
      <alignment horizontal="center" vertical="center"/>
    </xf>
    <xf numFmtId="0" fontId="12" fillId="7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4" fillId="22" borderId="0" xfId="0" applyNumberFormat="1" applyFont="1" applyFill="1" applyBorder="1" applyAlignment="1">
      <alignment horizontal="center" vertical="center"/>
    </xf>
    <xf numFmtId="0" fontId="7" fillId="22" borderId="0" xfId="0" applyNumberFormat="1" applyFont="1" applyFill="1" applyBorder="1" applyAlignment="1">
      <alignment horizontal="center" vertical="center"/>
    </xf>
    <xf numFmtId="0" fontId="14" fillId="7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b/>
        <color rgb="FF9370DB"/>
      </font>
    </dxf>
    <dxf>
      <font>
        <b/>
        <color rgb="FFEF4444"/>
      </font>
    </dxf>
    <dxf>
      <font>
        <b/>
        <color rgb="FF3B82F6"/>
      </font>
    </dxf>
    <dxf>
      <font>
        <b/>
        <color rgb="FF10B981"/>
      </font>
    </dxf>
    <dxf>
      <fill>
        <patternFill>
          <bgColor rgb="FFFEF3C7"/>
        </patternFill>
      </fill>
    </dxf>
    <dxf>
      <fill>
        <patternFill>
          <bgColor rgb="FFEDE9FE"/>
        </patternFill>
      </fill>
    </dxf>
    <dxf>
      <fill>
        <patternFill>
          <bgColor rgb="FFFEE2E2"/>
        </patternFill>
      </fill>
    </dxf>
    <dxf>
      <fill>
        <patternFill>
          <bgColor rgb="FFDBEAFE"/>
        </patternFill>
      </fill>
    </dxf>
    <dxf>
      <fill>
        <patternFill>
          <bgColor rgb="FFD1FAE5"/>
        </patternFill>
      </fill>
    </dxf>
    <dxf>
      <font>
        <b/>
        <color rgb="FF9370DB"/>
      </font>
    </dxf>
    <dxf>
      <font>
        <b/>
        <color rgb="FFEF4444"/>
      </font>
    </dxf>
    <dxf>
      <font>
        <b/>
        <color rgb="FF3B82F6"/>
      </font>
    </dxf>
    <dxf>
      <font>
        <b/>
        <color rgb="FF10B98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Répartition des statuts par compagnie</a:t>
            </a:r>
          </a:p>
        </c:rich>
      </c:tx>
      <c:layout/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SAUVÉS</c:v>
          </c:tx>
          <c:spPr>
            <a:solidFill>
              <a:srgbClr val="10B981"/>
            </a:solidFill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4"/>
                <c:pt idx="0">
                  <c:v>AI</c:v>
                </c:pt>
                <c:pt idx="1">
                  <c:v>AT</c:v>
                </c:pt>
                <c:pt idx="2">
                  <c:v>AV</c:v>
                </c:pt>
                <c:pt idx="3">
                  <c:v>DE</c:v>
                </c:pt>
                <c:pt idx="4">
                  <c:v>EI</c:v>
                </c:pt>
                <c:pt idx="5">
                  <c:v>FI</c:v>
                </c:pt>
                <c:pt idx="6">
                  <c:v>HF</c:v>
                </c:pt>
                <c:pt idx="7">
                  <c:v>JU</c:v>
                </c:pt>
                <c:pt idx="8">
                  <c:v>LA</c:v>
                </c:pt>
                <c:pt idx="9">
                  <c:v>LO</c:v>
                </c:pt>
                <c:pt idx="10">
                  <c:v>MH</c:v>
                </c:pt>
                <c:pt idx="11">
                  <c:v>RJ</c:v>
                </c:pt>
                <c:pt idx="12">
                  <c:v>SB</c:v>
                </c:pt>
                <c:pt idx="13">
                  <c:v>SK</c:v>
                </c:pt>
              </c:strCache>
            </c:strRef>
          </c:cat>
          <c:val>
            <c:numRef>
              <c:f>RÉCAPITULATIF!$AB$13:$AB$26</c:f>
              <c:numCache>
                <c:formatCode>General</c:formatCode>
                <c:ptCount val="14"/>
                <c:pt idx="0">
                  <c:v>93</c:v>
                </c:pt>
                <c:pt idx="1">
                  <c:v>94</c:v>
                </c:pt>
                <c:pt idx="2">
                  <c:v>49</c:v>
                </c:pt>
                <c:pt idx="3">
                  <c:v>53</c:v>
                </c:pt>
                <c:pt idx="4">
                  <c:v>44</c:v>
                </c:pt>
                <c:pt idx="5">
                  <c:v>88</c:v>
                </c:pt>
                <c:pt idx="6">
                  <c:v>8</c:v>
                </c:pt>
                <c:pt idx="7">
                  <c:v>149</c:v>
                </c:pt>
                <c:pt idx="8">
                  <c:v>17</c:v>
                </c:pt>
                <c:pt idx="9">
                  <c:v>47</c:v>
                </c:pt>
                <c:pt idx="10">
                  <c:v>12</c:v>
                </c:pt>
                <c:pt idx="11">
                  <c:v>19</c:v>
                </c:pt>
                <c:pt idx="12">
                  <c:v>38</c:v>
                </c:pt>
                <c:pt idx="13">
                  <c:v>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v>CHARGÉS</c:v>
          </c:tx>
          <c:spPr>
            <a:solidFill>
              <a:srgbClr val="3B82F6"/>
            </a:solidFill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4"/>
                <c:pt idx="0">
                  <c:v>AI</c:v>
                </c:pt>
                <c:pt idx="1">
                  <c:v>AT</c:v>
                </c:pt>
                <c:pt idx="2">
                  <c:v>AV</c:v>
                </c:pt>
                <c:pt idx="3">
                  <c:v>DE</c:v>
                </c:pt>
                <c:pt idx="4">
                  <c:v>EI</c:v>
                </c:pt>
                <c:pt idx="5">
                  <c:v>FI</c:v>
                </c:pt>
                <c:pt idx="6">
                  <c:v>HF</c:v>
                </c:pt>
                <c:pt idx="7">
                  <c:v>JU</c:v>
                </c:pt>
                <c:pt idx="8">
                  <c:v>LA</c:v>
                </c:pt>
                <c:pt idx="9">
                  <c:v>LO</c:v>
                </c:pt>
                <c:pt idx="10">
                  <c:v>MH</c:v>
                </c:pt>
                <c:pt idx="11">
                  <c:v>RJ</c:v>
                </c:pt>
                <c:pt idx="12">
                  <c:v>SB</c:v>
                </c:pt>
                <c:pt idx="13">
                  <c:v>SK</c:v>
                </c:pt>
              </c:strCache>
            </c:strRef>
          </c:cat>
          <c:val>
            <c:numRef>
              <c:f>RÉCAPITULATIF!$AC$13:$AC$26</c:f>
              <c:numCache>
                <c:formatCode>General</c:formatCode>
                <c:ptCount val="14"/>
                <c:pt idx="0">
                  <c:v>13</c:v>
                </c:pt>
                <c:pt idx="1">
                  <c:v>45</c:v>
                </c:pt>
                <c:pt idx="2">
                  <c:v>16</c:v>
                </c:pt>
                <c:pt idx="3">
                  <c:v>49</c:v>
                </c:pt>
                <c:pt idx="4">
                  <c:v>82</c:v>
                </c:pt>
                <c:pt idx="5">
                  <c:v>25</c:v>
                </c:pt>
                <c:pt idx="6">
                  <c:v>16</c:v>
                </c:pt>
                <c:pt idx="7">
                  <c:v>16</c:v>
                </c:pt>
                <c:pt idx="8">
                  <c:v>39</c:v>
                </c:pt>
                <c:pt idx="9">
                  <c:v>32</c:v>
                </c:pt>
                <c:pt idx="10">
                  <c:v>4</c:v>
                </c:pt>
                <c:pt idx="11">
                  <c:v>12</c:v>
                </c:pt>
                <c:pt idx="12">
                  <c:v>7</c:v>
                </c:pt>
                <c:pt idx="1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v>NON CHARGÉS</c:v>
          </c:tx>
          <c:spPr>
            <a:solidFill>
              <a:srgbClr val="EF4444"/>
            </a:solidFill>
            <a:ln>
              <a:noFill/>
            </a:ln>
          </c:spPr>
          <c:invertIfNegative val="1"/>
          <c:dLbls>
            <c:spPr>
              <a:solidFill>
                <a:schemeClr val="lt1"/>
              </a:solidFill>
              <a:ln w="19050">
                <a:solidFill>
                  <a:schemeClr val="dk1"/>
                </a:solidFill>
                <a:prstDash val="solid"/>
              </a:ln>
            </c:spPr>
            <c:txPr>
              <a:bodyPr anchorCtr="1"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lt"/>
                    <a:cs typeface="+mn-lt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RÉCAPITULATIF!$AA$13:$AA$26</c:f>
              <c:strCache>
                <c:ptCount val="14"/>
                <c:pt idx="0">
                  <c:v>AI</c:v>
                </c:pt>
                <c:pt idx="1">
                  <c:v>AT</c:v>
                </c:pt>
                <c:pt idx="2">
                  <c:v>AV</c:v>
                </c:pt>
                <c:pt idx="3">
                  <c:v>DE</c:v>
                </c:pt>
                <c:pt idx="4">
                  <c:v>EI</c:v>
                </c:pt>
                <c:pt idx="5">
                  <c:v>FI</c:v>
                </c:pt>
                <c:pt idx="6">
                  <c:v>HF</c:v>
                </c:pt>
                <c:pt idx="7">
                  <c:v>JU</c:v>
                </c:pt>
                <c:pt idx="8">
                  <c:v>LA</c:v>
                </c:pt>
                <c:pt idx="9">
                  <c:v>LO</c:v>
                </c:pt>
                <c:pt idx="10">
                  <c:v>MH</c:v>
                </c:pt>
                <c:pt idx="11">
                  <c:v>RJ</c:v>
                </c:pt>
                <c:pt idx="12">
                  <c:v>SB</c:v>
                </c:pt>
                <c:pt idx="13">
                  <c:v>SK</c:v>
                </c:pt>
              </c:strCache>
            </c:strRef>
          </c:cat>
          <c:val>
            <c:numRef>
              <c:f>RÉCAPITULATIF!$AD$13:$AD$26</c:f>
              <c:numCache>
                <c:formatCode>General</c:formatCode>
                <c:ptCount val="14"/>
                <c:pt idx="0">
                  <c:v>60</c:v>
                </c:pt>
                <c:pt idx="1">
                  <c:v>45</c:v>
                </c:pt>
                <c:pt idx="2">
                  <c:v>36</c:v>
                </c:pt>
                <c:pt idx="3">
                  <c:v>19</c:v>
                </c:pt>
                <c:pt idx="4">
                  <c:v>176</c:v>
                </c:pt>
                <c:pt idx="5">
                  <c:v>61</c:v>
                </c:pt>
                <c:pt idx="6">
                  <c:v>6</c:v>
                </c:pt>
                <c:pt idx="7">
                  <c:v>32</c:v>
                </c:pt>
                <c:pt idx="8">
                  <c:v>29</c:v>
                </c:pt>
                <c:pt idx="9">
                  <c:v>23</c:v>
                </c:pt>
                <c:pt idx="10">
                  <c:v>24</c:v>
                </c:pt>
                <c:pt idx="11">
                  <c:v>14</c:v>
                </c:pt>
                <c:pt idx="12">
                  <c:v>10</c:v>
                </c:pt>
                <c:pt idx="13">
                  <c:v>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</c:ser>
        <c:ser>
          <c:idx val="3"/>
          <c:order val="3"/>
          <c:tx>
            <c:v>ANNULÉS</c:v>
          </c:tx>
          <c:spPr>
            <a:solidFill>
              <a:srgbClr val="9370DB"/>
            </a:solidFill>
          </c:spPr>
          <c:invertIfNegative val="1"/>
          <c:cat>
            <c:strRef>
              <c:f>RÉCAPITULATIF!$AA$13:$AA$26</c:f>
              <c:strCache>
                <c:ptCount val="14"/>
                <c:pt idx="0">
                  <c:v>AI</c:v>
                </c:pt>
                <c:pt idx="1">
                  <c:v>AT</c:v>
                </c:pt>
                <c:pt idx="2">
                  <c:v>AV</c:v>
                </c:pt>
                <c:pt idx="3">
                  <c:v>DE</c:v>
                </c:pt>
                <c:pt idx="4">
                  <c:v>EI</c:v>
                </c:pt>
                <c:pt idx="5">
                  <c:v>FI</c:v>
                </c:pt>
                <c:pt idx="6">
                  <c:v>HF</c:v>
                </c:pt>
                <c:pt idx="7">
                  <c:v>JU</c:v>
                </c:pt>
                <c:pt idx="8">
                  <c:v>LA</c:v>
                </c:pt>
                <c:pt idx="9">
                  <c:v>LO</c:v>
                </c:pt>
                <c:pt idx="10">
                  <c:v>MH</c:v>
                </c:pt>
                <c:pt idx="11">
                  <c:v>RJ</c:v>
                </c:pt>
                <c:pt idx="12">
                  <c:v>SB</c:v>
                </c:pt>
                <c:pt idx="13">
                  <c:v>SK</c:v>
                </c:pt>
              </c:strCache>
            </c:strRef>
          </c:cat>
          <c:val>
            <c:numRef>
              <c:f>RÉCAPITULATIF!$AE$13:$AE$26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1550736"/>
        <c:axId val="296971896"/>
      </c:barChart>
      <c:catAx>
        <c:axId val="30155073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96971896"/>
        <c:crosses val="autoZero"/>
        <c:auto val="1"/>
        <c:lblAlgn val="ctr"/>
        <c:lblOffset val="100"/>
        <c:noMultiLvlLbl val="1"/>
      </c:catAx>
      <c:valAx>
        <c:axId val="29697189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30155073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Répartition des statuts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v>DOSSIERS</c:v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BASE!$AZ$2:$AZ$5</c:f>
              <c:strCache>
                <c:ptCount val="4"/>
                <c:pt idx="0">
                  <c:v>SAUVÉS</c:v>
                </c:pt>
                <c:pt idx="1">
                  <c:v>CHARGÉS</c:v>
                </c:pt>
                <c:pt idx="2">
                  <c:v>NON CHARGÉS</c:v>
                </c:pt>
                <c:pt idx="3">
                  <c:v>ANNULÉS</c:v>
                </c:pt>
              </c:strCache>
            </c:strRef>
          </c:cat>
          <c:val>
            <c:numRef>
              <c:f>BASE!$BA$2:$BA$5</c:f>
              <c:numCache>
                <c:formatCode>General</c:formatCode>
                <c:ptCount val="4"/>
                <c:pt idx="0">
                  <c:v>773</c:v>
                </c:pt>
                <c:pt idx="1">
                  <c:v>369</c:v>
                </c:pt>
                <c:pt idx="2">
                  <c:v>593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1"/>
  <c:style val="2"/>
  <c:chart>
    <c:title>
      <c:tx>
        <c:rich>
          <a:bodyPr/>
          <a:lstStyle/>
          <a:p>
            <a:r>
              <a:rPr lang="fr-FR"/>
              <a:t>ÉVOLUTION JOURNALIÈRE — SEPTEMBRE 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'SYNTHÈSE PAR DATE'!$B$5</c:f>
              <c:strCache>
                <c:ptCount val="1"/>
                <c:pt idx="0">
                  <c:v>DOSSIERS</c:v>
                </c:pt>
              </c:strCache>
            </c:strRef>
          </c:tx>
          <c:spPr>
            <a:solidFill>
              <a:srgbClr val="102B49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'SYNTHÈSE PAR DATE'!$A$6:$A$35</c:f>
              <c:strCache>
                <c:ptCount val="30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</c:strCache>
            </c:strRef>
          </c:cat>
          <c:val>
            <c:numRef>
              <c:f>'SYNTHÈSE PAR DATE'!$B$6:$B$35</c:f>
              <c:numCache>
                <c:formatCode>General</c:formatCode>
                <c:ptCount val="30"/>
                <c:pt idx="0">
                  <c:v>54</c:v>
                </c:pt>
                <c:pt idx="1">
                  <c:v>83</c:v>
                </c:pt>
                <c:pt idx="2">
                  <c:v>80</c:v>
                </c:pt>
                <c:pt idx="3">
                  <c:v>64</c:v>
                </c:pt>
                <c:pt idx="4">
                  <c:v>71</c:v>
                </c:pt>
                <c:pt idx="5">
                  <c:v>59</c:v>
                </c:pt>
                <c:pt idx="6">
                  <c:v>89</c:v>
                </c:pt>
                <c:pt idx="7">
                  <c:v>56</c:v>
                </c:pt>
                <c:pt idx="8">
                  <c:v>107</c:v>
                </c:pt>
                <c:pt idx="9">
                  <c:v>42</c:v>
                </c:pt>
                <c:pt idx="10">
                  <c:v>32</c:v>
                </c:pt>
                <c:pt idx="11">
                  <c:v>63</c:v>
                </c:pt>
                <c:pt idx="12">
                  <c:v>58</c:v>
                </c:pt>
                <c:pt idx="13">
                  <c:v>53</c:v>
                </c:pt>
                <c:pt idx="14">
                  <c:v>56</c:v>
                </c:pt>
                <c:pt idx="15">
                  <c:v>18</c:v>
                </c:pt>
                <c:pt idx="16">
                  <c:v>67</c:v>
                </c:pt>
                <c:pt idx="17">
                  <c:v>50</c:v>
                </c:pt>
                <c:pt idx="18">
                  <c:v>58</c:v>
                </c:pt>
                <c:pt idx="19">
                  <c:v>71</c:v>
                </c:pt>
                <c:pt idx="20">
                  <c:v>45</c:v>
                </c:pt>
                <c:pt idx="21">
                  <c:v>51</c:v>
                </c:pt>
                <c:pt idx="22">
                  <c:v>62</c:v>
                </c:pt>
                <c:pt idx="23">
                  <c:v>77</c:v>
                </c:pt>
                <c:pt idx="24">
                  <c:v>33</c:v>
                </c:pt>
                <c:pt idx="25">
                  <c:v>32</c:v>
                </c:pt>
                <c:pt idx="26">
                  <c:v>38</c:v>
                </c:pt>
                <c:pt idx="27">
                  <c:v>55</c:v>
                </c:pt>
                <c:pt idx="28">
                  <c:v>56</c:v>
                </c:pt>
                <c:pt idx="29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02565680"/>
        <c:axId val="302566064"/>
      </c:barChart>
      <c:lineChart>
        <c:grouping val="standard"/>
        <c:varyColors val="0"/>
        <c:ser>
          <c:idx val="1"/>
          <c:order val="1"/>
          <c:tx>
            <c:strRef>
              <c:f>'SYNTHÈSE PAR DATE'!$E$5</c:f>
              <c:strCache>
                <c:ptCount val="1"/>
                <c:pt idx="0">
                  <c:v>SAUVÉS</c:v>
                </c:pt>
              </c:strCache>
            </c:strRef>
          </c:tx>
          <c:spPr>
            <a:ln w="28575">
              <a:solidFill>
                <a:srgbClr val="10B981"/>
              </a:solidFill>
            </a:ln>
          </c:spPr>
          <c:marker>
            <c:symbol val="square"/>
            <c:size val="7"/>
            <c:spPr>
              <a:solidFill>
                <a:srgbClr val="10B981"/>
              </a:solidFill>
              <a:ln w="9525">
                <a:solidFill>
                  <a:srgbClr val="10B981"/>
                </a:solidFill>
              </a:ln>
            </c:spPr>
          </c:marker>
          <c:cat>
            <c:strRef>
              <c:f>'SYNTHÈSE PAR DATE'!$A$6:$A$35</c:f>
              <c:strCache>
                <c:ptCount val="30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</c:strCache>
            </c:strRef>
          </c:cat>
          <c:val>
            <c:numRef>
              <c:f>'SYNTHÈSE PAR DATE'!$E$6:$E$35</c:f>
              <c:numCache>
                <c:formatCode>General</c:formatCode>
                <c:ptCount val="30"/>
                <c:pt idx="0">
                  <c:v>21</c:v>
                </c:pt>
                <c:pt idx="1">
                  <c:v>25</c:v>
                </c:pt>
                <c:pt idx="2">
                  <c:v>28</c:v>
                </c:pt>
                <c:pt idx="3">
                  <c:v>45</c:v>
                </c:pt>
                <c:pt idx="4">
                  <c:v>18</c:v>
                </c:pt>
                <c:pt idx="5">
                  <c:v>13</c:v>
                </c:pt>
                <c:pt idx="6">
                  <c:v>46</c:v>
                </c:pt>
                <c:pt idx="7">
                  <c:v>39</c:v>
                </c:pt>
                <c:pt idx="8">
                  <c:v>59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17</c:v>
                </c:pt>
                <c:pt idx="13">
                  <c:v>23</c:v>
                </c:pt>
                <c:pt idx="14">
                  <c:v>25</c:v>
                </c:pt>
                <c:pt idx="15">
                  <c:v>1</c:v>
                </c:pt>
                <c:pt idx="16">
                  <c:v>34</c:v>
                </c:pt>
                <c:pt idx="17">
                  <c:v>21</c:v>
                </c:pt>
                <c:pt idx="18">
                  <c:v>37</c:v>
                </c:pt>
                <c:pt idx="19">
                  <c:v>14</c:v>
                </c:pt>
                <c:pt idx="20">
                  <c:v>21</c:v>
                </c:pt>
                <c:pt idx="21">
                  <c:v>27</c:v>
                </c:pt>
                <c:pt idx="22">
                  <c:v>41</c:v>
                </c:pt>
                <c:pt idx="23">
                  <c:v>33</c:v>
                </c:pt>
                <c:pt idx="24">
                  <c:v>11</c:v>
                </c:pt>
                <c:pt idx="25">
                  <c:v>9</c:v>
                </c:pt>
                <c:pt idx="26">
                  <c:v>15</c:v>
                </c:pt>
                <c:pt idx="27">
                  <c:v>35</c:v>
                </c:pt>
                <c:pt idx="28">
                  <c:v>25</c:v>
                </c:pt>
                <c:pt idx="29">
                  <c:v>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'SYNTHÈSE PAR DATE'!$F$5</c:f>
              <c:strCache>
                <c:ptCount val="1"/>
                <c:pt idx="0">
                  <c:v>CHARGÉS</c:v>
                </c:pt>
              </c:strCache>
            </c:strRef>
          </c:tx>
          <c:spPr>
            <a:ln w="28575">
              <a:solidFill>
                <a:srgbClr val="3B82F6"/>
              </a:solidFill>
            </a:ln>
          </c:spPr>
          <c:marker>
            <c:symbol val="triangle"/>
            <c:size val="7"/>
            <c:spPr>
              <a:solidFill>
                <a:srgbClr val="3B82F6"/>
              </a:solidFill>
              <a:ln w="9525">
                <a:solidFill>
                  <a:srgbClr val="3B82F6"/>
                </a:solidFill>
              </a:ln>
            </c:spPr>
          </c:marker>
          <c:cat>
            <c:strRef>
              <c:f>'SYNTHÈSE PAR DATE'!$A$6:$A$35</c:f>
              <c:strCache>
                <c:ptCount val="30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</c:strCache>
            </c:strRef>
          </c:cat>
          <c:val>
            <c:numRef>
              <c:f>'SYNTHÈSE PAR DATE'!$F$6:$F$35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13</c:v>
                </c:pt>
                <c:pt idx="3">
                  <c:v>3</c:v>
                </c:pt>
                <c:pt idx="4">
                  <c:v>17</c:v>
                </c:pt>
                <c:pt idx="5">
                  <c:v>25</c:v>
                </c:pt>
                <c:pt idx="6">
                  <c:v>21</c:v>
                </c:pt>
                <c:pt idx="7">
                  <c:v>6</c:v>
                </c:pt>
                <c:pt idx="8">
                  <c:v>20</c:v>
                </c:pt>
                <c:pt idx="9">
                  <c:v>11</c:v>
                </c:pt>
                <c:pt idx="10">
                  <c:v>9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8</c:v>
                </c:pt>
                <c:pt idx="15">
                  <c:v>4</c:v>
                </c:pt>
                <c:pt idx="16">
                  <c:v>15</c:v>
                </c:pt>
                <c:pt idx="17">
                  <c:v>18</c:v>
                </c:pt>
                <c:pt idx="18">
                  <c:v>7</c:v>
                </c:pt>
                <c:pt idx="19">
                  <c:v>38</c:v>
                </c:pt>
                <c:pt idx="20">
                  <c:v>10</c:v>
                </c:pt>
                <c:pt idx="21">
                  <c:v>7</c:v>
                </c:pt>
                <c:pt idx="22">
                  <c:v>14</c:v>
                </c:pt>
                <c:pt idx="23">
                  <c:v>16</c:v>
                </c:pt>
                <c:pt idx="24">
                  <c:v>15</c:v>
                </c:pt>
                <c:pt idx="25">
                  <c:v>4</c:v>
                </c:pt>
                <c:pt idx="26">
                  <c:v>8</c:v>
                </c:pt>
                <c:pt idx="27">
                  <c:v>10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'SYNTHÈSE PAR DATE'!$G$5</c:f>
              <c:strCache>
                <c:ptCount val="1"/>
                <c:pt idx="0">
                  <c:v>NON CHARGÉS</c:v>
                </c:pt>
              </c:strCache>
            </c:strRef>
          </c:tx>
          <c:spPr>
            <a:ln w="28575">
              <a:solidFill>
                <a:srgbClr val="EF4444"/>
              </a:solidFill>
            </a:ln>
          </c:spPr>
          <c:marker>
            <c:symbol val="x"/>
            <c:size val="7"/>
            <c:spPr>
              <a:solidFill>
                <a:srgbClr val="EF4444"/>
              </a:solidFill>
              <a:ln w="9525">
                <a:solidFill>
                  <a:srgbClr val="EF4444"/>
                </a:solidFill>
              </a:ln>
            </c:spPr>
          </c:marker>
          <c:cat>
            <c:strRef>
              <c:f>'SYNTHÈSE PAR DATE'!$A$6:$A$35</c:f>
              <c:strCache>
                <c:ptCount val="30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</c:strCache>
            </c:strRef>
          </c:cat>
          <c:val>
            <c:numRef>
              <c:f>'SYNTHÈSE PAR DATE'!$G$6:$G$35</c:f>
              <c:numCache>
                <c:formatCode>General</c:formatCode>
                <c:ptCount val="30"/>
                <c:pt idx="0">
                  <c:v>27</c:v>
                </c:pt>
                <c:pt idx="1">
                  <c:v>55</c:v>
                </c:pt>
                <c:pt idx="2">
                  <c:v>39</c:v>
                </c:pt>
                <c:pt idx="3">
                  <c:v>16</c:v>
                </c:pt>
                <c:pt idx="4">
                  <c:v>36</c:v>
                </c:pt>
                <c:pt idx="5">
                  <c:v>21</c:v>
                </c:pt>
                <c:pt idx="6">
                  <c:v>22</c:v>
                </c:pt>
                <c:pt idx="7">
                  <c:v>11</c:v>
                </c:pt>
                <c:pt idx="8">
                  <c:v>28</c:v>
                </c:pt>
                <c:pt idx="9">
                  <c:v>24</c:v>
                </c:pt>
                <c:pt idx="10">
                  <c:v>16</c:v>
                </c:pt>
                <c:pt idx="11">
                  <c:v>11</c:v>
                </c:pt>
                <c:pt idx="12">
                  <c:v>29</c:v>
                </c:pt>
                <c:pt idx="13">
                  <c:v>17</c:v>
                </c:pt>
                <c:pt idx="14">
                  <c:v>23</c:v>
                </c:pt>
                <c:pt idx="15">
                  <c:v>13</c:v>
                </c:pt>
                <c:pt idx="16">
                  <c:v>18</c:v>
                </c:pt>
                <c:pt idx="17">
                  <c:v>11</c:v>
                </c:pt>
                <c:pt idx="18">
                  <c:v>14</c:v>
                </c:pt>
                <c:pt idx="19">
                  <c:v>19</c:v>
                </c:pt>
                <c:pt idx="20">
                  <c:v>14</c:v>
                </c:pt>
                <c:pt idx="21">
                  <c:v>17</c:v>
                </c:pt>
                <c:pt idx="22">
                  <c:v>7</c:v>
                </c:pt>
                <c:pt idx="23">
                  <c:v>28</c:v>
                </c:pt>
                <c:pt idx="24">
                  <c:v>7</c:v>
                </c:pt>
                <c:pt idx="25">
                  <c:v>19</c:v>
                </c:pt>
                <c:pt idx="26">
                  <c:v>15</c:v>
                </c:pt>
                <c:pt idx="27">
                  <c:v>10</c:v>
                </c:pt>
                <c:pt idx="28">
                  <c:v>18</c:v>
                </c:pt>
                <c:pt idx="29">
                  <c:v>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'SYNTHÈSE PAR DATE'!$H$5</c:f>
              <c:strCache>
                <c:ptCount val="1"/>
                <c:pt idx="0">
                  <c:v>ANNULÉS</c:v>
                </c:pt>
              </c:strCache>
            </c:strRef>
          </c:tx>
          <c:spPr>
            <a:ln w="28575">
              <a:solidFill>
                <a:srgbClr val="8B5CF6"/>
              </a:solidFill>
            </a:ln>
          </c:spPr>
          <c:marker>
            <c:symbol val="x"/>
            <c:size val="7"/>
            <c:spPr>
              <a:solidFill>
                <a:srgbClr val="8B5CF6"/>
              </a:solidFill>
              <a:ln w="9525">
                <a:solidFill>
                  <a:srgbClr val="8B5CF6"/>
                </a:solidFill>
              </a:ln>
            </c:spPr>
          </c:marker>
          <c:cat>
            <c:strRef>
              <c:f>'SYNTHÈSE PAR DATE'!$A$6:$A$35</c:f>
              <c:strCache>
                <c:ptCount val="30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</c:strCache>
            </c:strRef>
          </c:cat>
          <c:val>
            <c:numRef>
              <c:f>'SYNTHÈSE PAR DATE'!$H$6:$H$35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565680"/>
        <c:axId val="302566064"/>
      </c:lineChart>
      <c:catAx>
        <c:axId val="302565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2700000" vert="horz" anchorCtr="1"/>
          <a:lstStyle/>
          <a:p>
            <a:pPr>
              <a:defRPr/>
            </a:pPr>
            <a:endParaRPr lang="fr-FR"/>
          </a:p>
        </c:txPr>
        <c:crossAx val="302566064"/>
        <c:crosses val="autoZero"/>
        <c:auto val="1"/>
        <c:lblAlgn val="ctr"/>
        <c:lblOffset val="100"/>
        <c:tickLblSkip val="1"/>
        <c:noMultiLvlLbl val="0"/>
      </c:catAx>
      <c:valAx>
        <c:axId val="302566064"/>
        <c:scaling>
          <c:orientation val="minMax"/>
        </c:scaling>
        <c:delete val="0"/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30256568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b"/>
      <c:layout/>
      <c:overlay val="0"/>
    </c:legend>
    <c:plotVisOnly val="1"/>
    <c:dispBlanksAs val="zero"/>
    <c:showDLblsOverMax val="1"/>
  </c:chart>
  <c:spPr>
    <a:solidFill>
      <a:schemeClr val="lt1"/>
    </a:solidFill>
    <a:ln w="19050">
      <a:solidFill>
        <a:schemeClr val="dk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0</xdr:rowOff>
    </xdr:from>
    <xdr:to>
      <xdr:col>18</xdr:col>
      <xdr:colOff>0</xdr:colOff>
      <xdr:row>77</xdr:row>
      <xdr:rowOff>30480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15240</xdr:rowOff>
    </xdr:from>
    <xdr:to>
      <xdr:col>18</xdr:col>
      <xdr:colOff>7620</xdr:colOff>
      <xdr:row>47</xdr:row>
      <xdr:rowOff>30480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78</xdr:row>
      <xdr:rowOff>7620</xdr:rowOff>
    </xdr:from>
    <xdr:to>
      <xdr:col>17</xdr:col>
      <xdr:colOff>525780</xdr:colOff>
      <xdr:row>107</xdr:row>
      <xdr:rowOff>30480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ALYZIA_Dossiers" displayName="ALYZIA_Dossiers" ref="A5:N1740" totalsRowShown="0">
  <autoFilter ref="A5:N1740"/>
  <tableColumns count="14">
    <tableColumn id="1" name="DATE"/>
    <tableColumn id="2" name="CIE"/>
    <tableColumn id="3" name="N° VOL"/>
    <tableColumn id="4" name="HEURE DÉPART"/>
    <tableColumn id="5" name="N° TAG"/>
    <tableColumn id="6" name="NOMBRE BAGAGES"/>
    <tableColumn id="7" name="VOL APPORT"/>
    <tableColumn id="8" name="HEURE ARRIVÉE"/>
    <tableColumn id="9" name="LOCALISATION"/>
    <tableColumn id="10" name="REMARQUES"/>
    <tableColumn id="11" name="ANOMALIE"/>
    <tableColumn id="12" name="COMMENTAIRE/ACTION"/>
    <tableColumn id="13" name="STATUT"/>
    <tableColumn id="14" name="FAULT S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ALYZIA_BaseDossiers" displayName="ALYZIA_BaseDossiers" ref="A5:N1740" totalsRowShown="0">
  <tableColumns count="14">
    <tableColumn id="1" name="DATE"/>
    <tableColumn id="2" name="CIE"/>
    <tableColumn id="3" name="N° VOL"/>
    <tableColumn id="4" name="HEURE DÉPART"/>
    <tableColumn id="5" name="N° TAG"/>
    <tableColumn id="6" name="NOMBRE BAGAGES"/>
    <tableColumn id="7" name="VOL APPORT"/>
    <tableColumn id="8" name="HEURE ARRIVÉE"/>
    <tableColumn id="9" name="LOCALISATION"/>
    <tableColumn id="10" name="REMARQUES"/>
    <tableColumn id="11" name="ANOMALIE"/>
    <tableColumn id="12" name="COMMENTAIRE/ACTION"/>
    <tableColumn id="13" name="STATUT"/>
    <tableColumn id="14" name="FAULT S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0"/>
  <sheetViews>
    <sheetView workbookViewId="0">
      <pane ySplit="3" topLeftCell="A112" activePane="bottomLeft" state="frozen"/>
      <selection pane="bottomLeft" activeCell="S9" sqref="S9:U9"/>
    </sheetView>
  </sheetViews>
  <sheetFormatPr baseColWidth="10" defaultColWidth="8.796875" defaultRowHeight="13.8"/>
  <cols>
    <col min="1" max="2" width="10" customWidth="1"/>
    <col min="3" max="3" width="13" customWidth="1"/>
    <col min="4" max="4" width="11" customWidth="1"/>
    <col min="5" max="6" width="10" customWidth="1"/>
    <col min="7" max="7" width="12" customWidth="1"/>
    <col min="8" max="8" width="9" customWidth="1"/>
    <col min="9" max="9" width="12" customWidth="1"/>
    <col min="10" max="18" width="7" customWidth="1"/>
    <col min="19" max="21" width="8" customWidth="1"/>
  </cols>
  <sheetData>
    <row r="1" spans="1:31" ht="27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31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31" ht="24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5" spans="1:31" ht="27" customHeight="1">
      <c r="A5" s="23" t="s">
        <v>2</v>
      </c>
      <c r="B5" s="24"/>
      <c r="C5" s="24"/>
      <c r="D5" s="37" t="s">
        <v>3</v>
      </c>
      <c r="E5" s="38"/>
      <c r="F5" s="38"/>
      <c r="G5" s="27" t="s">
        <v>4</v>
      </c>
      <c r="H5" s="28"/>
      <c r="I5" s="28"/>
      <c r="J5" s="42" t="s">
        <v>5</v>
      </c>
      <c r="K5" s="43"/>
      <c r="L5" s="43"/>
      <c r="M5" s="31" t="s">
        <v>6</v>
      </c>
      <c r="N5" s="32"/>
      <c r="O5" s="32"/>
      <c r="P5" s="46" t="s">
        <v>7</v>
      </c>
      <c r="Q5" s="46"/>
      <c r="R5" s="46"/>
      <c r="S5" s="51" t="s">
        <v>4794</v>
      </c>
      <c r="T5" s="51"/>
      <c r="U5" s="51"/>
    </row>
    <row r="6" spans="1:31" ht="42" customHeight="1">
      <c r="A6" s="25">
        <f>SUM(B14:B27)</f>
        <v>1735</v>
      </c>
      <c r="B6" s="24"/>
      <c r="C6" s="24"/>
      <c r="D6" s="39">
        <f>SUM(D14:D27)</f>
        <v>106188</v>
      </c>
      <c r="E6" s="38"/>
      <c r="F6" s="38"/>
      <c r="G6" s="29">
        <f>SUM(E14:E27)</f>
        <v>773</v>
      </c>
      <c r="H6" s="28"/>
      <c r="I6" s="28"/>
      <c r="J6" s="44">
        <f>SUM(F14:F27)</f>
        <v>369</v>
      </c>
      <c r="K6" s="43"/>
      <c r="L6" s="43"/>
      <c r="M6" s="33">
        <f>SUM(G14:G27)</f>
        <v>593</v>
      </c>
      <c r="N6" s="32"/>
      <c r="O6" s="32"/>
      <c r="P6" s="47">
        <f>SUM(H14:H27)</f>
        <v>0</v>
      </c>
      <c r="Q6" s="47"/>
      <c r="R6" s="47"/>
      <c r="S6" s="52">
        <f>MAX(BASE!$Q$6:$Q$1740)</f>
        <v>26</v>
      </c>
      <c r="T6" s="52"/>
      <c r="U6" s="52"/>
    </row>
    <row r="8" spans="1:31" ht="25.05" customHeight="1">
      <c r="A8" s="26" t="s">
        <v>8</v>
      </c>
      <c r="B8" s="26"/>
      <c r="C8" s="26"/>
      <c r="D8" s="26" t="s">
        <v>9</v>
      </c>
      <c r="E8" s="26"/>
      <c r="F8" s="26"/>
      <c r="G8" s="30" t="s">
        <v>10</v>
      </c>
      <c r="H8" s="30"/>
      <c r="I8" s="30"/>
      <c r="J8" s="45" t="s">
        <v>11</v>
      </c>
      <c r="K8" s="45"/>
      <c r="L8" s="45"/>
      <c r="M8" s="34" t="s">
        <v>12</v>
      </c>
      <c r="N8" s="34"/>
      <c r="O8" s="34"/>
      <c r="P8" s="48" t="s">
        <v>13</v>
      </c>
      <c r="Q8" s="48"/>
      <c r="R8" s="48"/>
      <c r="S8" s="53" t="s">
        <v>4795</v>
      </c>
      <c r="T8" s="53"/>
      <c r="U8" s="53"/>
    </row>
    <row r="9" spans="1:31" ht="25.05" customHeight="1">
      <c r="A9" s="35">
        <f>IFERROR((G6+J6+M6+P6)/A6,0)</f>
        <v>1</v>
      </c>
      <c r="B9" s="36"/>
      <c r="C9" s="36"/>
      <c r="D9" s="40">
        <f>SUM(G6,J6,M6,P6)</f>
        <v>1735</v>
      </c>
      <c r="E9" s="40"/>
      <c r="F9" s="40"/>
      <c r="G9" s="41">
        <f>G6/$A$6</f>
        <v>0.44553314121037463</v>
      </c>
      <c r="H9" s="41"/>
      <c r="I9" s="41"/>
      <c r="J9" s="41">
        <f>J6/$A$6</f>
        <v>0.21268011527377523</v>
      </c>
      <c r="K9" s="41"/>
      <c r="L9" s="41"/>
      <c r="M9" s="41">
        <f>M6/$A$6</f>
        <v>0.34178674351585014</v>
      </c>
      <c r="N9" s="41"/>
      <c r="O9" s="41"/>
      <c r="P9" s="41">
        <f>P6/$A$6</f>
        <v>0</v>
      </c>
      <c r="Q9" s="41"/>
      <c r="R9" s="41"/>
      <c r="S9" s="40">
        <f>COUNTIF(BASE!$P$6:$P$1740,"&gt;1")</f>
        <v>52</v>
      </c>
      <c r="T9" s="40"/>
      <c r="U9" s="40"/>
    </row>
    <row r="11" spans="1:31" ht="12" customHeight="1"/>
    <row r="12" spans="1:31">
      <c r="A12" t="s">
        <v>14</v>
      </c>
      <c r="AA12" t="s">
        <v>15</v>
      </c>
      <c r="AB12" t="s">
        <v>4</v>
      </c>
      <c r="AC12" t="s">
        <v>5</v>
      </c>
      <c r="AD12" t="s">
        <v>6</v>
      </c>
      <c r="AE12" t="s">
        <v>7</v>
      </c>
    </row>
    <row r="13" spans="1:31" ht="30" customHeight="1">
      <c r="A13" s="13" t="s">
        <v>16</v>
      </c>
      <c r="B13" s="13" t="s">
        <v>2</v>
      </c>
      <c r="C13" s="13" t="s">
        <v>17</v>
      </c>
      <c r="D13" s="13" t="s">
        <v>18</v>
      </c>
      <c r="E13" s="14" t="s">
        <v>4</v>
      </c>
      <c r="F13" s="15" t="s">
        <v>5</v>
      </c>
      <c r="G13" s="16" t="s">
        <v>6</v>
      </c>
      <c r="H13" s="17" t="s">
        <v>7</v>
      </c>
      <c r="I13" s="13" t="s">
        <v>19</v>
      </c>
      <c r="AA13" t="s">
        <v>20</v>
      </c>
      <c r="AB13">
        <f t="shared" ref="AB13:AB26" si="0">SUMIF($A$14:$A$27,AA13,$E$14:$E$27)</f>
        <v>93</v>
      </c>
      <c r="AC13">
        <f t="shared" ref="AC13:AC26" si="1">SUMIF($A$14:$A$27,AA13,$F$14:$F$27)</f>
        <v>13</v>
      </c>
      <c r="AD13">
        <f t="shared" ref="AD13:AD26" si="2">SUMIF($A$14:$A$27,AA13,$G$14:$G$27)</f>
        <v>60</v>
      </c>
      <c r="AE13">
        <f t="shared" ref="AE13:AE26" si="3">SUMIF($A$14:$A$27,AA13,$H$14:$H$27)</f>
        <v>0</v>
      </c>
    </row>
    <row r="14" spans="1:31" ht="30" customHeight="1">
      <c r="A14" s="5" t="s">
        <v>21</v>
      </c>
      <c r="B14" s="5">
        <f>COUNTIF(BASE!$B$6:$B$1740,A14)</f>
        <v>133</v>
      </c>
      <c r="C14" s="5">
        <f>SUMIF(BASE!$B$6:$B$1740,A14,BASE!$F$6:$F$1740)</f>
        <v>133</v>
      </c>
      <c r="D14" s="5">
        <v>4758</v>
      </c>
      <c r="E14" s="6">
        <f>COUNTIFS(BASE!$B$6:$B$1740,A14,BASE!$M$6:$M$1740,"SAUVÉ")</f>
        <v>62</v>
      </c>
      <c r="F14" s="7">
        <f>COUNTIFS(BASE!$B$6:$B$1740,A14,BASE!$M$6:$M$1740,"CHARGÉ")</f>
        <v>13</v>
      </c>
      <c r="G14" s="8">
        <f>COUNTIFS(BASE!$B$6:$B$1740,A14,BASE!$M$6:$M$1740,"NON CHARGÉ")</f>
        <v>58</v>
      </c>
      <c r="H14" s="9">
        <f>COUNTIFS(BASE!$B$6:$B$1740,A14,BASE!$M$6:$M$1740,"ANNULÉ")</f>
        <v>0</v>
      </c>
      <c r="I14" s="10">
        <f t="shared" ref="I14:I28" si="4">IFERROR(E14/B14,0)</f>
        <v>0.46616541353383456</v>
      </c>
      <c r="J14" s="18"/>
      <c r="K14" s="18"/>
      <c r="AA14" t="s">
        <v>22</v>
      </c>
      <c r="AB14">
        <f t="shared" si="0"/>
        <v>94</v>
      </c>
      <c r="AC14">
        <f t="shared" si="1"/>
        <v>45</v>
      </c>
      <c r="AD14">
        <f t="shared" si="2"/>
        <v>45</v>
      </c>
      <c r="AE14">
        <f t="shared" si="3"/>
        <v>0</v>
      </c>
    </row>
    <row r="15" spans="1:31">
      <c r="A15" s="5" t="s">
        <v>20</v>
      </c>
      <c r="B15" s="5">
        <f>COUNTIF(BASE!$B$6:$B$1740,A15)</f>
        <v>166</v>
      </c>
      <c r="C15" s="5">
        <f>SUMIF(BASE!$B$6:$B$1740,A15,BASE!$F$6:$F$1740)</f>
        <v>166</v>
      </c>
      <c r="D15" s="5">
        <f>SUM('SYNTHÈSE PAR DATE'!J6:J35)</f>
        <v>9011</v>
      </c>
      <c r="E15" s="6">
        <f>COUNTIFS(BASE!$B$6:$B$1740,A15,BASE!$M$6:$M$1740,"SAUVÉ")</f>
        <v>93</v>
      </c>
      <c r="F15" s="7">
        <f>COUNTIFS(BASE!$B$6:$B$1740,A15,BASE!$M$6:$M$1740,"CHARGÉ")</f>
        <v>13</v>
      </c>
      <c r="G15" s="8">
        <f>COUNTIFS(BASE!$B$6:$B$1740,A15,BASE!$M$6:$M$1740,"NON CHARGÉ")</f>
        <v>60</v>
      </c>
      <c r="H15" s="9">
        <f>COUNTIFS(BASE!$B$6:$B$1740,A15,BASE!$M$6:$M$1740,"ANNULÉ")</f>
        <v>0</v>
      </c>
      <c r="I15" s="10">
        <f t="shared" si="4"/>
        <v>0.56024096385542166</v>
      </c>
      <c r="AA15" t="s">
        <v>23</v>
      </c>
      <c r="AB15">
        <f t="shared" si="0"/>
        <v>49</v>
      </c>
      <c r="AC15">
        <f t="shared" si="1"/>
        <v>16</v>
      </c>
      <c r="AD15">
        <f t="shared" si="2"/>
        <v>36</v>
      </c>
      <c r="AE15">
        <f t="shared" si="3"/>
        <v>0</v>
      </c>
    </row>
    <row r="16" spans="1:31">
      <c r="A16" s="5" t="s">
        <v>24</v>
      </c>
      <c r="B16" s="5">
        <f>COUNTIF(BASE!$B$6:$B$1740,A16)</f>
        <v>302</v>
      </c>
      <c r="C16" s="5">
        <f>SUMIF(BASE!$B$6:$B$1740,A16,BASE!$F$6:$F$1740)</f>
        <v>302</v>
      </c>
      <c r="D16" s="5">
        <f>SUM('SYNTHÈSE PAR DATE'!K6:K35)</f>
        <v>17510</v>
      </c>
      <c r="E16" s="6">
        <f>COUNTIFS(BASE!$B$6:$B$1740,A16,BASE!$M$6:$M$1740,"SAUVÉ")</f>
        <v>44</v>
      </c>
      <c r="F16" s="7">
        <f>COUNTIFS(BASE!$B$6:$B$1740,A16,BASE!$M$6:$M$1740,"CHARGÉ")</f>
        <v>82</v>
      </c>
      <c r="G16" s="8">
        <f>COUNTIFS(BASE!$B$6:$B$1740,A16,BASE!$M$6:$M$1740,"NON CHARGÉ")</f>
        <v>176</v>
      </c>
      <c r="H16" s="9">
        <f>COUNTIFS(BASE!$B$6:$B$1740,A16,BASE!$M$6:$M$1740,"ANNULÉ")</f>
        <v>0</v>
      </c>
      <c r="I16" s="10">
        <f t="shared" si="4"/>
        <v>0.14569536423841059</v>
      </c>
      <c r="AA16" t="s">
        <v>25</v>
      </c>
      <c r="AB16">
        <f t="shared" si="0"/>
        <v>53</v>
      </c>
      <c r="AC16">
        <f t="shared" si="1"/>
        <v>49</v>
      </c>
      <c r="AD16">
        <f t="shared" si="2"/>
        <v>19</v>
      </c>
      <c r="AE16">
        <f t="shared" si="3"/>
        <v>0</v>
      </c>
    </row>
    <row r="17" spans="1:31">
      <c r="A17" s="5" t="s">
        <v>26</v>
      </c>
      <c r="B17" s="5">
        <f>COUNTIF(BASE!$B$6:$B$1740,A17)</f>
        <v>85</v>
      </c>
      <c r="C17" s="5">
        <f>SUMIF(BASE!$B$6:$B$1740,A17,BASE!$F$6:$F$1740)</f>
        <v>85</v>
      </c>
      <c r="D17" s="5">
        <f>SUM('SYNTHÈSE PAR DATE'!L6:L35)</f>
        <v>7669</v>
      </c>
      <c r="E17" s="6">
        <f>COUNTIFS(BASE!$B$6:$B$1740,A17,BASE!$M$6:$M$1740,"SAUVÉ")</f>
        <v>17</v>
      </c>
      <c r="F17" s="7">
        <f>COUNTIFS(BASE!$B$6:$B$1740,A17,BASE!$M$6:$M$1740,"CHARGÉ")</f>
        <v>39</v>
      </c>
      <c r="G17" s="8">
        <f>COUNTIFS(BASE!$B$6:$B$1740,A17,BASE!$M$6:$M$1740,"NON CHARGÉ")</f>
        <v>29</v>
      </c>
      <c r="H17" s="9">
        <f>COUNTIFS(BASE!$B$6:$B$1740,A17,BASE!$M$6:$M$1740,"ANNULÉ")</f>
        <v>0</v>
      </c>
      <c r="I17" s="10">
        <f t="shared" si="4"/>
        <v>0.2</v>
      </c>
      <c r="AA17" t="s">
        <v>24</v>
      </c>
      <c r="AB17">
        <f t="shared" si="0"/>
        <v>44</v>
      </c>
      <c r="AC17">
        <f t="shared" si="1"/>
        <v>82</v>
      </c>
      <c r="AD17">
        <f t="shared" si="2"/>
        <v>176</v>
      </c>
      <c r="AE17">
        <f t="shared" si="3"/>
        <v>0</v>
      </c>
    </row>
    <row r="18" spans="1:31">
      <c r="A18" s="5" t="s">
        <v>27</v>
      </c>
      <c r="B18" s="5">
        <f>COUNTIF(BASE!$B$6:$B$1740,A18)</f>
        <v>30</v>
      </c>
      <c r="C18" s="5">
        <f>SUMIF(BASE!$B$6:$B$1740,A18,BASE!$F$6:$F$1740)</f>
        <v>30</v>
      </c>
      <c r="D18" s="5">
        <f>SUM('SYNTHÈSE PAR DATE'!M6:M35)</f>
        <v>13252</v>
      </c>
      <c r="E18" s="6">
        <f>COUNTIFS(BASE!$B$6:$B$1740,A18,BASE!$M$6:$M$1740,"SAUVÉ")</f>
        <v>8</v>
      </c>
      <c r="F18" s="7">
        <f>COUNTIFS(BASE!$B$6:$B$1740,A18,BASE!$M$6:$M$1740,"CHARGÉ")</f>
        <v>16</v>
      </c>
      <c r="G18" s="8">
        <f>COUNTIFS(BASE!$B$6:$B$1740,A18,BASE!$M$6:$M$1740,"NON CHARGÉ")</f>
        <v>6</v>
      </c>
      <c r="H18" s="9">
        <f>COUNTIFS(BASE!$B$6:$B$1740,A18,BASE!$M$6:$M$1740,"ANNULÉ")</f>
        <v>0</v>
      </c>
      <c r="I18" s="10">
        <f t="shared" si="4"/>
        <v>0.26666666666666666</v>
      </c>
      <c r="AA18" t="s">
        <v>28</v>
      </c>
      <c r="AB18">
        <f t="shared" si="0"/>
        <v>88</v>
      </c>
      <c r="AC18">
        <f t="shared" si="1"/>
        <v>25</v>
      </c>
      <c r="AD18">
        <f t="shared" si="2"/>
        <v>61</v>
      </c>
      <c r="AE18">
        <f t="shared" si="3"/>
        <v>0</v>
      </c>
    </row>
    <row r="19" spans="1:31">
      <c r="A19" s="5" t="s">
        <v>29</v>
      </c>
      <c r="B19" s="5">
        <f>COUNTIF(BASE!$B$6:$B$1740,A19)</f>
        <v>55</v>
      </c>
      <c r="C19" s="5">
        <f>SUMIF(BASE!$B$6:$B$1740,A19,BASE!$F$6:$F$1740)</f>
        <v>55</v>
      </c>
      <c r="D19" s="5">
        <f>SUM('SYNTHÈSE PAR DATE'!N6:N35)</f>
        <v>3602</v>
      </c>
      <c r="E19" s="6">
        <f>COUNTIFS(BASE!$B$6:$B$1740,A19,BASE!$M$6:$M$1740,"SAUVÉ")</f>
        <v>38</v>
      </c>
      <c r="F19" s="7">
        <f>COUNTIFS(BASE!$B$6:$B$1740,A19,BASE!$M$6:$M$1740,"CHARGÉ")</f>
        <v>7</v>
      </c>
      <c r="G19" s="8">
        <f>COUNTIFS(BASE!$B$6:$B$1740,A19,BASE!$M$6:$M$1740,"NON CHARGÉ")</f>
        <v>10</v>
      </c>
      <c r="H19" s="9">
        <f>COUNTIFS(BASE!$B$6:$B$1740,A19,BASE!$M$6:$M$1740,"ANNULÉ")</f>
        <v>0</v>
      </c>
      <c r="I19" s="10">
        <f t="shared" si="4"/>
        <v>0.69090909090909092</v>
      </c>
      <c r="AA19" t="s">
        <v>27</v>
      </c>
      <c r="AB19">
        <f t="shared" si="0"/>
        <v>8</v>
      </c>
      <c r="AC19">
        <f t="shared" si="1"/>
        <v>16</v>
      </c>
      <c r="AD19">
        <f t="shared" si="2"/>
        <v>6</v>
      </c>
      <c r="AE19">
        <f t="shared" si="3"/>
        <v>0</v>
      </c>
    </row>
    <row r="20" spans="1:31">
      <c r="A20" s="5" t="s">
        <v>25</v>
      </c>
      <c r="B20" s="5">
        <f>COUNTIF(BASE!$B$6:$B$1740,A20)</f>
        <v>121</v>
      </c>
      <c r="C20" s="5">
        <f>SUMIF(BASE!$B$6:$B$1740,A20,BASE!$F$6:$F$1740)</f>
        <v>121</v>
      </c>
      <c r="D20" s="5">
        <f>SUM('SYNTHÈSE PAR DATE'!O6:O35)</f>
        <v>5215</v>
      </c>
      <c r="E20" s="6">
        <f>COUNTIFS(BASE!$B$6:$B$1740,A20,BASE!$M$6:$M$1740,"SAUVÉ")</f>
        <v>53</v>
      </c>
      <c r="F20" s="7">
        <f>COUNTIFS(BASE!$B$6:$B$1740,A20,BASE!$M$6:$M$1740,"CHARGÉ")</f>
        <v>49</v>
      </c>
      <c r="G20" s="8">
        <f>COUNTIFS(BASE!$B$6:$B$1740,A20,BASE!$M$6:$M$1740,"NON CHARGÉ")</f>
        <v>19</v>
      </c>
      <c r="H20" s="9">
        <f>COUNTIFS(BASE!$B$6:$B$1740,A20,BASE!$M$6:$M$1740,"ANNULÉ")</f>
        <v>0</v>
      </c>
      <c r="I20" s="10">
        <f t="shared" si="4"/>
        <v>0.43801652892561982</v>
      </c>
      <c r="AA20" t="s">
        <v>30</v>
      </c>
      <c r="AB20">
        <f t="shared" si="0"/>
        <v>149</v>
      </c>
      <c r="AC20">
        <f t="shared" si="1"/>
        <v>16</v>
      </c>
      <c r="AD20">
        <f t="shared" si="2"/>
        <v>32</v>
      </c>
      <c r="AE20">
        <f t="shared" si="3"/>
        <v>0</v>
      </c>
    </row>
    <row r="21" spans="1:31">
      <c r="A21" s="5" t="s">
        <v>31</v>
      </c>
      <c r="B21" s="5">
        <f>COUNTIF(BASE!$B$6:$B$1740,A21)</f>
        <v>40</v>
      </c>
      <c r="C21" s="5">
        <f>SUMIF(BASE!$B$6:$B$1740,A21,BASE!$F$6:$F$1740)</f>
        <v>40</v>
      </c>
      <c r="D21" s="5">
        <f>SUM('SYNTHÈSE PAR DATE'!P6:P35)</f>
        <v>6770</v>
      </c>
      <c r="E21" s="6">
        <f>COUNTIFS(BASE!$B$6:$B$1740,A21,BASE!$M$6:$M$1740,"SAUVÉ")</f>
        <v>12</v>
      </c>
      <c r="F21" s="7">
        <f>COUNTIFS(BASE!$B$6:$B$1740,A21,BASE!$M$6:$M$1740,"CHARGÉ")</f>
        <v>4</v>
      </c>
      <c r="G21" s="8">
        <f>COUNTIFS(BASE!$B$6:$B$1740,A21,BASE!$M$6:$M$1740,"NON CHARGÉ")</f>
        <v>24</v>
      </c>
      <c r="H21" s="9">
        <f>COUNTIFS(BASE!$B$6:$B$1740,A21,BASE!$M$6:$M$1740,"ANNULÉ")</f>
        <v>0</v>
      </c>
      <c r="I21" s="10">
        <f t="shared" si="4"/>
        <v>0.3</v>
      </c>
      <c r="AA21" t="s">
        <v>26</v>
      </c>
      <c r="AB21">
        <f t="shared" si="0"/>
        <v>17</v>
      </c>
      <c r="AC21">
        <f t="shared" si="1"/>
        <v>39</v>
      </c>
      <c r="AD21">
        <f t="shared" si="2"/>
        <v>29</v>
      </c>
      <c r="AE21">
        <f t="shared" si="3"/>
        <v>0</v>
      </c>
    </row>
    <row r="22" spans="1:31">
      <c r="A22" s="5" t="s">
        <v>32</v>
      </c>
      <c r="B22" s="5">
        <f>COUNTIF(BASE!$B$6:$B$1740,A22)</f>
        <v>45</v>
      </c>
      <c r="C22" s="5">
        <f>SUMIF(BASE!$B$6:$B$1740,A22,BASE!$F$6:$F$1740)</f>
        <v>45</v>
      </c>
      <c r="D22" s="5">
        <f>SUM('SYNTHÈSE PAR DATE'!Q6:Q35)</f>
        <v>4421</v>
      </c>
      <c r="E22" s="6">
        <f>COUNTIFS(BASE!$B$6:$B$1740,A22,BASE!$M$6:$M$1740,"SAUVÉ")</f>
        <v>19</v>
      </c>
      <c r="F22" s="7">
        <f>COUNTIFS(BASE!$B$6:$B$1740,A22,BASE!$M$6:$M$1740,"CHARGÉ")</f>
        <v>12</v>
      </c>
      <c r="G22" s="8">
        <f>COUNTIFS(BASE!$B$6:$B$1740,A22,BASE!$M$6:$M$1740,"NON CHARGÉ")</f>
        <v>14</v>
      </c>
      <c r="H22" s="9">
        <f>COUNTIFS(BASE!$B$6:$B$1740,A22,BASE!$M$6:$M$1740,"ANNULÉ")</f>
        <v>0</v>
      </c>
      <c r="I22" s="10">
        <f t="shared" si="4"/>
        <v>0.42222222222222222</v>
      </c>
      <c r="AA22" t="s">
        <v>33</v>
      </c>
      <c r="AB22">
        <f t="shared" si="0"/>
        <v>47</v>
      </c>
      <c r="AC22">
        <f t="shared" si="1"/>
        <v>32</v>
      </c>
      <c r="AD22">
        <f t="shared" si="2"/>
        <v>23</v>
      </c>
      <c r="AE22">
        <f t="shared" si="3"/>
        <v>0</v>
      </c>
    </row>
    <row r="23" spans="1:31">
      <c r="A23" s="5" t="s">
        <v>23</v>
      </c>
      <c r="B23" s="5">
        <f>COUNTIF(BASE!$B$6:$B$1740,A23)</f>
        <v>101</v>
      </c>
      <c r="C23" s="5">
        <f>SUMIF(BASE!$B$6:$B$1740,A23,BASE!$F$6:$F$1740)</f>
        <v>101</v>
      </c>
      <c r="D23" s="5">
        <f>SUM('SYNTHÈSE PAR DATE'!R6:R35)</f>
        <v>5214</v>
      </c>
      <c r="E23" s="6">
        <f>COUNTIFS(BASE!$B$6:$B$1740,A23,BASE!$M$6:$M$1740,"SAUVÉ")</f>
        <v>49</v>
      </c>
      <c r="F23" s="7">
        <f>COUNTIFS(BASE!$B$6:$B$1740,A23,BASE!$M$6:$M$1740,"CHARGÉ")</f>
        <v>16</v>
      </c>
      <c r="G23" s="8">
        <f>COUNTIFS(BASE!$B$6:$B$1740,A23,BASE!$M$6:$M$1740,"NON CHARGÉ")</f>
        <v>36</v>
      </c>
      <c r="H23" s="9">
        <f>COUNTIFS(BASE!$B$6:$B$1740,A23,BASE!$M$6:$M$1740,"ANNULÉ")</f>
        <v>0</v>
      </c>
      <c r="I23" s="10">
        <f t="shared" si="4"/>
        <v>0.48514851485148514</v>
      </c>
      <c r="AA23" t="s">
        <v>31</v>
      </c>
      <c r="AB23">
        <f t="shared" si="0"/>
        <v>12</v>
      </c>
      <c r="AC23">
        <f t="shared" si="1"/>
        <v>4</v>
      </c>
      <c r="AD23">
        <f t="shared" si="2"/>
        <v>24</v>
      </c>
      <c r="AE23">
        <f t="shared" si="3"/>
        <v>0</v>
      </c>
    </row>
    <row r="24" spans="1:31">
      <c r="A24" s="5" t="s">
        <v>28</v>
      </c>
      <c r="B24" s="5">
        <f>COUNTIF(BASE!$B$6:$B$1740,A24)</f>
        <v>174</v>
      </c>
      <c r="C24" s="5">
        <f>SUMIF(BASE!$B$6:$B$1740,A24,BASE!$F$6:$F$1740)</f>
        <v>174</v>
      </c>
      <c r="D24" s="5">
        <f>SUM('SYNTHÈSE PAR DATE'!S6:S35)</f>
        <v>9141</v>
      </c>
      <c r="E24" s="6">
        <f>COUNTIFS(BASE!$B$6:$B$1740,A24,BASE!$M$6:$M$1740,"SAUVÉ")</f>
        <v>88</v>
      </c>
      <c r="F24" s="7">
        <f>COUNTIFS(BASE!$B$6:$B$1740,A24,BASE!$M$6:$M$1740,"CHARGÉ")</f>
        <v>25</v>
      </c>
      <c r="G24" s="8">
        <f>COUNTIFS(BASE!$B$6:$B$1740,A24,BASE!$M$6:$M$1740,"NON CHARGÉ")</f>
        <v>61</v>
      </c>
      <c r="H24" s="9">
        <f>COUNTIFS(BASE!$B$6:$B$1740,A24,BASE!$M$6:$M$1740,"ANNULÉ")</f>
        <v>0</v>
      </c>
      <c r="I24" s="10">
        <f t="shared" si="4"/>
        <v>0.50574712643678166</v>
      </c>
      <c r="AA24" t="s">
        <v>32</v>
      </c>
      <c r="AB24">
        <f t="shared" si="0"/>
        <v>19</v>
      </c>
      <c r="AC24">
        <f t="shared" si="1"/>
        <v>12</v>
      </c>
      <c r="AD24">
        <f t="shared" si="2"/>
        <v>14</v>
      </c>
      <c r="AE24">
        <f t="shared" si="3"/>
        <v>0</v>
      </c>
    </row>
    <row r="25" spans="1:31">
      <c r="A25" s="5" t="s">
        <v>22</v>
      </c>
      <c r="B25" s="5">
        <f>COUNTIF(BASE!$B$6:$B$1740,A25)</f>
        <v>184</v>
      </c>
      <c r="C25" s="5">
        <f>SUMIF(BASE!$B$6:$B$1740,A25,BASE!$F$6:$F$1740)</f>
        <v>184</v>
      </c>
      <c r="D25" s="5">
        <f>SUM('SYNTHÈSE PAR DATE'!T6:T35)</f>
        <v>10427</v>
      </c>
      <c r="E25" s="6">
        <f>COUNTIFS(BASE!$B$6:$B$1740,A25,BASE!$M$6:$M$1740,"SAUVÉ")</f>
        <v>94</v>
      </c>
      <c r="F25" s="7">
        <f>COUNTIFS(BASE!$B$6:$B$1740,A25,BASE!$M$6:$M$1740,"CHARGÉ")</f>
        <v>45</v>
      </c>
      <c r="G25" s="8">
        <f>COUNTIFS(BASE!$B$6:$B$1740,A25,BASE!$M$6:$M$1740,"NON CHARGÉ")</f>
        <v>45</v>
      </c>
      <c r="H25" s="9">
        <f>COUNTIFS(BASE!$B$6:$B$1740,A25,BASE!$M$6:$M$1740,"ANNULÉ")</f>
        <v>0</v>
      </c>
      <c r="I25" s="10">
        <f t="shared" si="4"/>
        <v>0.51086956521739135</v>
      </c>
      <c r="AA25" t="s">
        <v>29</v>
      </c>
      <c r="AB25">
        <f t="shared" si="0"/>
        <v>38</v>
      </c>
      <c r="AC25">
        <f t="shared" si="1"/>
        <v>7</v>
      </c>
      <c r="AD25">
        <f t="shared" si="2"/>
        <v>10</v>
      </c>
      <c r="AE25">
        <f t="shared" si="3"/>
        <v>0</v>
      </c>
    </row>
    <row r="26" spans="1:31">
      <c r="A26" s="5" t="s">
        <v>30</v>
      </c>
      <c r="B26" s="5">
        <f>COUNTIF(BASE!$B$6:$B$1740,A26)</f>
        <v>197</v>
      </c>
      <c r="C26" s="5">
        <f>SUMIF(BASE!$B$6:$B$1740,A26,BASE!$F$6:$F$1740)</f>
        <v>197</v>
      </c>
      <c r="D26" s="5">
        <f>SUM('SYNTHÈSE PAR DATE'!U6:U35)</f>
        <v>4332</v>
      </c>
      <c r="E26" s="6">
        <f>COUNTIFS(BASE!$B$6:$B$1740,A26,BASE!$M$6:$M$1740,"SAUVÉ")</f>
        <v>149</v>
      </c>
      <c r="F26" s="7">
        <f>COUNTIFS(BASE!$B$6:$B$1740,A26,BASE!$M$6:$M$1740,"CHARGÉ")</f>
        <v>16</v>
      </c>
      <c r="G26" s="8">
        <f>COUNTIFS(BASE!$B$6:$B$1740,A26,BASE!$M$6:$M$1740,"NON CHARGÉ")</f>
        <v>32</v>
      </c>
      <c r="H26" s="9">
        <f>COUNTIFS(BASE!$B$6:$B$1740,A26,BASE!$M$6:$M$1740,"ANNULÉ")</f>
        <v>0</v>
      </c>
      <c r="I26" s="10">
        <f t="shared" si="4"/>
        <v>0.75634517766497467</v>
      </c>
      <c r="AA26" t="s">
        <v>21</v>
      </c>
      <c r="AB26">
        <f t="shared" si="0"/>
        <v>62</v>
      </c>
      <c r="AC26">
        <f t="shared" si="1"/>
        <v>13</v>
      </c>
      <c r="AD26">
        <f t="shared" si="2"/>
        <v>58</v>
      </c>
      <c r="AE26">
        <f t="shared" si="3"/>
        <v>0</v>
      </c>
    </row>
    <row r="27" spans="1:31">
      <c r="A27" s="5" t="s">
        <v>33</v>
      </c>
      <c r="B27" s="5">
        <f>COUNTIF(BASE!$B$6:$B$1740,A27)</f>
        <v>102</v>
      </c>
      <c r="C27" s="5">
        <f>SUMIF(BASE!$B$6:$B$1740,A27,BASE!$F$6:$F$1740)</f>
        <v>102</v>
      </c>
      <c r="D27" s="5">
        <f>SUM('SYNTHÈSE PAR DATE'!V6:V35)</f>
        <v>4866</v>
      </c>
      <c r="E27" s="6">
        <f>COUNTIFS(BASE!$B$6:$B$1740,A27,BASE!$M$6:$M$1740,"SAUVÉ")</f>
        <v>47</v>
      </c>
      <c r="F27" s="7">
        <f>COUNTIFS(BASE!$B$6:$B$1740,A27,BASE!$M$6:$M$1740,"CHARGÉ")</f>
        <v>32</v>
      </c>
      <c r="G27" s="8">
        <f>COUNTIFS(BASE!$B$6:$B$1740,A27,BASE!$M$6:$M$1740,"NON CHARGÉ")</f>
        <v>23</v>
      </c>
      <c r="H27" s="9">
        <f>COUNTIFS(BASE!$B$6:$B$1740,A27,BASE!$M$6:$M$1740,"ANNULÉ")</f>
        <v>0</v>
      </c>
      <c r="I27" s="10">
        <f t="shared" si="4"/>
        <v>0.46078431372549017</v>
      </c>
    </row>
    <row r="28" spans="1:31">
      <c r="A28" s="11" t="s">
        <v>34</v>
      </c>
      <c r="B28" s="11">
        <f t="shared" ref="B28:H28" si="5">SUM(B14:B27)</f>
        <v>1735</v>
      </c>
      <c r="C28" s="11">
        <f t="shared" si="5"/>
        <v>1735</v>
      </c>
      <c r="D28" s="11">
        <f t="shared" si="5"/>
        <v>106188</v>
      </c>
      <c r="E28" s="11">
        <f t="shared" si="5"/>
        <v>773</v>
      </c>
      <c r="F28" s="11">
        <f t="shared" si="5"/>
        <v>369</v>
      </c>
      <c r="G28" s="11">
        <f t="shared" si="5"/>
        <v>593</v>
      </c>
      <c r="H28" s="11">
        <f t="shared" si="5"/>
        <v>0</v>
      </c>
      <c r="I28" s="12">
        <f t="shared" si="4"/>
        <v>0.44553314121037463</v>
      </c>
    </row>
    <row r="71" spans="1:2">
      <c r="A71" t="s">
        <v>35</v>
      </c>
      <c r="B71" t="s">
        <v>2</v>
      </c>
    </row>
    <row r="72" spans="1:2">
      <c r="A72" t="s">
        <v>36</v>
      </c>
      <c r="B72">
        <f>J6</f>
        <v>369</v>
      </c>
    </row>
    <row r="73" spans="1:2">
      <c r="A73" t="s">
        <v>37</v>
      </c>
      <c r="B73">
        <f>G6</f>
        <v>773</v>
      </c>
    </row>
    <row r="74" spans="1:2">
      <c r="A74" t="s">
        <v>38</v>
      </c>
      <c r="B74">
        <f>M6</f>
        <v>593</v>
      </c>
    </row>
    <row r="75" spans="1:2">
      <c r="A75" t="s">
        <v>39</v>
      </c>
      <c r="B75">
        <f>P6</f>
        <v>0</v>
      </c>
    </row>
    <row r="110" spans="1:18" ht="24" customHeight="1">
      <c r="A110" s="54" t="s">
        <v>4796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</row>
    <row r="111" spans="1:18">
      <c r="A111" s="26" t="str">
        <f>"VRAI DOUBLON : "&amp;COUNTIF(BASE!$R$6:$R$1740,"VRAI DOUBLON")&amp;"   •   STATUT DIFFÉRENT : "&amp;COUNTIF(BASE!$R$6:$R$1740,"STATUT DIFFÉRENT")&amp;"   •   LÉGITIME : "&amp;COUNTIF(BASE!$R$6:$R$1740,"LÉGITIME")</f>
        <v>VRAI DOUBLON : 9   •   STATUT DIFFÉRENT : 1   •   LÉGITIME : 16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</row>
    <row r="112" spans="1:18" ht="24" customHeight="1">
      <c r="A112" s="19" t="s">
        <v>16</v>
      </c>
      <c r="B112" s="55" t="s">
        <v>42</v>
      </c>
      <c r="C112" s="55"/>
      <c r="D112" s="55" t="s">
        <v>43</v>
      </c>
      <c r="E112" s="55"/>
      <c r="F112" s="55" t="s">
        <v>45</v>
      </c>
      <c r="G112" s="55"/>
      <c r="H112" s="19" t="s">
        <v>4797</v>
      </c>
      <c r="I112" s="55" t="s">
        <v>4798</v>
      </c>
      <c r="J112" s="55"/>
      <c r="K112" s="55"/>
      <c r="L112" s="55"/>
    </row>
    <row r="113" spans="1:12">
      <c r="A113" s="22" t="str">
        <f>IFERROR(INDEX(BASE!$B$6:$B$1740,MATCH(ROWS($A$113:$A113),BASE!$Q$6:$Q$1740,0)),"")</f>
        <v>AT</v>
      </c>
      <c r="B113" s="56" t="str">
        <f>IFERROR(INDEX(BASE!$A$6:$A$1740,MATCH(ROWS($A$113:$A113),BASE!$Q$6:$Q$1740,0)),"")</f>
        <v>01/09/2026</v>
      </c>
      <c r="C113" s="56"/>
      <c r="D113" s="56" t="str">
        <f>IFERROR(INDEX(BASE!$C$6:$C$1740,MATCH(ROWS($A$113:$A113),BASE!$Q$6:$Q$1740,0)),"")</f>
        <v>AT639</v>
      </c>
      <c r="E113" s="56"/>
      <c r="F113" s="56" t="str">
        <f>IFERROR(INDEX(BASE!$E$6:$E$1740,MATCH(ROWS($A$113:$A113),BASE!$Q$6:$Q$1740,0)),"")</f>
        <v>AT844408</v>
      </c>
      <c r="G113" s="56"/>
      <c r="H113" s="22">
        <f>IFERROR(INDEX(BASE!$P$6:$P$1740,MATCH(ROWS($A$113:$A113),BASE!$Q$6:$Q$1740,0)),"")</f>
        <v>2</v>
      </c>
      <c r="I113" s="56" t="str">
        <f>IFERROR(INDEX(BASE!$R$6:$R$1740,MATCH(ROWS($A$113:$A113),BASE!$Q$6:$Q$1740,0)),"")</f>
        <v>VRAI DOUBLON</v>
      </c>
      <c r="J113" s="56"/>
      <c r="K113" s="56"/>
      <c r="L113" s="56"/>
    </row>
    <row r="114" spans="1:12">
      <c r="A114" s="22" t="str">
        <f>IFERROR(INDEX(BASE!$B$6:$B$1740,MATCH(ROWS($A$113:$A114),BASE!$Q$6:$Q$1740,0)),"")</f>
        <v>AT</v>
      </c>
      <c r="B114" s="56" t="str">
        <f>IFERROR(INDEX(BASE!$A$6:$A$1740,MATCH(ROWS($A$113:$A114),BASE!$Q$6:$Q$1740,0)),"")</f>
        <v>01/09/2026</v>
      </c>
      <c r="C114" s="56"/>
      <c r="D114" s="56" t="str">
        <f>IFERROR(INDEX(BASE!$C$6:$C$1740,MATCH(ROWS($A$113:$A114),BASE!$Q$6:$Q$1740,0)),"")</f>
        <v>AT639</v>
      </c>
      <c r="E114" s="56"/>
      <c r="F114" s="56" t="str">
        <f>IFERROR(INDEX(BASE!$E$6:$E$1740,MATCH(ROWS($A$113:$A114),BASE!$Q$6:$Q$1740,0)),"")</f>
        <v>AT844125</v>
      </c>
      <c r="G114" s="56"/>
      <c r="H114" s="22">
        <f>IFERROR(INDEX(BASE!$P$6:$P$1740,MATCH(ROWS($A$113:$A114),BASE!$Q$6:$Q$1740,0)),"")</f>
        <v>2</v>
      </c>
      <c r="I114" s="56" t="str">
        <f>IFERROR(INDEX(BASE!$R$6:$R$1740,MATCH(ROWS($A$113:$A114),BASE!$Q$6:$Q$1740,0)),"")</f>
        <v>VRAI DOUBLON</v>
      </c>
      <c r="J114" s="56"/>
      <c r="K114" s="56"/>
      <c r="L114" s="56"/>
    </row>
    <row r="115" spans="1:12">
      <c r="A115" s="22" t="str">
        <f>IFERROR(INDEX(BASE!$B$6:$B$1740,MATCH(ROWS($A$113:$A115),BASE!$Q$6:$Q$1740,0)),"")</f>
        <v>AI</v>
      </c>
      <c r="B115" s="56" t="str">
        <f>IFERROR(INDEX(BASE!$A$6:$A$1740,MATCH(ROWS($A$113:$A115),BASE!$Q$6:$Q$1740,0)),"")</f>
        <v>02/09/2026</v>
      </c>
      <c r="C115" s="56"/>
      <c r="D115" s="56" t="str">
        <f>IFERROR(INDEX(BASE!$C$6:$C$1740,MATCH(ROWS($A$113:$A115),BASE!$Q$6:$Q$1740,0)),"")</f>
        <v>AI148</v>
      </c>
      <c r="E115" s="56"/>
      <c r="F115" s="56" t="str">
        <f>IFERROR(INDEX(BASE!$E$6:$E$1740,MATCH(ROWS($A$113:$A115),BASE!$Q$6:$Q$1740,0)),"")</f>
        <v>AC487587</v>
      </c>
      <c r="G115" s="56"/>
      <c r="H115" s="22">
        <f>IFERROR(INDEX(BASE!$P$6:$P$1740,MATCH(ROWS($A$113:$A115),BASE!$Q$6:$Q$1740,0)),"")</f>
        <v>2</v>
      </c>
      <c r="I115" s="56" t="str">
        <f>IFERROR(INDEX(BASE!$R$6:$R$1740,MATCH(ROWS($A$113:$A115),BASE!$Q$6:$Q$1740,0)),"")</f>
        <v>VRAI DOUBLON</v>
      </c>
      <c r="J115" s="56"/>
      <c r="K115" s="56"/>
      <c r="L115" s="56"/>
    </row>
    <row r="116" spans="1:12">
      <c r="A116" s="22" t="str">
        <f>IFERROR(INDEX(BASE!$B$6:$B$1740,MATCH(ROWS($A$113:$A116),BASE!$Q$6:$Q$1740,0)),"")</f>
        <v>AI</v>
      </c>
      <c r="B116" s="56" t="str">
        <f>IFERROR(INDEX(BASE!$A$6:$A$1740,MATCH(ROWS($A$113:$A116),BASE!$Q$6:$Q$1740,0)),"")</f>
        <v>03/09/2026</v>
      </c>
      <c r="C116" s="56"/>
      <c r="D116" s="56" t="str">
        <f>IFERROR(INDEX(BASE!$C$6:$C$1740,MATCH(ROWS($A$113:$A116),BASE!$Q$6:$Q$1740,0)),"")</f>
        <v>AI148</v>
      </c>
      <c r="E116" s="56"/>
      <c r="F116" s="56" t="str">
        <f>IFERROR(INDEX(BASE!$E$6:$E$1740,MATCH(ROWS($A$113:$A116),BASE!$Q$6:$Q$1740,0)),"")</f>
        <v>AC552692</v>
      </c>
      <c r="G116" s="56"/>
      <c r="H116" s="22">
        <f>IFERROR(INDEX(BASE!$P$6:$P$1740,MATCH(ROWS($A$113:$A116),BASE!$Q$6:$Q$1740,0)),"")</f>
        <v>2</v>
      </c>
      <c r="I116" s="56" t="str">
        <f>IFERROR(INDEX(BASE!$R$6:$R$1740,MATCH(ROWS($A$113:$A116),BASE!$Q$6:$Q$1740,0)),"")</f>
        <v>LÉGITIME</v>
      </c>
      <c r="J116" s="56"/>
      <c r="K116" s="56"/>
      <c r="L116" s="56"/>
    </row>
    <row r="117" spans="1:12">
      <c r="A117" s="22" t="str">
        <f>IFERROR(INDEX(BASE!$B$6:$B$1740,MATCH(ROWS($A$113:$A117),BASE!$Q$6:$Q$1740,0)),"")</f>
        <v>AI</v>
      </c>
      <c r="B117" s="56" t="str">
        <f>IFERROR(INDEX(BASE!$A$6:$A$1740,MATCH(ROWS($A$113:$A117),BASE!$Q$6:$Q$1740,0)),"")</f>
        <v>03/09/2026</v>
      </c>
      <c r="C117" s="56"/>
      <c r="D117" s="56" t="str">
        <f>IFERROR(INDEX(BASE!$C$6:$C$1740,MATCH(ROWS($A$113:$A117),BASE!$Q$6:$Q$1740,0)),"")</f>
        <v>AI148</v>
      </c>
      <c r="E117" s="56"/>
      <c r="F117" s="56" t="str">
        <f>IFERROR(INDEX(BASE!$E$6:$E$1740,MATCH(ROWS($A$113:$A117),BASE!$Q$6:$Q$1740,0)),"")</f>
        <v>AC552694</v>
      </c>
      <c r="G117" s="56"/>
      <c r="H117" s="22">
        <f>IFERROR(INDEX(BASE!$P$6:$P$1740,MATCH(ROWS($A$113:$A117),BASE!$Q$6:$Q$1740,0)),"")</f>
        <v>2</v>
      </c>
      <c r="I117" s="56" t="str">
        <f>IFERROR(INDEX(BASE!$R$6:$R$1740,MATCH(ROWS($A$113:$A117),BASE!$Q$6:$Q$1740,0)),"")</f>
        <v>LÉGITIME</v>
      </c>
      <c r="J117" s="56"/>
      <c r="K117" s="56"/>
      <c r="L117" s="56"/>
    </row>
    <row r="118" spans="1:12">
      <c r="A118" s="22" t="str">
        <f>IFERROR(INDEX(BASE!$B$6:$B$1740,MATCH(ROWS($A$113:$A118),BASE!$Q$6:$Q$1740,0)),"")</f>
        <v>AI</v>
      </c>
      <c r="B118" s="56" t="str">
        <f>IFERROR(INDEX(BASE!$A$6:$A$1740,MATCH(ROWS($A$113:$A118),BASE!$Q$6:$Q$1740,0)),"")</f>
        <v>03/09/2026</v>
      </c>
      <c r="C118" s="56"/>
      <c r="D118" s="56" t="str">
        <f>IFERROR(INDEX(BASE!$C$6:$C$1740,MATCH(ROWS($A$113:$A118),BASE!$Q$6:$Q$1740,0)),"")</f>
        <v>AI148</v>
      </c>
      <c r="E118" s="56"/>
      <c r="F118" s="56" t="str">
        <f>IFERROR(INDEX(BASE!$E$6:$E$1740,MATCH(ROWS($A$113:$A118),BASE!$Q$6:$Q$1740,0)),"")</f>
        <v>AC552722</v>
      </c>
      <c r="G118" s="56"/>
      <c r="H118" s="22">
        <f>IFERROR(INDEX(BASE!$P$6:$P$1740,MATCH(ROWS($A$113:$A118),BASE!$Q$6:$Q$1740,0)),"")</f>
        <v>2</v>
      </c>
      <c r="I118" s="56" t="str">
        <f>IFERROR(INDEX(BASE!$R$6:$R$1740,MATCH(ROWS($A$113:$A118),BASE!$Q$6:$Q$1740,0)),"")</f>
        <v>LÉGITIME</v>
      </c>
      <c r="J118" s="56"/>
      <c r="K118" s="56"/>
      <c r="L118" s="56"/>
    </row>
    <row r="119" spans="1:12">
      <c r="A119" s="22" t="str">
        <f>IFERROR(INDEX(BASE!$B$6:$B$1740,MATCH(ROWS($A$113:$A119),BASE!$Q$6:$Q$1740,0)),"")</f>
        <v>AI</v>
      </c>
      <c r="B119" s="56" t="str">
        <f>IFERROR(INDEX(BASE!$A$6:$A$1740,MATCH(ROWS($A$113:$A119),BASE!$Q$6:$Q$1740,0)),"")</f>
        <v>03/09/2026</v>
      </c>
      <c r="C119" s="56"/>
      <c r="D119" s="56" t="str">
        <f>IFERROR(INDEX(BASE!$C$6:$C$1740,MATCH(ROWS($A$113:$A119),BASE!$Q$6:$Q$1740,0)),"")</f>
        <v>AI148</v>
      </c>
      <c r="E119" s="56"/>
      <c r="F119" s="56" t="str">
        <f>IFERROR(INDEX(BASE!$E$6:$E$1740,MATCH(ROWS($A$113:$A119),BASE!$Q$6:$Q$1740,0)),"")</f>
        <v>AC552723</v>
      </c>
      <c r="G119" s="56"/>
      <c r="H119" s="22">
        <f>IFERROR(INDEX(BASE!$P$6:$P$1740,MATCH(ROWS($A$113:$A119),BASE!$Q$6:$Q$1740,0)),"")</f>
        <v>2</v>
      </c>
      <c r="I119" s="56" t="str">
        <f>IFERROR(INDEX(BASE!$R$6:$R$1740,MATCH(ROWS($A$113:$A119),BASE!$Q$6:$Q$1740,0)),"")</f>
        <v>LÉGITIME</v>
      </c>
      <c r="J119" s="56"/>
      <c r="K119" s="56"/>
      <c r="L119" s="56"/>
    </row>
    <row r="120" spans="1:12">
      <c r="A120" s="22" t="str">
        <f>IFERROR(INDEX(BASE!$B$6:$B$1740,MATCH(ROWS($A$113:$A120),BASE!$Q$6:$Q$1740,0)),"")</f>
        <v>AI</v>
      </c>
      <c r="B120" s="56" t="str">
        <f>IFERROR(INDEX(BASE!$A$6:$A$1740,MATCH(ROWS($A$113:$A120),BASE!$Q$6:$Q$1740,0)),"")</f>
        <v>03/09/2026</v>
      </c>
      <c r="C120" s="56"/>
      <c r="D120" s="56" t="str">
        <f>IFERROR(INDEX(BASE!$C$6:$C$1740,MATCH(ROWS($A$113:$A120),BASE!$Q$6:$Q$1740,0)),"")</f>
        <v>AI148</v>
      </c>
      <c r="E120" s="56"/>
      <c r="F120" s="56" t="str">
        <f>IFERROR(INDEX(BASE!$E$6:$E$1740,MATCH(ROWS($A$113:$A120),BASE!$Q$6:$Q$1740,0)),"")</f>
        <v>AC552724</v>
      </c>
      <c r="G120" s="56"/>
      <c r="H120" s="22">
        <f>IFERROR(INDEX(BASE!$P$6:$P$1740,MATCH(ROWS($A$113:$A120),BASE!$Q$6:$Q$1740,0)),"")</f>
        <v>2</v>
      </c>
      <c r="I120" s="56" t="str">
        <f>IFERROR(INDEX(BASE!$R$6:$R$1740,MATCH(ROWS($A$113:$A120),BASE!$Q$6:$Q$1740,0)),"")</f>
        <v>LÉGITIME</v>
      </c>
      <c r="J120" s="56"/>
      <c r="K120" s="56"/>
      <c r="L120" s="56"/>
    </row>
    <row r="121" spans="1:12">
      <c r="A121" s="22" t="str">
        <f>IFERROR(INDEX(BASE!$B$6:$B$1740,MATCH(ROWS($A$113:$A121),BASE!$Q$6:$Q$1740,0)),"")</f>
        <v>SK</v>
      </c>
      <c r="B121" s="56" t="str">
        <f>IFERROR(INDEX(BASE!$A$6:$A$1740,MATCH(ROWS($A$113:$A121),BASE!$Q$6:$Q$1740,0)),"")</f>
        <v>04/09/2026</v>
      </c>
      <c r="C121" s="56"/>
      <c r="D121" s="56" t="str">
        <f>IFERROR(INDEX(BASE!$C$6:$C$1740,MATCH(ROWS($A$113:$A121),BASE!$Q$6:$Q$1740,0)),"")</f>
        <v>SK568</v>
      </c>
      <c r="E121" s="56"/>
      <c r="F121" s="56" t="str">
        <f>IFERROR(INDEX(BASE!$E$6:$E$1740,MATCH(ROWS($A$113:$A121),BASE!$Q$6:$Q$1740,0)),"")</f>
        <v>AF286191</v>
      </c>
      <c r="G121" s="56"/>
      <c r="H121" s="22">
        <f>IFERROR(INDEX(BASE!$P$6:$P$1740,MATCH(ROWS($A$113:$A121),BASE!$Q$6:$Q$1740,0)),"")</f>
        <v>2</v>
      </c>
      <c r="I121" s="56" t="str">
        <f>IFERROR(INDEX(BASE!$R$6:$R$1740,MATCH(ROWS($A$113:$A121),BASE!$Q$6:$Q$1740,0)),"")</f>
        <v>VRAI DOUBLON</v>
      </c>
      <c r="J121" s="56"/>
      <c r="K121" s="56"/>
      <c r="L121" s="56"/>
    </row>
    <row r="122" spans="1:12">
      <c r="A122" s="22" t="str">
        <f>IFERROR(INDEX(BASE!$B$6:$B$1740,MATCH(ROWS($A$113:$A122),BASE!$Q$6:$Q$1740,0)),"")</f>
        <v>JU</v>
      </c>
      <c r="B122" s="56" t="str">
        <f>IFERROR(INDEX(BASE!$A$6:$A$1740,MATCH(ROWS($A$113:$A122),BASE!$Q$6:$Q$1740,0)),"")</f>
        <v>06/09/2026</v>
      </c>
      <c r="C122" s="56"/>
      <c r="D122" s="56" t="str">
        <f>IFERROR(INDEX(BASE!$C$6:$C$1740,MATCH(ROWS($A$113:$A122),BASE!$Q$6:$Q$1740,0)),"")</f>
        <v>JU241</v>
      </c>
      <c r="E122" s="56"/>
      <c r="F122" s="56" t="str">
        <f>IFERROR(INDEX(BASE!$E$6:$E$1740,MATCH(ROWS($A$113:$A122),BASE!$Q$6:$Q$1740,0)),"")</f>
        <v>XH965947</v>
      </c>
      <c r="G122" s="56"/>
      <c r="H122" s="22">
        <f>IFERROR(INDEX(BASE!$P$6:$P$1740,MATCH(ROWS($A$113:$A122),BASE!$Q$6:$Q$1740,0)),"")</f>
        <v>2</v>
      </c>
      <c r="I122" s="56" t="str">
        <f>IFERROR(INDEX(BASE!$R$6:$R$1740,MATCH(ROWS($A$113:$A122),BASE!$Q$6:$Q$1740,0)),"")</f>
        <v>STATUT DIFFÉRENT</v>
      </c>
      <c r="J122" s="56"/>
      <c r="K122" s="56"/>
      <c r="L122" s="56"/>
    </row>
    <row r="123" spans="1:12">
      <c r="A123" s="22" t="str">
        <f>IFERROR(INDEX(BASE!$B$6:$B$1740,MATCH(ROWS($A$113:$A123),BASE!$Q$6:$Q$1740,0)),"")</f>
        <v>AI</v>
      </c>
      <c r="B123" s="56" t="str">
        <f>IFERROR(INDEX(BASE!$A$6:$A$1740,MATCH(ROWS($A$113:$A123),BASE!$Q$6:$Q$1740,0)),"")</f>
        <v>13/09/2026</v>
      </c>
      <c r="C123" s="56"/>
      <c r="D123" s="56" t="str">
        <f>IFERROR(INDEX(BASE!$C$6:$C$1740,MATCH(ROWS($A$113:$A123),BASE!$Q$6:$Q$1740,0)),"")</f>
        <v>AI142</v>
      </c>
      <c r="E123" s="56"/>
      <c r="F123" s="56" t="str">
        <f>IFERROR(INDEX(BASE!$E$6:$E$1740,MATCH(ROWS($A$113:$A123),BASE!$Q$6:$Q$1740,0)),"")</f>
        <v>AI753335</v>
      </c>
      <c r="G123" s="56"/>
      <c r="H123" s="22">
        <f>IFERROR(INDEX(BASE!$P$6:$P$1740,MATCH(ROWS($A$113:$A123),BASE!$Q$6:$Q$1740,0)),"")</f>
        <v>2</v>
      </c>
      <c r="I123" s="56" t="str">
        <f>IFERROR(INDEX(BASE!$R$6:$R$1740,MATCH(ROWS($A$113:$A123),BASE!$Q$6:$Q$1740,0)),"")</f>
        <v>VRAI DOUBLON</v>
      </c>
      <c r="J123" s="56"/>
      <c r="K123" s="56"/>
      <c r="L123" s="56"/>
    </row>
    <row r="124" spans="1:12">
      <c r="A124" s="22" t="str">
        <f>IFERROR(INDEX(BASE!$B$6:$B$1740,MATCH(ROWS($A$113:$A124),BASE!$Q$6:$Q$1740,0)),"")</f>
        <v>AI</v>
      </c>
      <c r="B124" s="56" t="str">
        <f>IFERROR(INDEX(BASE!$A$6:$A$1740,MATCH(ROWS($A$113:$A124),BASE!$Q$6:$Q$1740,0)),"")</f>
        <v>13/09/2026</v>
      </c>
      <c r="C124" s="56"/>
      <c r="D124" s="56" t="str">
        <f>IFERROR(INDEX(BASE!$C$6:$C$1740,MATCH(ROWS($A$113:$A124),BASE!$Q$6:$Q$1740,0)),"")</f>
        <v>AI142</v>
      </c>
      <c r="E124" s="56"/>
      <c r="F124" s="56" t="str">
        <f>IFERROR(INDEX(BASE!$E$6:$E$1740,MATCH(ROWS($A$113:$A124),BASE!$Q$6:$Q$1740,0)),"")</f>
        <v>AI750382</v>
      </c>
      <c r="G124" s="56"/>
      <c r="H124" s="22">
        <f>IFERROR(INDEX(BASE!$P$6:$P$1740,MATCH(ROWS($A$113:$A124),BASE!$Q$6:$Q$1740,0)),"")</f>
        <v>2</v>
      </c>
      <c r="I124" s="56" t="str">
        <f>IFERROR(INDEX(BASE!$R$6:$R$1740,MATCH(ROWS($A$113:$A124),BASE!$Q$6:$Q$1740,0)),"")</f>
        <v>VRAI DOUBLON</v>
      </c>
      <c r="J124" s="56"/>
      <c r="K124" s="56"/>
      <c r="L124" s="56"/>
    </row>
    <row r="125" spans="1:12">
      <c r="A125" s="22" t="str">
        <f>IFERROR(INDEX(BASE!$B$6:$B$1740,MATCH(ROWS($A$113:$A125),BASE!$Q$6:$Q$1740,0)),"")</f>
        <v>AI</v>
      </c>
      <c r="B125" s="56" t="str">
        <f>IFERROR(INDEX(BASE!$A$6:$A$1740,MATCH(ROWS($A$113:$A125),BASE!$Q$6:$Q$1740,0)),"")</f>
        <v>13/09/2026</v>
      </c>
      <c r="C125" s="56"/>
      <c r="D125" s="56" t="str">
        <f>IFERROR(INDEX(BASE!$C$6:$C$1740,MATCH(ROWS($A$113:$A125),BASE!$Q$6:$Q$1740,0)),"")</f>
        <v>AI142</v>
      </c>
      <c r="E125" s="56"/>
      <c r="F125" s="56" t="str">
        <f>IFERROR(INDEX(BASE!$E$6:$E$1740,MATCH(ROWS($A$113:$A125),BASE!$Q$6:$Q$1740,0)),"")</f>
        <v>AI750396</v>
      </c>
      <c r="G125" s="56"/>
      <c r="H125" s="22">
        <f>IFERROR(INDEX(BASE!$P$6:$P$1740,MATCH(ROWS($A$113:$A125),BASE!$Q$6:$Q$1740,0)),"")</f>
        <v>2</v>
      </c>
      <c r="I125" s="56" t="str">
        <f>IFERROR(INDEX(BASE!$R$6:$R$1740,MATCH(ROWS($A$113:$A125),BASE!$Q$6:$Q$1740,0)),"")</f>
        <v>VRAI DOUBLON</v>
      </c>
      <c r="J125" s="56"/>
      <c r="K125" s="56"/>
      <c r="L125" s="56"/>
    </row>
    <row r="126" spans="1:12">
      <c r="A126" s="22" t="str">
        <f>IFERROR(INDEX(BASE!$B$6:$B$1740,MATCH(ROWS($A$113:$A126),BASE!$Q$6:$Q$1740,0)),"")</f>
        <v>JU</v>
      </c>
      <c r="B126" s="56" t="str">
        <f>IFERROR(INDEX(BASE!$A$6:$A$1740,MATCH(ROWS($A$113:$A126),BASE!$Q$6:$Q$1740,0)),"")</f>
        <v>14/09/2026</v>
      </c>
      <c r="C126" s="56"/>
      <c r="D126" s="56" t="str">
        <f>IFERROR(INDEX(BASE!$C$6:$C$1740,MATCH(ROWS($A$113:$A126),BASE!$Q$6:$Q$1740,0)),"")</f>
        <v>JU241</v>
      </c>
      <c r="E126" s="56"/>
      <c r="F126" s="56" t="str">
        <f>IFERROR(INDEX(BASE!$E$6:$E$1740,MATCH(ROWS($A$113:$A126),BASE!$Q$6:$Q$1740,0)),"")</f>
        <v>AA147482</v>
      </c>
      <c r="G126" s="56"/>
      <c r="H126" s="22">
        <f>IFERROR(INDEX(BASE!$P$6:$P$1740,MATCH(ROWS($A$113:$A126),BASE!$Q$6:$Q$1740,0)),"")</f>
        <v>2</v>
      </c>
      <c r="I126" s="56" t="str">
        <f>IFERROR(INDEX(BASE!$R$6:$R$1740,MATCH(ROWS($A$113:$A126),BASE!$Q$6:$Q$1740,0)),"")</f>
        <v>VRAI DOUBLON</v>
      </c>
      <c r="J126" s="56"/>
      <c r="K126" s="56"/>
      <c r="L126" s="56"/>
    </row>
    <row r="127" spans="1:12">
      <c r="A127" s="22" t="str">
        <f>IFERROR(INDEX(BASE!$B$6:$B$1740,MATCH(ROWS($A$113:$A127),BASE!$Q$6:$Q$1740,0)),"")</f>
        <v>JU</v>
      </c>
      <c r="B127" s="56" t="str">
        <f>IFERROR(INDEX(BASE!$A$6:$A$1740,MATCH(ROWS($A$113:$A127),BASE!$Q$6:$Q$1740,0)),"")</f>
        <v>19/09/2026</v>
      </c>
      <c r="C127" s="56"/>
      <c r="D127" s="56" t="str">
        <f>IFERROR(INDEX(BASE!$C$6:$C$1740,MATCH(ROWS($A$113:$A127),BASE!$Q$6:$Q$1740,0)),"")</f>
        <v>JU243</v>
      </c>
      <c r="E127" s="56"/>
      <c r="F127" s="56" t="str">
        <f>IFERROR(INDEX(BASE!$E$6:$E$1740,MATCH(ROWS($A$113:$A127),BASE!$Q$6:$Q$1740,0)),"")</f>
        <v>AF614708</v>
      </c>
      <c r="G127" s="56"/>
      <c r="H127" s="22">
        <f>IFERROR(INDEX(BASE!$P$6:$P$1740,MATCH(ROWS($A$113:$A127),BASE!$Q$6:$Q$1740,0)),"")</f>
        <v>2</v>
      </c>
      <c r="I127" s="56" t="str">
        <f>IFERROR(INDEX(BASE!$R$6:$R$1740,MATCH(ROWS($A$113:$A127),BASE!$Q$6:$Q$1740,0)),"")</f>
        <v>VRAI DOUBLON</v>
      </c>
      <c r="J127" s="56"/>
      <c r="K127" s="56"/>
      <c r="L127" s="56"/>
    </row>
    <row r="128" spans="1:12">
      <c r="A128" s="22" t="str">
        <f>IFERROR(INDEX(BASE!$B$6:$B$1740,MATCH(ROWS($A$113:$A128),BASE!$Q$6:$Q$1740,0)),"")</f>
        <v>AT</v>
      </c>
      <c r="B128" s="56" t="str">
        <f>IFERROR(INDEX(BASE!$A$6:$A$1740,MATCH(ROWS($A$113:$A128),BASE!$Q$6:$Q$1740,0)),"")</f>
        <v>24/09/2026</v>
      </c>
      <c r="C128" s="56"/>
      <c r="D128" s="56" t="str">
        <f>IFERROR(INDEX(BASE!$C$6:$C$1740,MATCH(ROWS($A$113:$A128),BASE!$Q$6:$Q$1740,0)),"")</f>
        <v>AT779</v>
      </c>
      <c r="E128" s="56"/>
      <c r="F128" s="56" t="str">
        <f>IFERROR(INDEX(BASE!$E$6:$E$1740,MATCH(ROWS($A$113:$A128),BASE!$Q$6:$Q$1740,0)),"")</f>
        <v>AT854529</v>
      </c>
      <c r="G128" s="56"/>
      <c r="H128" s="22">
        <f>IFERROR(INDEX(BASE!$P$6:$P$1740,MATCH(ROWS($A$113:$A128),BASE!$Q$6:$Q$1740,0)),"")</f>
        <v>2</v>
      </c>
      <c r="I128" s="56" t="str">
        <f>IFERROR(INDEX(BASE!$R$6:$R$1740,MATCH(ROWS($A$113:$A128),BASE!$Q$6:$Q$1740,0)),"")</f>
        <v>LÉGITIME</v>
      </c>
      <c r="J128" s="56"/>
      <c r="K128" s="56"/>
      <c r="L128" s="56"/>
    </row>
    <row r="129" spans="1:12">
      <c r="A129" s="22" t="str">
        <f>IFERROR(INDEX(BASE!$B$6:$B$1740,MATCH(ROWS($A$113:$A129),BASE!$Q$6:$Q$1740,0)),"")</f>
        <v>AT</v>
      </c>
      <c r="B129" s="56" t="str">
        <f>IFERROR(INDEX(BASE!$A$6:$A$1740,MATCH(ROWS($A$113:$A129),BASE!$Q$6:$Q$1740,0)),"")</f>
        <v>24/09/2026</v>
      </c>
      <c r="C129" s="56"/>
      <c r="D129" s="56" t="str">
        <f>IFERROR(INDEX(BASE!$C$6:$C$1740,MATCH(ROWS($A$113:$A129),BASE!$Q$6:$Q$1740,0)),"")</f>
        <v>AT779</v>
      </c>
      <c r="E129" s="56"/>
      <c r="F129" s="56" t="str">
        <f>IFERROR(INDEX(BASE!$E$6:$E$1740,MATCH(ROWS($A$113:$A129),BASE!$Q$6:$Q$1740,0)),"")</f>
        <v>AT854530</v>
      </c>
      <c r="G129" s="56"/>
      <c r="H129" s="22">
        <f>IFERROR(INDEX(BASE!$P$6:$P$1740,MATCH(ROWS($A$113:$A129),BASE!$Q$6:$Q$1740,0)),"")</f>
        <v>2</v>
      </c>
      <c r="I129" s="56" t="str">
        <f>IFERROR(INDEX(BASE!$R$6:$R$1740,MATCH(ROWS($A$113:$A129),BASE!$Q$6:$Q$1740,0)),"")</f>
        <v>LÉGITIME</v>
      </c>
      <c r="J129" s="56"/>
      <c r="K129" s="56"/>
      <c r="L129" s="56"/>
    </row>
    <row r="130" spans="1:12">
      <c r="A130" s="22" t="str">
        <f>IFERROR(INDEX(BASE!$B$6:$B$1740,MATCH(ROWS($A$113:$A130),BASE!$Q$6:$Q$1740,0)),"")</f>
        <v>AT</v>
      </c>
      <c r="B130" s="56" t="str">
        <f>IFERROR(INDEX(BASE!$A$6:$A$1740,MATCH(ROWS($A$113:$A130),BASE!$Q$6:$Q$1740,0)),"")</f>
        <v>24/09/2026</v>
      </c>
      <c r="C130" s="56"/>
      <c r="D130" s="56" t="str">
        <f>IFERROR(INDEX(BASE!$C$6:$C$1740,MATCH(ROWS($A$113:$A130),BASE!$Q$6:$Q$1740,0)),"")</f>
        <v>AT779</v>
      </c>
      <c r="E130" s="56"/>
      <c r="F130" s="56" t="str">
        <f>IFERROR(INDEX(BASE!$E$6:$E$1740,MATCH(ROWS($A$113:$A130),BASE!$Q$6:$Q$1740,0)),"")</f>
        <v>AT854821</v>
      </c>
      <c r="G130" s="56"/>
      <c r="H130" s="22">
        <f>IFERROR(INDEX(BASE!$P$6:$P$1740,MATCH(ROWS($A$113:$A130),BASE!$Q$6:$Q$1740,0)),"")</f>
        <v>2</v>
      </c>
      <c r="I130" s="56" t="str">
        <f>IFERROR(INDEX(BASE!$R$6:$R$1740,MATCH(ROWS($A$113:$A130),BASE!$Q$6:$Q$1740,0)),"")</f>
        <v>LÉGITIME</v>
      </c>
      <c r="J130" s="56"/>
      <c r="K130" s="56"/>
      <c r="L130" s="56"/>
    </row>
    <row r="131" spans="1:12">
      <c r="A131" s="22" t="str">
        <f>IFERROR(INDEX(BASE!$B$6:$B$1740,MATCH(ROWS($A$113:$A131),BASE!$Q$6:$Q$1740,0)),"")</f>
        <v>AT</v>
      </c>
      <c r="B131" s="56" t="str">
        <f>IFERROR(INDEX(BASE!$A$6:$A$1740,MATCH(ROWS($A$113:$A131),BASE!$Q$6:$Q$1740,0)),"")</f>
        <v>24/09/2026</v>
      </c>
      <c r="C131" s="56"/>
      <c r="D131" s="56" t="str">
        <f>IFERROR(INDEX(BASE!$C$6:$C$1740,MATCH(ROWS($A$113:$A131),BASE!$Q$6:$Q$1740,0)),"")</f>
        <v>AT779</v>
      </c>
      <c r="E131" s="56"/>
      <c r="F131" s="56" t="str">
        <f>IFERROR(INDEX(BASE!$E$6:$E$1740,MATCH(ROWS($A$113:$A131),BASE!$Q$6:$Q$1740,0)),"")</f>
        <v>AT854822</v>
      </c>
      <c r="G131" s="56"/>
      <c r="H131" s="22">
        <f>IFERROR(INDEX(BASE!$P$6:$P$1740,MATCH(ROWS($A$113:$A131),BASE!$Q$6:$Q$1740,0)),"")</f>
        <v>2</v>
      </c>
      <c r="I131" s="56" t="str">
        <f>IFERROR(INDEX(BASE!$R$6:$R$1740,MATCH(ROWS($A$113:$A131),BASE!$Q$6:$Q$1740,0)),"")</f>
        <v>LÉGITIME</v>
      </c>
      <c r="J131" s="56"/>
      <c r="K131" s="56"/>
      <c r="L131" s="56"/>
    </row>
    <row r="132" spans="1:12">
      <c r="A132" s="22" t="str">
        <f>IFERROR(INDEX(BASE!$B$6:$B$1740,MATCH(ROWS($A$113:$A132),BASE!$Q$6:$Q$1740,0)),"")</f>
        <v>AT</v>
      </c>
      <c r="B132" s="56" t="str">
        <f>IFERROR(INDEX(BASE!$A$6:$A$1740,MATCH(ROWS($A$113:$A132),BASE!$Q$6:$Q$1740,0)),"")</f>
        <v>24/09/2026</v>
      </c>
      <c r="C132" s="56"/>
      <c r="D132" s="56" t="str">
        <f>IFERROR(INDEX(BASE!$C$6:$C$1740,MATCH(ROWS($A$113:$A132),BASE!$Q$6:$Q$1740,0)),"")</f>
        <v>AT779</v>
      </c>
      <c r="E132" s="56"/>
      <c r="F132" s="56" t="str">
        <f>IFERROR(INDEX(BASE!$E$6:$E$1740,MATCH(ROWS($A$113:$A132),BASE!$Q$6:$Q$1740,0)),"")</f>
        <v>AT854824</v>
      </c>
      <c r="G132" s="56"/>
      <c r="H132" s="22">
        <f>IFERROR(INDEX(BASE!$P$6:$P$1740,MATCH(ROWS($A$113:$A132),BASE!$Q$6:$Q$1740,0)),"")</f>
        <v>2</v>
      </c>
      <c r="I132" s="56" t="str">
        <f>IFERROR(INDEX(BASE!$R$6:$R$1740,MATCH(ROWS($A$113:$A132),BASE!$Q$6:$Q$1740,0)),"")</f>
        <v>LÉGITIME</v>
      </c>
      <c r="J132" s="56"/>
      <c r="K132" s="56"/>
      <c r="L132" s="56"/>
    </row>
    <row r="133" spans="1:12">
      <c r="A133" s="22" t="str">
        <f>IFERROR(INDEX(BASE!$B$6:$B$1740,MATCH(ROWS($A$113:$A133),BASE!$Q$6:$Q$1740,0)),"")</f>
        <v>AT</v>
      </c>
      <c r="B133" s="56" t="str">
        <f>IFERROR(INDEX(BASE!$A$6:$A$1740,MATCH(ROWS($A$113:$A133),BASE!$Q$6:$Q$1740,0)),"")</f>
        <v>24/09/2026</v>
      </c>
      <c r="C133" s="56"/>
      <c r="D133" s="56" t="str">
        <f>IFERROR(INDEX(BASE!$C$6:$C$1740,MATCH(ROWS($A$113:$A133),BASE!$Q$6:$Q$1740,0)),"")</f>
        <v>AT779</v>
      </c>
      <c r="E133" s="56"/>
      <c r="F133" s="56" t="str">
        <f>IFERROR(INDEX(BASE!$E$6:$E$1740,MATCH(ROWS($A$113:$A133),BASE!$Q$6:$Q$1740,0)),"")</f>
        <v>AT854825</v>
      </c>
      <c r="G133" s="56"/>
      <c r="H133" s="22">
        <f>IFERROR(INDEX(BASE!$P$6:$P$1740,MATCH(ROWS($A$113:$A133),BASE!$Q$6:$Q$1740,0)),"")</f>
        <v>2</v>
      </c>
      <c r="I133" s="56" t="str">
        <f>IFERROR(INDEX(BASE!$R$6:$R$1740,MATCH(ROWS($A$113:$A133),BASE!$Q$6:$Q$1740,0)),"")</f>
        <v>LÉGITIME</v>
      </c>
      <c r="J133" s="56"/>
      <c r="K133" s="56"/>
      <c r="L133" s="56"/>
    </row>
    <row r="134" spans="1:12">
      <c r="A134" s="22" t="str">
        <f>IFERROR(INDEX(BASE!$B$6:$B$1740,MATCH(ROWS($A$113:$A134),BASE!$Q$6:$Q$1740,0)),"")</f>
        <v>AT</v>
      </c>
      <c r="B134" s="56" t="str">
        <f>IFERROR(INDEX(BASE!$A$6:$A$1740,MATCH(ROWS($A$113:$A134),BASE!$Q$6:$Q$1740,0)),"")</f>
        <v>24/09/2026</v>
      </c>
      <c r="C134" s="56"/>
      <c r="D134" s="56" t="str">
        <f>IFERROR(INDEX(BASE!$C$6:$C$1740,MATCH(ROWS($A$113:$A134),BASE!$Q$6:$Q$1740,0)),"")</f>
        <v>AT779</v>
      </c>
      <c r="E134" s="56"/>
      <c r="F134" s="56" t="str">
        <f>IFERROR(INDEX(BASE!$E$6:$E$1740,MATCH(ROWS($A$113:$A134),BASE!$Q$6:$Q$1740,0)),"")</f>
        <v>AT856536</v>
      </c>
      <c r="G134" s="56"/>
      <c r="H134" s="22">
        <f>IFERROR(INDEX(BASE!$P$6:$P$1740,MATCH(ROWS($A$113:$A134),BASE!$Q$6:$Q$1740,0)),"")</f>
        <v>2</v>
      </c>
      <c r="I134" s="56" t="str">
        <f>IFERROR(INDEX(BASE!$R$6:$R$1740,MATCH(ROWS($A$113:$A134),BASE!$Q$6:$Q$1740,0)),"")</f>
        <v>LÉGITIME</v>
      </c>
      <c r="J134" s="56"/>
      <c r="K134" s="56"/>
      <c r="L134" s="56"/>
    </row>
    <row r="135" spans="1:12">
      <c r="A135" s="22" t="str">
        <f>IFERROR(INDEX(BASE!$B$6:$B$1740,MATCH(ROWS($A$113:$A135),BASE!$Q$6:$Q$1740,0)),"")</f>
        <v>AT</v>
      </c>
      <c r="B135" s="56" t="str">
        <f>IFERROR(INDEX(BASE!$A$6:$A$1740,MATCH(ROWS($A$113:$A135),BASE!$Q$6:$Q$1740,0)),"")</f>
        <v>24/09/2026</v>
      </c>
      <c r="C135" s="56"/>
      <c r="D135" s="56" t="str">
        <f>IFERROR(INDEX(BASE!$C$6:$C$1740,MATCH(ROWS($A$113:$A135),BASE!$Q$6:$Q$1740,0)),"")</f>
        <v>AT779</v>
      </c>
      <c r="E135" s="56"/>
      <c r="F135" s="56" t="str">
        <f>IFERROR(INDEX(BASE!$E$6:$E$1740,MATCH(ROWS($A$113:$A135),BASE!$Q$6:$Q$1740,0)),"")</f>
        <v>AT856655</v>
      </c>
      <c r="G135" s="56"/>
      <c r="H135" s="22">
        <f>IFERROR(INDEX(BASE!$P$6:$P$1740,MATCH(ROWS($A$113:$A135),BASE!$Q$6:$Q$1740,0)),"")</f>
        <v>2</v>
      </c>
      <c r="I135" s="56" t="str">
        <f>IFERROR(INDEX(BASE!$R$6:$R$1740,MATCH(ROWS($A$113:$A135),BASE!$Q$6:$Q$1740,0)),"")</f>
        <v>LÉGITIME</v>
      </c>
      <c r="J135" s="56"/>
      <c r="K135" s="56"/>
      <c r="L135" s="56"/>
    </row>
    <row r="136" spans="1:12">
      <c r="A136" s="22" t="str">
        <f>IFERROR(INDEX(BASE!$B$6:$B$1740,MATCH(ROWS($A$113:$A136),BASE!$Q$6:$Q$1740,0)),"")</f>
        <v>AT</v>
      </c>
      <c r="B136" s="56" t="str">
        <f>IFERROR(INDEX(BASE!$A$6:$A$1740,MATCH(ROWS($A$113:$A136),BASE!$Q$6:$Q$1740,0)),"")</f>
        <v>24/09/2026</v>
      </c>
      <c r="C136" s="56"/>
      <c r="D136" s="56" t="str">
        <f>IFERROR(INDEX(BASE!$C$6:$C$1740,MATCH(ROWS($A$113:$A136),BASE!$Q$6:$Q$1740,0)),"")</f>
        <v>AT779</v>
      </c>
      <c r="E136" s="56"/>
      <c r="F136" s="56" t="str">
        <f>IFERROR(INDEX(BASE!$E$6:$E$1740,MATCH(ROWS($A$113:$A136),BASE!$Q$6:$Q$1740,0)),"")</f>
        <v>AT857321</v>
      </c>
      <c r="G136" s="56"/>
      <c r="H136" s="22">
        <f>IFERROR(INDEX(BASE!$P$6:$P$1740,MATCH(ROWS($A$113:$A136),BASE!$Q$6:$Q$1740,0)),"")</f>
        <v>2</v>
      </c>
      <c r="I136" s="56" t="str">
        <f>IFERROR(INDEX(BASE!$R$6:$R$1740,MATCH(ROWS($A$113:$A136),BASE!$Q$6:$Q$1740,0)),"")</f>
        <v>LÉGITIME</v>
      </c>
      <c r="J136" s="56"/>
      <c r="K136" s="56"/>
      <c r="L136" s="56"/>
    </row>
    <row r="137" spans="1:12">
      <c r="A137" s="22" t="str">
        <f>IFERROR(INDEX(BASE!$B$6:$B$1740,MATCH(ROWS($A$113:$A137),BASE!$Q$6:$Q$1740,0)),"")</f>
        <v>AT</v>
      </c>
      <c r="B137" s="56" t="str">
        <f>IFERROR(INDEX(BASE!$A$6:$A$1740,MATCH(ROWS($A$113:$A137),BASE!$Q$6:$Q$1740,0)),"")</f>
        <v>24/09/2026</v>
      </c>
      <c r="C137" s="56"/>
      <c r="D137" s="56" t="str">
        <f>IFERROR(INDEX(BASE!$C$6:$C$1740,MATCH(ROWS($A$113:$A137),BASE!$Q$6:$Q$1740,0)),"")</f>
        <v>AT779</v>
      </c>
      <c r="E137" s="56"/>
      <c r="F137" s="56" t="str">
        <f>IFERROR(INDEX(BASE!$E$6:$E$1740,MATCH(ROWS($A$113:$A137),BASE!$Q$6:$Q$1740,0)),"")</f>
        <v>AT857472</v>
      </c>
      <c r="G137" s="56"/>
      <c r="H137" s="22">
        <f>IFERROR(INDEX(BASE!$P$6:$P$1740,MATCH(ROWS($A$113:$A137),BASE!$Q$6:$Q$1740,0)),"")</f>
        <v>2</v>
      </c>
      <c r="I137" s="56" t="str">
        <f>IFERROR(INDEX(BASE!$R$6:$R$1740,MATCH(ROWS($A$113:$A137),BASE!$Q$6:$Q$1740,0)),"")</f>
        <v>LÉGITIME</v>
      </c>
      <c r="J137" s="56"/>
      <c r="K137" s="56"/>
      <c r="L137" s="56"/>
    </row>
    <row r="138" spans="1:12">
      <c r="A138" s="22" t="str">
        <f>IFERROR(INDEX(BASE!$B$6:$B$1740,MATCH(ROWS($A$113:$A138),BASE!$Q$6:$Q$1740,0)),"")</f>
        <v>AT</v>
      </c>
      <c r="B138" s="56" t="str">
        <f>IFERROR(INDEX(BASE!$A$6:$A$1740,MATCH(ROWS($A$113:$A138),BASE!$Q$6:$Q$1740,0)),"")</f>
        <v>24/09/2026</v>
      </c>
      <c r="C138" s="56"/>
      <c r="D138" s="56" t="str">
        <f>IFERROR(INDEX(BASE!$C$6:$C$1740,MATCH(ROWS($A$113:$A138),BASE!$Q$6:$Q$1740,0)),"")</f>
        <v>AT779</v>
      </c>
      <c r="E138" s="56"/>
      <c r="F138" s="56" t="str">
        <f>IFERROR(INDEX(BASE!$E$6:$E$1740,MATCH(ROWS($A$113:$A138),BASE!$Q$6:$Q$1740,0)),"")</f>
        <v>AT857481</v>
      </c>
      <c r="G138" s="56"/>
      <c r="H138" s="22">
        <f>IFERROR(INDEX(BASE!$P$6:$P$1740,MATCH(ROWS($A$113:$A138),BASE!$Q$6:$Q$1740,0)),"")</f>
        <v>2</v>
      </c>
      <c r="I138" s="56" t="str">
        <f>IFERROR(INDEX(BASE!$R$6:$R$1740,MATCH(ROWS($A$113:$A138),BASE!$Q$6:$Q$1740,0)),"")</f>
        <v>LÉGITIME</v>
      </c>
      <c r="J138" s="56"/>
      <c r="K138" s="56"/>
      <c r="L138" s="56"/>
    </row>
    <row r="139" spans="1:12">
      <c r="A139" s="22" t="str">
        <f>IFERROR(INDEX(BASE!$B$6:$B$1740,MATCH(ROWS($A$113:$A139),BASE!$Q$6:$Q$1740,0)),"")</f>
        <v/>
      </c>
      <c r="B139" s="56" t="str">
        <f>IFERROR(INDEX(BASE!$A$6:$A$1740,MATCH(ROWS($A$113:$A139),BASE!$Q$6:$Q$1740,0)),"")</f>
        <v/>
      </c>
      <c r="C139" s="56"/>
      <c r="D139" s="56" t="str">
        <f>IFERROR(INDEX(BASE!$C$6:$C$1740,MATCH(ROWS($A$113:$A139),BASE!$Q$6:$Q$1740,0)),"")</f>
        <v/>
      </c>
      <c r="E139" s="56"/>
      <c r="F139" s="56" t="str">
        <f>IFERROR(INDEX(BASE!$E$6:$E$1740,MATCH(ROWS($A$113:$A139),BASE!$Q$6:$Q$1740,0)),"")</f>
        <v/>
      </c>
      <c r="G139" s="56"/>
      <c r="H139" s="22" t="str">
        <f>IFERROR(INDEX(BASE!$P$6:$P$1740,MATCH(ROWS($A$113:$A139),BASE!$Q$6:$Q$1740,0)),"")</f>
        <v/>
      </c>
      <c r="I139" s="56" t="str">
        <f>IFERROR(INDEX(BASE!$R$6:$R$1740,MATCH(ROWS($A$113:$A139),BASE!$Q$6:$Q$1740,0)),"")</f>
        <v/>
      </c>
      <c r="J139" s="56"/>
      <c r="K139" s="56"/>
      <c r="L139" s="56"/>
    </row>
    <row r="140" spans="1:12">
      <c r="A140" s="22" t="str">
        <f>IFERROR(INDEX(BASE!$B$6:$B$1740,MATCH(ROWS($A$113:$A140),BASE!$Q$6:$Q$1740,0)),"")</f>
        <v/>
      </c>
      <c r="B140" s="56" t="str">
        <f>IFERROR(INDEX(BASE!$A$6:$A$1740,MATCH(ROWS($A$113:$A140),BASE!$Q$6:$Q$1740,0)),"")</f>
        <v/>
      </c>
      <c r="C140" s="56"/>
      <c r="D140" s="56" t="str">
        <f>IFERROR(INDEX(BASE!$C$6:$C$1740,MATCH(ROWS($A$113:$A140),BASE!$Q$6:$Q$1740,0)),"")</f>
        <v/>
      </c>
      <c r="E140" s="56"/>
      <c r="F140" s="56" t="str">
        <f>IFERROR(INDEX(BASE!$E$6:$E$1740,MATCH(ROWS($A$113:$A140),BASE!$Q$6:$Q$1740,0)),"")</f>
        <v/>
      </c>
      <c r="G140" s="56"/>
      <c r="H140" s="22" t="str">
        <f>IFERROR(INDEX(BASE!$P$6:$P$1740,MATCH(ROWS($A$113:$A140),BASE!$Q$6:$Q$1740,0)),"")</f>
        <v/>
      </c>
      <c r="I140" s="56" t="str">
        <f>IFERROR(INDEX(BASE!$R$6:$R$1740,MATCH(ROWS($A$113:$A140),BASE!$Q$6:$Q$1740,0)),"")</f>
        <v/>
      </c>
      <c r="J140" s="56"/>
      <c r="K140" s="56"/>
      <c r="L140" s="56"/>
    </row>
    <row r="141" spans="1:12">
      <c r="A141" s="22" t="str">
        <f>IFERROR(INDEX(BASE!$B$6:$B$1740,MATCH(ROWS($A$113:$A141),BASE!$Q$6:$Q$1740,0)),"")</f>
        <v/>
      </c>
      <c r="B141" s="56" t="str">
        <f>IFERROR(INDEX(BASE!$A$6:$A$1740,MATCH(ROWS($A$113:$A141),BASE!$Q$6:$Q$1740,0)),"")</f>
        <v/>
      </c>
      <c r="C141" s="56"/>
      <c r="D141" s="56" t="str">
        <f>IFERROR(INDEX(BASE!$C$6:$C$1740,MATCH(ROWS($A$113:$A141),BASE!$Q$6:$Q$1740,0)),"")</f>
        <v/>
      </c>
      <c r="E141" s="56"/>
      <c r="F141" s="56" t="str">
        <f>IFERROR(INDEX(BASE!$E$6:$E$1740,MATCH(ROWS($A$113:$A141),BASE!$Q$6:$Q$1740,0)),"")</f>
        <v/>
      </c>
      <c r="G141" s="56"/>
      <c r="H141" s="22" t="str">
        <f>IFERROR(INDEX(BASE!$P$6:$P$1740,MATCH(ROWS($A$113:$A141),BASE!$Q$6:$Q$1740,0)),"")</f>
        <v/>
      </c>
      <c r="I141" s="56" t="str">
        <f>IFERROR(INDEX(BASE!$R$6:$R$1740,MATCH(ROWS($A$113:$A141),BASE!$Q$6:$Q$1740,0)),"")</f>
        <v/>
      </c>
      <c r="J141" s="56"/>
      <c r="K141" s="56"/>
      <c r="L141" s="56"/>
    </row>
    <row r="142" spans="1:12">
      <c r="A142" s="22" t="str">
        <f>IFERROR(INDEX(BASE!$B$6:$B$1740,MATCH(ROWS($A$113:$A142),BASE!$Q$6:$Q$1740,0)),"")</f>
        <v/>
      </c>
      <c r="B142" s="56" t="str">
        <f>IFERROR(INDEX(BASE!$A$6:$A$1740,MATCH(ROWS($A$113:$A142),BASE!$Q$6:$Q$1740,0)),"")</f>
        <v/>
      </c>
      <c r="C142" s="56"/>
      <c r="D142" s="56" t="str">
        <f>IFERROR(INDEX(BASE!$C$6:$C$1740,MATCH(ROWS($A$113:$A142),BASE!$Q$6:$Q$1740,0)),"")</f>
        <v/>
      </c>
      <c r="E142" s="56"/>
      <c r="F142" s="56" t="str">
        <f>IFERROR(INDEX(BASE!$E$6:$E$1740,MATCH(ROWS($A$113:$A142),BASE!$Q$6:$Q$1740,0)),"")</f>
        <v/>
      </c>
      <c r="G142" s="56"/>
      <c r="H142" s="22" t="str">
        <f>IFERROR(INDEX(BASE!$P$6:$P$1740,MATCH(ROWS($A$113:$A142),BASE!$Q$6:$Q$1740,0)),"")</f>
        <v/>
      </c>
      <c r="I142" s="56" t="str">
        <f>IFERROR(INDEX(BASE!$R$6:$R$1740,MATCH(ROWS($A$113:$A142),BASE!$Q$6:$Q$1740,0)),"")</f>
        <v/>
      </c>
      <c r="J142" s="56"/>
      <c r="K142" s="56"/>
      <c r="L142" s="56"/>
    </row>
    <row r="143" spans="1:12">
      <c r="A143" s="22" t="str">
        <f>IFERROR(INDEX(BASE!$B$6:$B$1740,MATCH(ROWS($A$113:$A143),BASE!$Q$6:$Q$1740,0)),"")</f>
        <v/>
      </c>
      <c r="B143" s="56" t="str">
        <f>IFERROR(INDEX(BASE!$A$6:$A$1740,MATCH(ROWS($A$113:$A143),BASE!$Q$6:$Q$1740,0)),"")</f>
        <v/>
      </c>
      <c r="C143" s="56"/>
      <c r="D143" s="56" t="str">
        <f>IFERROR(INDEX(BASE!$C$6:$C$1740,MATCH(ROWS($A$113:$A143),BASE!$Q$6:$Q$1740,0)),"")</f>
        <v/>
      </c>
      <c r="E143" s="56"/>
      <c r="F143" s="56" t="str">
        <f>IFERROR(INDEX(BASE!$E$6:$E$1740,MATCH(ROWS($A$113:$A143),BASE!$Q$6:$Q$1740,0)),"")</f>
        <v/>
      </c>
      <c r="G143" s="56"/>
      <c r="H143" s="22" t="str">
        <f>IFERROR(INDEX(BASE!$P$6:$P$1740,MATCH(ROWS($A$113:$A143),BASE!$Q$6:$Q$1740,0)),"")</f>
        <v/>
      </c>
      <c r="I143" s="56" t="str">
        <f>IFERROR(INDEX(BASE!$R$6:$R$1740,MATCH(ROWS($A$113:$A143),BASE!$Q$6:$Q$1740,0)),"")</f>
        <v/>
      </c>
      <c r="J143" s="56"/>
      <c r="K143" s="56"/>
      <c r="L143" s="56"/>
    </row>
    <row r="144" spans="1:12">
      <c r="A144" s="22" t="str">
        <f>IFERROR(INDEX(BASE!$B$6:$B$1740,MATCH(ROWS($A$113:$A144),BASE!$Q$6:$Q$1740,0)),"")</f>
        <v/>
      </c>
      <c r="B144" s="56" t="str">
        <f>IFERROR(INDEX(BASE!$A$6:$A$1740,MATCH(ROWS($A$113:$A144),BASE!$Q$6:$Q$1740,0)),"")</f>
        <v/>
      </c>
      <c r="C144" s="56"/>
      <c r="D144" s="56" t="str">
        <f>IFERROR(INDEX(BASE!$C$6:$C$1740,MATCH(ROWS($A$113:$A144),BASE!$Q$6:$Q$1740,0)),"")</f>
        <v/>
      </c>
      <c r="E144" s="56"/>
      <c r="F144" s="56" t="str">
        <f>IFERROR(INDEX(BASE!$E$6:$E$1740,MATCH(ROWS($A$113:$A144),BASE!$Q$6:$Q$1740,0)),"")</f>
        <v/>
      </c>
      <c r="G144" s="56"/>
      <c r="H144" s="22" t="str">
        <f>IFERROR(INDEX(BASE!$P$6:$P$1740,MATCH(ROWS($A$113:$A144),BASE!$Q$6:$Q$1740,0)),"")</f>
        <v/>
      </c>
      <c r="I144" s="56" t="str">
        <f>IFERROR(INDEX(BASE!$R$6:$R$1740,MATCH(ROWS($A$113:$A144),BASE!$Q$6:$Q$1740,0)),"")</f>
        <v/>
      </c>
      <c r="J144" s="56"/>
      <c r="K144" s="56"/>
      <c r="L144" s="56"/>
    </row>
    <row r="145" spans="1:12">
      <c r="A145" s="22" t="str">
        <f>IFERROR(INDEX(BASE!$B$6:$B$1740,MATCH(ROWS($A$113:$A145),BASE!$Q$6:$Q$1740,0)),"")</f>
        <v/>
      </c>
      <c r="B145" s="56" t="str">
        <f>IFERROR(INDEX(BASE!$A$6:$A$1740,MATCH(ROWS($A$113:$A145),BASE!$Q$6:$Q$1740,0)),"")</f>
        <v/>
      </c>
      <c r="C145" s="56"/>
      <c r="D145" s="56" t="str">
        <f>IFERROR(INDEX(BASE!$C$6:$C$1740,MATCH(ROWS($A$113:$A145),BASE!$Q$6:$Q$1740,0)),"")</f>
        <v/>
      </c>
      <c r="E145" s="56"/>
      <c r="F145" s="56" t="str">
        <f>IFERROR(INDEX(BASE!$E$6:$E$1740,MATCH(ROWS($A$113:$A145),BASE!$Q$6:$Q$1740,0)),"")</f>
        <v/>
      </c>
      <c r="G145" s="56"/>
      <c r="H145" s="22" t="str">
        <f>IFERROR(INDEX(BASE!$P$6:$P$1740,MATCH(ROWS($A$113:$A145),BASE!$Q$6:$Q$1740,0)),"")</f>
        <v/>
      </c>
      <c r="I145" s="56" t="str">
        <f>IFERROR(INDEX(BASE!$R$6:$R$1740,MATCH(ROWS($A$113:$A145),BASE!$Q$6:$Q$1740,0)),"")</f>
        <v/>
      </c>
      <c r="J145" s="56"/>
      <c r="K145" s="56"/>
      <c r="L145" s="56"/>
    </row>
    <row r="146" spans="1:12">
      <c r="A146" s="22" t="str">
        <f>IFERROR(INDEX(BASE!$B$6:$B$1740,MATCH(ROWS($A$113:$A146),BASE!$Q$6:$Q$1740,0)),"")</f>
        <v/>
      </c>
      <c r="B146" s="56" t="str">
        <f>IFERROR(INDEX(BASE!$A$6:$A$1740,MATCH(ROWS($A$113:$A146),BASE!$Q$6:$Q$1740,0)),"")</f>
        <v/>
      </c>
      <c r="C146" s="56"/>
      <c r="D146" s="56" t="str">
        <f>IFERROR(INDEX(BASE!$C$6:$C$1740,MATCH(ROWS($A$113:$A146),BASE!$Q$6:$Q$1740,0)),"")</f>
        <v/>
      </c>
      <c r="E146" s="56"/>
      <c r="F146" s="56" t="str">
        <f>IFERROR(INDEX(BASE!$E$6:$E$1740,MATCH(ROWS($A$113:$A146),BASE!$Q$6:$Q$1740,0)),"")</f>
        <v/>
      </c>
      <c r="G146" s="56"/>
      <c r="H146" s="22" t="str">
        <f>IFERROR(INDEX(BASE!$P$6:$P$1740,MATCH(ROWS($A$113:$A146),BASE!$Q$6:$Q$1740,0)),"")</f>
        <v/>
      </c>
      <c r="I146" s="56" t="str">
        <f>IFERROR(INDEX(BASE!$R$6:$R$1740,MATCH(ROWS($A$113:$A146),BASE!$Q$6:$Q$1740,0)),"")</f>
        <v/>
      </c>
      <c r="J146" s="56"/>
      <c r="K146" s="56"/>
      <c r="L146" s="56"/>
    </row>
    <row r="147" spans="1:12">
      <c r="A147" s="22" t="str">
        <f>IFERROR(INDEX(BASE!$B$6:$B$1740,MATCH(ROWS($A$113:$A147),BASE!$Q$6:$Q$1740,0)),"")</f>
        <v/>
      </c>
      <c r="B147" s="56" t="str">
        <f>IFERROR(INDEX(BASE!$A$6:$A$1740,MATCH(ROWS($A$113:$A147),BASE!$Q$6:$Q$1740,0)),"")</f>
        <v/>
      </c>
      <c r="C147" s="56"/>
      <c r="D147" s="56" t="str">
        <f>IFERROR(INDEX(BASE!$C$6:$C$1740,MATCH(ROWS($A$113:$A147),BASE!$Q$6:$Q$1740,0)),"")</f>
        <v/>
      </c>
      <c r="E147" s="56"/>
      <c r="F147" s="56" t="str">
        <f>IFERROR(INDEX(BASE!$E$6:$E$1740,MATCH(ROWS($A$113:$A147),BASE!$Q$6:$Q$1740,0)),"")</f>
        <v/>
      </c>
      <c r="G147" s="56"/>
      <c r="H147" s="22" t="str">
        <f>IFERROR(INDEX(BASE!$P$6:$P$1740,MATCH(ROWS($A$113:$A147),BASE!$Q$6:$Q$1740,0)),"")</f>
        <v/>
      </c>
      <c r="I147" s="56" t="str">
        <f>IFERROR(INDEX(BASE!$R$6:$R$1740,MATCH(ROWS($A$113:$A147),BASE!$Q$6:$Q$1740,0)),"")</f>
        <v/>
      </c>
      <c r="J147" s="56"/>
      <c r="K147" s="56"/>
      <c r="L147" s="56"/>
    </row>
    <row r="148" spans="1:12">
      <c r="A148" s="22" t="str">
        <f>IFERROR(INDEX(BASE!$B$6:$B$1740,MATCH(ROWS($A$113:$A148),BASE!$Q$6:$Q$1740,0)),"")</f>
        <v/>
      </c>
      <c r="B148" s="56" t="str">
        <f>IFERROR(INDEX(BASE!$A$6:$A$1740,MATCH(ROWS($A$113:$A148),BASE!$Q$6:$Q$1740,0)),"")</f>
        <v/>
      </c>
      <c r="C148" s="56"/>
      <c r="D148" s="56" t="str">
        <f>IFERROR(INDEX(BASE!$C$6:$C$1740,MATCH(ROWS($A$113:$A148),BASE!$Q$6:$Q$1740,0)),"")</f>
        <v/>
      </c>
      <c r="E148" s="56"/>
      <c r="F148" s="56" t="str">
        <f>IFERROR(INDEX(BASE!$E$6:$E$1740,MATCH(ROWS($A$113:$A148),BASE!$Q$6:$Q$1740,0)),"")</f>
        <v/>
      </c>
      <c r="G148" s="56"/>
      <c r="H148" s="22" t="str">
        <f>IFERROR(INDEX(BASE!$P$6:$P$1740,MATCH(ROWS($A$113:$A148),BASE!$Q$6:$Q$1740,0)),"")</f>
        <v/>
      </c>
      <c r="I148" s="56" t="str">
        <f>IFERROR(INDEX(BASE!$R$6:$R$1740,MATCH(ROWS($A$113:$A148),BASE!$Q$6:$Q$1740,0)),"")</f>
        <v/>
      </c>
      <c r="J148" s="56"/>
      <c r="K148" s="56"/>
      <c r="L148" s="56"/>
    </row>
    <row r="149" spans="1:12">
      <c r="A149" s="22" t="str">
        <f>IFERROR(INDEX(BASE!$B$6:$B$1740,MATCH(ROWS($A$113:$A149),BASE!$Q$6:$Q$1740,0)),"")</f>
        <v/>
      </c>
      <c r="B149" s="56" t="str">
        <f>IFERROR(INDEX(BASE!$A$6:$A$1740,MATCH(ROWS($A$113:$A149),BASE!$Q$6:$Q$1740,0)),"")</f>
        <v/>
      </c>
      <c r="C149" s="56"/>
      <c r="D149" s="56" t="str">
        <f>IFERROR(INDEX(BASE!$C$6:$C$1740,MATCH(ROWS($A$113:$A149),BASE!$Q$6:$Q$1740,0)),"")</f>
        <v/>
      </c>
      <c r="E149" s="56"/>
      <c r="F149" s="56" t="str">
        <f>IFERROR(INDEX(BASE!$E$6:$E$1740,MATCH(ROWS($A$113:$A149),BASE!$Q$6:$Q$1740,0)),"")</f>
        <v/>
      </c>
      <c r="G149" s="56"/>
      <c r="H149" s="22" t="str">
        <f>IFERROR(INDEX(BASE!$P$6:$P$1740,MATCH(ROWS($A$113:$A149),BASE!$Q$6:$Q$1740,0)),"")</f>
        <v/>
      </c>
      <c r="I149" s="56" t="str">
        <f>IFERROR(INDEX(BASE!$R$6:$R$1740,MATCH(ROWS($A$113:$A149),BASE!$Q$6:$Q$1740,0)),"")</f>
        <v/>
      </c>
      <c r="J149" s="56"/>
      <c r="K149" s="56"/>
      <c r="L149" s="56"/>
    </row>
    <row r="150" spans="1:12">
      <c r="A150" s="22" t="str">
        <f>IFERROR(INDEX(BASE!$B$6:$B$1740,MATCH(ROWS($A$113:$A150),BASE!$Q$6:$Q$1740,0)),"")</f>
        <v/>
      </c>
      <c r="B150" s="56" t="str">
        <f>IFERROR(INDEX(BASE!$A$6:$A$1740,MATCH(ROWS($A$113:$A150),BASE!$Q$6:$Q$1740,0)),"")</f>
        <v/>
      </c>
      <c r="C150" s="56"/>
      <c r="D150" s="56" t="str">
        <f>IFERROR(INDEX(BASE!$C$6:$C$1740,MATCH(ROWS($A$113:$A150),BASE!$Q$6:$Q$1740,0)),"")</f>
        <v/>
      </c>
      <c r="E150" s="56"/>
      <c r="F150" s="56" t="str">
        <f>IFERROR(INDEX(BASE!$E$6:$E$1740,MATCH(ROWS($A$113:$A150),BASE!$Q$6:$Q$1740,0)),"")</f>
        <v/>
      </c>
      <c r="G150" s="56"/>
      <c r="H150" s="22" t="str">
        <f>IFERROR(INDEX(BASE!$P$6:$P$1740,MATCH(ROWS($A$113:$A150),BASE!$Q$6:$Q$1740,0)),"")</f>
        <v/>
      </c>
      <c r="I150" s="56" t="str">
        <f>IFERROR(INDEX(BASE!$R$6:$R$1740,MATCH(ROWS($A$113:$A150),BASE!$Q$6:$Q$1740,0)),"")</f>
        <v/>
      </c>
      <c r="J150" s="56"/>
      <c r="K150" s="56"/>
      <c r="L150" s="56"/>
    </row>
  </sheetData>
  <mergeCells count="188">
    <mergeCell ref="B150:C150"/>
    <mergeCell ref="D150:E150"/>
    <mergeCell ref="F150:G150"/>
    <mergeCell ref="I150:L150"/>
    <mergeCell ref="B147:C147"/>
    <mergeCell ref="D147:E147"/>
    <mergeCell ref="F147:G147"/>
    <mergeCell ref="I147:L147"/>
    <mergeCell ref="B148:C148"/>
    <mergeCell ref="D148:E148"/>
    <mergeCell ref="F148:G148"/>
    <mergeCell ref="I148:L148"/>
    <mergeCell ref="B149:C149"/>
    <mergeCell ref="D149:E149"/>
    <mergeCell ref="F149:G149"/>
    <mergeCell ref="I149:L149"/>
    <mergeCell ref="B144:C144"/>
    <mergeCell ref="D144:E144"/>
    <mergeCell ref="F144:G144"/>
    <mergeCell ref="I144:L144"/>
    <mergeCell ref="B145:C145"/>
    <mergeCell ref="D145:E145"/>
    <mergeCell ref="F145:G145"/>
    <mergeCell ref="I145:L145"/>
    <mergeCell ref="B146:C146"/>
    <mergeCell ref="D146:E146"/>
    <mergeCell ref="F146:G146"/>
    <mergeCell ref="I146:L146"/>
    <mergeCell ref="B141:C141"/>
    <mergeCell ref="D141:E141"/>
    <mergeCell ref="F141:G141"/>
    <mergeCell ref="I141:L141"/>
    <mergeCell ref="B142:C142"/>
    <mergeCell ref="D142:E142"/>
    <mergeCell ref="F142:G142"/>
    <mergeCell ref="I142:L142"/>
    <mergeCell ref="B143:C143"/>
    <mergeCell ref="D143:E143"/>
    <mergeCell ref="F143:G143"/>
    <mergeCell ref="I143:L143"/>
    <mergeCell ref="B138:C138"/>
    <mergeCell ref="D138:E138"/>
    <mergeCell ref="F138:G138"/>
    <mergeCell ref="I138:L138"/>
    <mergeCell ref="B139:C139"/>
    <mergeCell ref="D139:E139"/>
    <mergeCell ref="F139:G139"/>
    <mergeCell ref="I139:L139"/>
    <mergeCell ref="B140:C140"/>
    <mergeCell ref="D140:E140"/>
    <mergeCell ref="F140:G140"/>
    <mergeCell ref="I140:L140"/>
    <mergeCell ref="B135:C135"/>
    <mergeCell ref="D135:E135"/>
    <mergeCell ref="F135:G135"/>
    <mergeCell ref="I135:L135"/>
    <mergeCell ref="B136:C136"/>
    <mergeCell ref="D136:E136"/>
    <mergeCell ref="F136:G136"/>
    <mergeCell ref="I136:L136"/>
    <mergeCell ref="B137:C137"/>
    <mergeCell ref="D137:E137"/>
    <mergeCell ref="F137:G137"/>
    <mergeCell ref="I137:L137"/>
    <mergeCell ref="B132:C132"/>
    <mergeCell ref="D132:E132"/>
    <mergeCell ref="F132:G132"/>
    <mergeCell ref="I132:L132"/>
    <mergeCell ref="B133:C133"/>
    <mergeCell ref="D133:E133"/>
    <mergeCell ref="F133:G133"/>
    <mergeCell ref="I133:L133"/>
    <mergeCell ref="B134:C134"/>
    <mergeCell ref="D134:E134"/>
    <mergeCell ref="F134:G134"/>
    <mergeCell ref="I134:L134"/>
    <mergeCell ref="B129:C129"/>
    <mergeCell ref="D129:E129"/>
    <mergeCell ref="F129:G129"/>
    <mergeCell ref="I129:L129"/>
    <mergeCell ref="B130:C130"/>
    <mergeCell ref="D130:E130"/>
    <mergeCell ref="F130:G130"/>
    <mergeCell ref="I130:L130"/>
    <mergeCell ref="B131:C131"/>
    <mergeCell ref="D131:E131"/>
    <mergeCell ref="F131:G131"/>
    <mergeCell ref="I131:L131"/>
    <mergeCell ref="B126:C126"/>
    <mergeCell ref="D126:E126"/>
    <mergeCell ref="F126:G126"/>
    <mergeCell ref="I126:L126"/>
    <mergeCell ref="B127:C127"/>
    <mergeCell ref="D127:E127"/>
    <mergeCell ref="F127:G127"/>
    <mergeCell ref="I127:L127"/>
    <mergeCell ref="B128:C128"/>
    <mergeCell ref="D128:E128"/>
    <mergeCell ref="F128:G128"/>
    <mergeCell ref="I128:L128"/>
    <mergeCell ref="B123:C123"/>
    <mergeCell ref="D123:E123"/>
    <mergeCell ref="F123:G123"/>
    <mergeCell ref="I123:L123"/>
    <mergeCell ref="B124:C124"/>
    <mergeCell ref="D124:E124"/>
    <mergeCell ref="F124:G124"/>
    <mergeCell ref="I124:L124"/>
    <mergeCell ref="B125:C125"/>
    <mergeCell ref="D125:E125"/>
    <mergeCell ref="F125:G125"/>
    <mergeCell ref="I125:L125"/>
    <mergeCell ref="B120:C120"/>
    <mergeCell ref="D120:E120"/>
    <mergeCell ref="F120:G120"/>
    <mergeCell ref="I120:L120"/>
    <mergeCell ref="B121:C121"/>
    <mergeCell ref="D121:E121"/>
    <mergeCell ref="F121:G121"/>
    <mergeCell ref="I121:L121"/>
    <mergeCell ref="B122:C122"/>
    <mergeCell ref="D122:E122"/>
    <mergeCell ref="F122:G122"/>
    <mergeCell ref="I122:L122"/>
    <mergeCell ref="B117:C117"/>
    <mergeCell ref="D117:E117"/>
    <mergeCell ref="F117:G117"/>
    <mergeCell ref="I117:L117"/>
    <mergeCell ref="B118:C118"/>
    <mergeCell ref="D118:E118"/>
    <mergeCell ref="F118:G118"/>
    <mergeCell ref="I118:L118"/>
    <mergeCell ref="B119:C119"/>
    <mergeCell ref="D119:E119"/>
    <mergeCell ref="F119:G119"/>
    <mergeCell ref="I119:L119"/>
    <mergeCell ref="B114:C114"/>
    <mergeCell ref="D114:E114"/>
    <mergeCell ref="F114:G114"/>
    <mergeCell ref="I114:L114"/>
    <mergeCell ref="B115:C115"/>
    <mergeCell ref="D115:E115"/>
    <mergeCell ref="F115:G115"/>
    <mergeCell ref="I115:L115"/>
    <mergeCell ref="B116:C116"/>
    <mergeCell ref="D116:E116"/>
    <mergeCell ref="F116:G116"/>
    <mergeCell ref="I116:L116"/>
    <mergeCell ref="A110:R110"/>
    <mergeCell ref="A111:R111"/>
    <mergeCell ref="B112:C112"/>
    <mergeCell ref="D112:E112"/>
    <mergeCell ref="F112:G112"/>
    <mergeCell ref="I112:L112"/>
    <mergeCell ref="B113:C113"/>
    <mergeCell ref="D113:E113"/>
    <mergeCell ref="F113:G113"/>
    <mergeCell ref="I113:L113"/>
    <mergeCell ref="M9:O9"/>
    <mergeCell ref="P5:R5"/>
    <mergeCell ref="P6:R6"/>
    <mergeCell ref="P8:R8"/>
    <mergeCell ref="P9:R9"/>
    <mergeCell ref="A1:U2"/>
    <mergeCell ref="A3:U3"/>
    <mergeCell ref="S5:U5"/>
    <mergeCell ref="S6:U6"/>
    <mergeCell ref="S8:U8"/>
    <mergeCell ref="S9:U9"/>
    <mergeCell ref="A9:C9"/>
    <mergeCell ref="D5:F5"/>
    <mergeCell ref="D6:F6"/>
    <mergeCell ref="D8:F8"/>
    <mergeCell ref="D9:F9"/>
    <mergeCell ref="G9:I9"/>
    <mergeCell ref="J5:L5"/>
    <mergeCell ref="J6:L6"/>
    <mergeCell ref="J8:L8"/>
    <mergeCell ref="J9:L9"/>
    <mergeCell ref="A5:C5"/>
    <mergeCell ref="A6:C6"/>
    <mergeCell ref="A8:C8"/>
    <mergeCell ref="G5:I5"/>
    <mergeCell ref="G6:I6"/>
    <mergeCell ref="G8:I8"/>
    <mergeCell ref="M5:O5"/>
    <mergeCell ref="M6:O6"/>
    <mergeCell ref="M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0"/>
  <sheetViews>
    <sheetView workbookViewId="0">
      <pane ySplit="5" topLeftCell="A57" activePane="bottomLeft" state="frozen"/>
      <selection pane="bottomLeft" sqref="A1:N2"/>
    </sheetView>
  </sheetViews>
  <sheetFormatPr baseColWidth="10" defaultColWidth="8.796875" defaultRowHeight="13.8"/>
  <cols>
    <col min="1" max="1" width="14" customWidth="1"/>
    <col min="2" max="2" width="9" customWidth="1"/>
    <col min="3" max="3" width="13" customWidth="1"/>
    <col min="4" max="4" width="14" customWidth="1"/>
    <col min="5" max="6" width="16" customWidth="1"/>
    <col min="7" max="7" width="14" customWidth="1"/>
    <col min="8" max="8" width="15" customWidth="1"/>
    <col min="9" max="11" width="32" customWidth="1"/>
    <col min="12" max="12" width="72" customWidth="1"/>
    <col min="13" max="13" width="17" customWidth="1"/>
    <col min="14" max="14" width="55" customWidth="1"/>
  </cols>
  <sheetData>
    <row r="1" spans="1:14" ht="27" customHeight="1">
      <c r="A1" s="49" t="s">
        <v>40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4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>
      <c r="A4" s="57" t="s">
        <v>41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14" ht="31.95" customHeight="1">
      <c r="A5" s="1" t="s">
        <v>42</v>
      </c>
      <c r="B5" s="1" t="s">
        <v>16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35</v>
      </c>
      <c r="N5" s="1" t="s">
        <v>53</v>
      </c>
    </row>
    <row r="6" spans="1:14" ht="64.05" customHeight="1">
      <c r="A6" s="20" t="s">
        <v>54</v>
      </c>
      <c r="B6" s="20" t="s">
        <v>20</v>
      </c>
      <c r="C6" s="20" t="s">
        <v>55</v>
      </c>
      <c r="D6" s="20" t="s">
        <v>56</v>
      </c>
      <c r="E6" s="20" t="s">
        <v>57</v>
      </c>
      <c r="F6" s="20">
        <v>1</v>
      </c>
      <c r="G6" s="20" t="s">
        <v>58</v>
      </c>
      <c r="H6" s="20" t="s">
        <v>59</v>
      </c>
      <c r="I6" s="21" t="s">
        <v>60</v>
      </c>
      <c r="J6" s="21"/>
      <c r="K6" s="21"/>
      <c r="L6" s="21" t="s">
        <v>61</v>
      </c>
      <c r="M6" s="21" t="s">
        <v>62</v>
      </c>
      <c r="N6" s="21" t="s">
        <v>63</v>
      </c>
    </row>
    <row r="7" spans="1:14" ht="64.05" customHeight="1">
      <c r="A7" s="20" t="s">
        <v>54</v>
      </c>
      <c r="B7" s="20" t="s">
        <v>20</v>
      </c>
      <c r="C7" s="20" t="s">
        <v>55</v>
      </c>
      <c r="D7" s="20" t="s">
        <v>56</v>
      </c>
      <c r="E7" s="20" t="s">
        <v>64</v>
      </c>
      <c r="F7" s="20">
        <v>1</v>
      </c>
      <c r="G7" s="20" t="s">
        <v>58</v>
      </c>
      <c r="H7" s="20" t="s">
        <v>59</v>
      </c>
      <c r="I7" s="21" t="s">
        <v>60</v>
      </c>
      <c r="J7" s="21"/>
      <c r="K7" s="21"/>
      <c r="L7" s="21" t="s">
        <v>61</v>
      </c>
      <c r="M7" s="21" t="s">
        <v>62</v>
      </c>
      <c r="N7" s="21" t="s">
        <v>63</v>
      </c>
    </row>
    <row r="8" spans="1:14" ht="64.05" customHeight="1">
      <c r="A8" s="20" t="s">
        <v>54</v>
      </c>
      <c r="B8" s="20" t="s">
        <v>20</v>
      </c>
      <c r="C8" s="20" t="s">
        <v>65</v>
      </c>
      <c r="D8" s="20" t="s">
        <v>66</v>
      </c>
      <c r="E8" s="20" t="s">
        <v>67</v>
      </c>
      <c r="F8" s="20">
        <v>1</v>
      </c>
      <c r="G8" s="20" t="s">
        <v>68</v>
      </c>
      <c r="H8" s="20" t="s">
        <v>69</v>
      </c>
      <c r="I8" s="21" t="s">
        <v>70</v>
      </c>
      <c r="J8" s="21"/>
      <c r="K8" s="21" t="s">
        <v>71</v>
      </c>
      <c r="L8" s="21" t="s">
        <v>72</v>
      </c>
      <c r="M8" s="21" t="s">
        <v>73</v>
      </c>
      <c r="N8" s="21"/>
    </row>
    <row r="9" spans="1:14" ht="64.05" customHeight="1">
      <c r="A9" s="20" t="s">
        <v>54</v>
      </c>
      <c r="B9" s="20" t="s">
        <v>20</v>
      </c>
      <c r="C9" s="20" t="s">
        <v>65</v>
      </c>
      <c r="D9" s="20" t="s">
        <v>66</v>
      </c>
      <c r="E9" s="20" t="s">
        <v>74</v>
      </c>
      <c r="F9" s="20">
        <v>1</v>
      </c>
      <c r="G9" s="20" t="s">
        <v>75</v>
      </c>
      <c r="H9" s="20" t="s">
        <v>76</v>
      </c>
      <c r="I9" s="21" t="s">
        <v>77</v>
      </c>
      <c r="J9" s="21"/>
      <c r="K9" s="21" t="s">
        <v>78</v>
      </c>
      <c r="L9" s="21" t="s">
        <v>79</v>
      </c>
      <c r="M9" s="21" t="s">
        <v>73</v>
      </c>
      <c r="N9" s="21"/>
    </row>
    <row r="10" spans="1:14" ht="64.05" customHeight="1">
      <c r="A10" s="20" t="s">
        <v>54</v>
      </c>
      <c r="B10" s="20" t="s">
        <v>20</v>
      </c>
      <c r="C10" s="20" t="s">
        <v>65</v>
      </c>
      <c r="D10" s="20" t="s">
        <v>66</v>
      </c>
      <c r="E10" s="20" t="s">
        <v>80</v>
      </c>
      <c r="F10" s="20">
        <v>1</v>
      </c>
      <c r="G10" s="20" t="s">
        <v>75</v>
      </c>
      <c r="H10" s="20" t="s">
        <v>76</v>
      </c>
      <c r="I10" s="21" t="s">
        <v>81</v>
      </c>
      <c r="J10" s="21"/>
      <c r="K10" s="21" t="s">
        <v>78</v>
      </c>
      <c r="L10" s="21" t="s">
        <v>79</v>
      </c>
      <c r="M10" s="21" t="s">
        <v>73</v>
      </c>
      <c r="N10" s="21"/>
    </row>
    <row r="11" spans="1:14" ht="64.05" customHeight="1">
      <c r="A11" s="20" t="s">
        <v>54</v>
      </c>
      <c r="B11" s="20" t="s">
        <v>20</v>
      </c>
      <c r="C11" s="20" t="s">
        <v>65</v>
      </c>
      <c r="D11" s="20" t="s">
        <v>66</v>
      </c>
      <c r="E11" s="20" t="s">
        <v>82</v>
      </c>
      <c r="F11" s="20">
        <v>1</v>
      </c>
      <c r="G11" s="20" t="s">
        <v>83</v>
      </c>
      <c r="H11" s="20" t="s">
        <v>84</v>
      </c>
      <c r="I11" s="21" t="s">
        <v>85</v>
      </c>
      <c r="J11" s="21"/>
      <c r="K11" s="21" t="s">
        <v>86</v>
      </c>
      <c r="L11" s="21" t="s">
        <v>87</v>
      </c>
      <c r="M11" s="21" t="s">
        <v>73</v>
      </c>
      <c r="N11" s="21"/>
    </row>
    <row r="12" spans="1:14" ht="64.05" customHeight="1">
      <c r="A12" s="20" t="s">
        <v>54</v>
      </c>
      <c r="B12" s="20" t="s">
        <v>20</v>
      </c>
      <c r="C12" s="20" t="s">
        <v>65</v>
      </c>
      <c r="D12" s="20" t="s">
        <v>66</v>
      </c>
      <c r="E12" s="20" t="s">
        <v>88</v>
      </c>
      <c r="F12" s="20">
        <v>1</v>
      </c>
      <c r="G12" s="20" t="s">
        <v>83</v>
      </c>
      <c r="H12" s="20" t="s">
        <v>84</v>
      </c>
      <c r="I12" s="21" t="s">
        <v>77</v>
      </c>
      <c r="J12" s="21"/>
      <c r="K12" s="21" t="s">
        <v>78</v>
      </c>
      <c r="L12" s="21" t="s">
        <v>79</v>
      </c>
      <c r="M12" s="21" t="s">
        <v>73</v>
      </c>
      <c r="N12" s="21"/>
    </row>
    <row r="13" spans="1:14" ht="64.05" customHeight="1">
      <c r="A13" s="20" t="s">
        <v>54</v>
      </c>
      <c r="B13" s="20" t="s">
        <v>22</v>
      </c>
      <c r="C13" s="20" t="s">
        <v>89</v>
      </c>
      <c r="D13" s="20" t="s">
        <v>90</v>
      </c>
      <c r="E13" s="20" t="s">
        <v>91</v>
      </c>
      <c r="F13" s="20">
        <v>1</v>
      </c>
      <c r="G13" s="20" t="s">
        <v>92</v>
      </c>
      <c r="H13" s="20"/>
      <c r="I13" s="21" t="s">
        <v>93</v>
      </c>
      <c r="J13" s="21"/>
      <c r="K13" s="21" t="s">
        <v>94</v>
      </c>
      <c r="L13" s="21" t="s">
        <v>95</v>
      </c>
      <c r="M13" s="21" t="s">
        <v>73</v>
      </c>
      <c r="N13" s="21"/>
    </row>
    <row r="14" spans="1:14" ht="64.05" customHeight="1">
      <c r="A14" s="20" t="s">
        <v>54</v>
      </c>
      <c r="B14" s="20" t="s">
        <v>22</v>
      </c>
      <c r="C14" s="20" t="s">
        <v>89</v>
      </c>
      <c r="D14" s="20" t="s">
        <v>90</v>
      </c>
      <c r="E14" s="20" t="s">
        <v>96</v>
      </c>
      <c r="F14" s="20">
        <v>1</v>
      </c>
      <c r="G14" s="20" t="s">
        <v>92</v>
      </c>
      <c r="H14" s="20"/>
      <c r="I14" s="21" t="s">
        <v>93</v>
      </c>
      <c r="J14" s="21"/>
      <c r="K14" s="21" t="s">
        <v>94</v>
      </c>
      <c r="L14" s="21" t="s">
        <v>95</v>
      </c>
      <c r="M14" s="21" t="s">
        <v>73</v>
      </c>
      <c r="N14" s="21"/>
    </row>
    <row r="15" spans="1:14" ht="64.05" customHeight="1">
      <c r="A15" s="20" t="s">
        <v>54</v>
      </c>
      <c r="B15" s="20" t="s">
        <v>22</v>
      </c>
      <c r="C15" s="20" t="s">
        <v>89</v>
      </c>
      <c r="D15" s="20" t="s">
        <v>90</v>
      </c>
      <c r="E15" s="20" t="s">
        <v>97</v>
      </c>
      <c r="F15" s="20">
        <v>1</v>
      </c>
      <c r="G15" s="20" t="s">
        <v>92</v>
      </c>
      <c r="H15" s="20"/>
      <c r="I15" s="21" t="s">
        <v>98</v>
      </c>
      <c r="J15" s="21" t="s">
        <v>99</v>
      </c>
      <c r="K15" s="21" t="s">
        <v>100</v>
      </c>
      <c r="L15" s="21" t="s">
        <v>101</v>
      </c>
      <c r="M15" s="21" t="s">
        <v>102</v>
      </c>
      <c r="N15" s="21"/>
    </row>
    <row r="16" spans="1:14" ht="64.05" customHeight="1">
      <c r="A16" s="20" t="s">
        <v>54</v>
      </c>
      <c r="B16" s="20" t="s">
        <v>23</v>
      </c>
      <c r="C16" s="20" t="s">
        <v>103</v>
      </c>
      <c r="D16" s="20" t="s">
        <v>104</v>
      </c>
      <c r="E16" s="20" t="s">
        <v>105</v>
      </c>
      <c r="F16" s="20">
        <v>1</v>
      </c>
      <c r="G16" s="20" t="s">
        <v>106</v>
      </c>
      <c r="H16" s="20" t="s">
        <v>107</v>
      </c>
      <c r="I16" s="21" t="s">
        <v>108</v>
      </c>
      <c r="J16" s="21"/>
      <c r="K16" s="21" t="s">
        <v>109</v>
      </c>
      <c r="L16" s="21" t="s">
        <v>110</v>
      </c>
      <c r="M16" s="21" t="s">
        <v>73</v>
      </c>
      <c r="N16" s="21"/>
    </row>
    <row r="17" spans="1:14" ht="64.05" customHeight="1">
      <c r="A17" s="20" t="s">
        <v>54</v>
      </c>
      <c r="B17" s="20" t="s">
        <v>23</v>
      </c>
      <c r="C17" s="20" t="s">
        <v>103</v>
      </c>
      <c r="D17" s="20" t="s">
        <v>104</v>
      </c>
      <c r="E17" s="20" t="s">
        <v>111</v>
      </c>
      <c r="F17" s="20">
        <v>1</v>
      </c>
      <c r="G17" s="20" t="s">
        <v>106</v>
      </c>
      <c r="H17" s="20" t="s">
        <v>107</v>
      </c>
      <c r="I17" s="21" t="s">
        <v>112</v>
      </c>
      <c r="J17" s="21"/>
      <c r="K17" s="21" t="s">
        <v>112</v>
      </c>
      <c r="L17" s="21" t="s">
        <v>113</v>
      </c>
      <c r="M17" s="21" t="s">
        <v>62</v>
      </c>
      <c r="N17" s="21" t="s">
        <v>114</v>
      </c>
    </row>
    <row r="18" spans="1:14" ht="64.05" customHeight="1">
      <c r="A18" s="20" t="s">
        <v>54</v>
      </c>
      <c r="B18" s="20" t="s">
        <v>25</v>
      </c>
      <c r="C18" s="20" t="s">
        <v>115</v>
      </c>
      <c r="D18" s="20" t="s">
        <v>116</v>
      </c>
      <c r="E18" s="20" t="s">
        <v>117</v>
      </c>
      <c r="F18" s="20">
        <v>1</v>
      </c>
      <c r="G18" s="20" t="s">
        <v>118</v>
      </c>
      <c r="H18" s="20"/>
      <c r="I18" s="21" t="s">
        <v>119</v>
      </c>
      <c r="J18" s="21"/>
      <c r="K18" s="21" t="s">
        <v>109</v>
      </c>
      <c r="L18" s="21" t="s">
        <v>120</v>
      </c>
      <c r="M18" s="21" t="s">
        <v>73</v>
      </c>
      <c r="N18" s="21"/>
    </row>
    <row r="19" spans="1:14" ht="64.05" customHeight="1">
      <c r="A19" s="20" t="s">
        <v>54</v>
      </c>
      <c r="B19" s="20" t="s">
        <v>25</v>
      </c>
      <c r="C19" s="20" t="s">
        <v>115</v>
      </c>
      <c r="D19" s="20" t="s">
        <v>116</v>
      </c>
      <c r="E19" s="20" t="s">
        <v>121</v>
      </c>
      <c r="F19" s="20">
        <v>1</v>
      </c>
      <c r="G19" s="20" t="s">
        <v>118</v>
      </c>
      <c r="H19" s="20"/>
      <c r="I19" s="21" t="s">
        <v>119</v>
      </c>
      <c r="J19" s="21"/>
      <c r="K19" s="21" t="s">
        <v>122</v>
      </c>
      <c r="L19" s="21" t="s">
        <v>123</v>
      </c>
      <c r="M19" s="21" t="s">
        <v>73</v>
      </c>
      <c r="N19" s="21"/>
    </row>
    <row r="20" spans="1:14" ht="64.05" customHeight="1">
      <c r="A20" s="20" t="s">
        <v>54</v>
      </c>
      <c r="B20" s="20" t="s">
        <v>25</v>
      </c>
      <c r="C20" s="20" t="s">
        <v>115</v>
      </c>
      <c r="D20" s="20" t="s">
        <v>116</v>
      </c>
      <c r="E20" s="20" t="s">
        <v>124</v>
      </c>
      <c r="F20" s="20">
        <v>1</v>
      </c>
      <c r="G20" s="20" t="s">
        <v>125</v>
      </c>
      <c r="H20" s="20" t="s">
        <v>126</v>
      </c>
      <c r="I20" s="21" t="s">
        <v>127</v>
      </c>
      <c r="J20" s="21"/>
      <c r="K20" s="21" t="s">
        <v>128</v>
      </c>
      <c r="L20" s="21" t="s">
        <v>129</v>
      </c>
      <c r="M20" s="21" t="s">
        <v>62</v>
      </c>
      <c r="N20" s="21" t="s">
        <v>130</v>
      </c>
    </row>
    <row r="21" spans="1:14" ht="64.05" customHeight="1">
      <c r="A21" s="20" t="s">
        <v>54</v>
      </c>
      <c r="B21" s="20" t="s">
        <v>25</v>
      </c>
      <c r="C21" s="20" t="s">
        <v>131</v>
      </c>
      <c r="D21" s="20" t="s">
        <v>132</v>
      </c>
      <c r="E21" s="20" t="s">
        <v>133</v>
      </c>
      <c r="F21" s="20">
        <v>1</v>
      </c>
      <c r="G21" s="20" t="s">
        <v>92</v>
      </c>
      <c r="H21" s="20"/>
      <c r="I21" s="21" t="s">
        <v>134</v>
      </c>
      <c r="J21" s="21"/>
      <c r="K21" s="21"/>
      <c r="L21" s="21" t="s">
        <v>135</v>
      </c>
      <c r="M21" s="21" t="s">
        <v>102</v>
      </c>
      <c r="N21" s="21"/>
    </row>
    <row r="22" spans="1:14" ht="64.05" customHeight="1">
      <c r="A22" s="20" t="s">
        <v>54</v>
      </c>
      <c r="B22" s="20" t="s">
        <v>24</v>
      </c>
      <c r="C22" s="20" t="s">
        <v>136</v>
      </c>
      <c r="D22" s="20" t="s">
        <v>137</v>
      </c>
      <c r="E22" s="20" t="s">
        <v>138</v>
      </c>
      <c r="F22" s="20">
        <v>1</v>
      </c>
      <c r="G22" s="20" t="s">
        <v>139</v>
      </c>
      <c r="H22" s="20"/>
      <c r="I22" s="21" t="s">
        <v>140</v>
      </c>
      <c r="J22" s="21"/>
      <c r="K22" s="21" t="s">
        <v>141</v>
      </c>
      <c r="L22" s="21" t="s">
        <v>142</v>
      </c>
      <c r="M22" s="21" t="s">
        <v>62</v>
      </c>
      <c r="N22" s="21" t="s">
        <v>63</v>
      </c>
    </row>
    <row r="23" spans="1:14" ht="64.05" customHeight="1">
      <c r="A23" s="20" t="s">
        <v>54</v>
      </c>
      <c r="B23" s="20" t="s">
        <v>24</v>
      </c>
      <c r="C23" s="20" t="s">
        <v>136</v>
      </c>
      <c r="D23" s="20" t="s">
        <v>137</v>
      </c>
      <c r="E23" s="20" t="s">
        <v>143</v>
      </c>
      <c r="F23" s="20">
        <v>1</v>
      </c>
      <c r="G23" s="20" t="s">
        <v>139</v>
      </c>
      <c r="H23" s="20"/>
      <c r="I23" s="21" t="s">
        <v>140</v>
      </c>
      <c r="J23" s="21"/>
      <c r="K23" s="21" t="s">
        <v>141</v>
      </c>
      <c r="L23" s="21" t="s">
        <v>142</v>
      </c>
      <c r="M23" s="21" t="s">
        <v>62</v>
      </c>
      <c r="N23" s="21" t="s">
        <v>63</v>
      </c>
    </row>
    <row r="24" spans="1:14" ht="64.05" customHeight="1">
      <c r="A24" s="20" t="s">
        <v>54</v>
      </c>
      <c r="B24" s="20" t="s">
        <v>24</v>
      </c>
      <c r="C24" s="20" t="s">
        <v>136</v>
      </c>
      <c r="D24" s="20" t="s">
        <v>137</v>
      </c>
      <c r="E24" s="20" t="s">
        <v>144</v>
      </c>
      <c r="F24" s="20">
        <v>1</v>
      </c>
      <c r="G24" s="20" t="s">
        <v>139</v>
      </c>
      <c r="H24" s="20"/>
      <c r="I24" s="21" t="s">
        <v>140</v>
      </c>
      <c r="J24" s="21"/>
      <c r="K24" s="21" t="s">
        <v>141</v>
      </c>
      <c r="L24" s="21" t="s">
        <v>142</v>
      </c>
      <c r="M24" s="21" t="s">
        <v>62</v>
      </c>
      <c r="N24" s="21" t="s">
        <v>63</v>
      </c>
    </row>
    <row r="25" spans="1:14" ht="64.05" customHeight="1">
      <c r="A25" s="20" t="s">
        <v>54</v>
      </c>
      <c r="B25" s="20" t="s">
        <v>24</v>
      </c>
      <c r="C25" s="20" t="s">
        <v>136</v>
      </c>
      <c r="D25" s="20" t="s">
        <v>137</v>
      </c>
      <c r="E25" s="20" t="s">
        <v>145</v>
      </c>
      <c r="F25" s="20">
        <v>1</v>
      </c>
      <c r="G25" s="20" t="s">
        <v>139</v>
      </c>
      <c r="H25" s="20"/>
      <c r="I25" s="21" t="s">
        <v>140</v>
      </c>
      <c r="J25" s="21"/>
      <c r="K25" s="21" t="s">
        <v>141</v>
      </c>
      <c r="L25" s="21" t="s">
        <v>142</v>
      </c>
      <c r="M25" s="21" t="s">
        <v>62</v>
      </c>
      <c r="N25" s="21" t="s">
        <v>63</v>
      </c>
    </row>
    <row r="26" spans="1:14" ht="64.05" customHeight="1">
      <c r="A26" s="20" t="s">
        <v>54</v>
      </c>
      <c r="B26" s="20" t="s">
        <v>28</v>
      </c>
      <c r="C26" s="20" t="s">
        <v>146</v>
      </c>
      <c r="D26" s="20" t="s">
        <v>147</v>
      </c>
      <c r="E26" s="20" t="s">
        <v>148</v>
      </c>
      <c r="F26" s="20">
        <v>1</v>
      </c>
      <c r="G26" s="20" t="s">
        <v>149</v>
      </c>
      <c r="H26" s="20" t="s">
        <v>150</v>
      </c>
      <c r="I26" s="21" t="s">
        <v>151</v>
      </c>
      <c r="J26" s="21"/>
      <c r="K26" s="21"/>
      <c r="L26" s="21" t="s">
        <v>152</v>
      </c>
      <c r="M26" s="21" t="s">
        <v>62</v>
      </c>
      <c r="N26" s="21" t="s">
        <v>114</v>
      </c>
    </row>
    <row r="27" spans="1:14" ht="64.05" customHeight="1">
      <c r="A27" s="20" t="s">
        <v>54</v>
      </c>
      <c r="B27" s="20" t="s">
        <v>28</v>
      </c>
      <c r="C27" s="20" t="s">
        <v>146</v>
      </c>
      <c r="D27" s="20" t="s">
        <v>147</v>
      </c>
      <c r="E27" s="20" t="s">
        <v>153</v>
      </c>
      <c r="F27" s="20">
        <v>1</v>
      </c>
      <c r="G27" s="20" t="s">
        <v>149</v>
      </c>
      <c r="H27" s="20" t="s">
        <v>150</v>
      </c>
      <c r="I27" s="21" t="s">
        <v>154</v>
      </c>
      <c r="J27" s="21"/>
      <c r="K27" s="21"/>
      <c r="L27" s="21" t="s">
        <v>155</v>
      </c>
      <c r="M27" s="21" t="s">
        <v>62</v>
      </c>
      <c r="N27" s="21" t="s">
        <v>63</v>
      </c>
    </row>
    <row r="28" spans="1:14" ht="64.05" customHeight="1">
      <c r="A28" s="20" t="s">
        <v>54</v>
      </c>
      <c r="B28" s="20" t="s">
        <v>28</v>
      </c>
      <c r="C28" s="20" t="s">
        <v>146</v>
      </c>
      <c r="D28" s="20" t="s">
        <v>147</v>
      </c>
      <c r="E28" s="20" t="s">
        <v>156</v>
      </c>
      <c r="F28" s="20">
        <v>1</v>
      </c>
      <c r="G28" s="20" t="s">
        <v>157</v>
      </c>
      <c r="H28" s="20"/>
      <c r="I28" s="21" t="s">
        <v>158</v>
      </c>
      <c r="J28" s="21"/>
      <c r="K28" s="21" t="s">
        <v>159</v>
      </c>
      <c r="L28" s="21" t="s">
        <v>160</v>
      </c>
      <c r="M28" s="21" t="s">
        <v>62</v>
      </c>
      <c r="N28" s="21" t="s">
        <v>161</v>
      </c>
    </row>
    <row r="29" spans="1:14" ht="64.05" customHeight="1">
      <c r="A29" s="20" t="s">
        <v>54</v>
      </c>
      <c r="B29" s="20" t="s">
        <v>28</v>
      </c>
      <c r="C29" s="20" t="s">
        <v>146</v>
      </c>
      <c r="D29" s="20" t="s">
        <v>147</v>
      </c>
      <c r="E29" s="20" t="s">
        <v>162</v>
      </c>
      <c r="F29" s="20">
        <v>1</v>
      </c>
      <c r="G29" s="20" t="s">
        <v>157</v>
      </c>
      <c r="H29" s="20" t="s">
        <v>163</v>
      </c>
      <c r="I29" s="21" t="s">
        <v>164</v>
      </c>
      <c r="J29" s="21"/>
      <c r="K29" s="21" t="s">
        <v>165</v>
      </c>
      <c r="L29" s="21" t="s">
        <v>166</v>
      </c>
      <c r="M29" s="21" t="s">
        <v>62</v>
      </c>
      <c r="N29" s="21" t="s">
        <v>114</v>
      </c>
    </row>
    <row r="30" spans="1:14" ht="64.05" customHeight="1">
      <c r="A30" s="20" t="s">
        <v>54</v>
      </c>
      <c r="B30" s="20" t="s">
        <v>28</v>
      </c>
      <c r="C30" s="20" t="s">
        <v>167</v>
      </c>
      <c r="D30" s="20" t="s">
        <v>168</v>
      </c>
      <c r="E30" s="20" t="s">
        <v>169</v>
      </c>
      <c r="F30" s="20">
        <v>1</v>
      </c>
      <c r="G30" s="20" t="s">
        <v>170</v>
      </c>
      <c r="H30" s="20" t="s">
        <v>171</v>
      </c>
      <c r="I30" s="21" t="s">
        <v>172</v>
      </c>
      <c r="J30" s="21"/>
      <c r="K30" s="21" t="s">
        <v>78</v>
      </c>
      <c r="L30" s="21" t="s">
        <v>173</v>
      </c>
      <c r="M30" s="21" t="s">
        <v>73</v>
      </c>
      <c r="N30" s="21"/>
    </row>
    <row r="31" spans="1:14" ht="64.05" customHeight="1">
      <c r="A31" s="20" t="s">
        <v>54</v>
      </c>
      <c r="B31" s="20" t="s">
        <v>28</v>
      </c>
      <c r="C31" s="20" t="s">
        <v>167</v>
      </c>
      <c r="D31" s="20" t="s">
        <v>168</v>
      </c>
      <c r="E31" s="20" t="s">
        <v>174</v>
      </c>
      <c r="F31" s="20">
        <v>1</v>
      </c>
      <c r="G31" s="20" t="s">
        <v>175</v>
      </c>
      <c r="H31" s="20" t="s">
        <v>176</v>
      </c>
      <c r="I31" s="21" t="s">
        <v>177</v>
      </c>
      <c r="J31" s="21"/>
      <c r="K31" s="21" t="s">
        <v>178</v>
      </c>
      <c r="L31" s="21" t="s">
        <v>179</v>
      </c>
      <c r="M31" s="21" t="s">
        <v>73</v>
      </c>
      <c r="N31" s="21"/>
    </row>
    <row r="32" spans="1:14" ht="64.05" customHeight="1">
      <c r="A32" s="20" t="s">
        <v>54</v>
      </c>
      <c r="B32" s="20" t="s">
        <v>30</v>
      </c>
      <c r="C32" s="20" t="s">
        <v>180</v>
      </c>
      <c r="D32" s="20" t="s">
        <v>181</v>
      </c>
      <c r="E32" s="20" t="s">
        <v>182</v>
      </c>
      <c r="F32" s="20">
        <v>1</v>
      </c>
      <c r="G32" s="20" t="s">
        <v>183</v>
      </c>
      <c r="H32" s="20"/>
      <c r="I32" s="21" t="s">
        <v>184</v>
      </c>
      <c r="J32" s="21"/>
      <c r="K32" s="21" t="s">
        <v>185</v>
      </c>
      <c r="L32" s="21" t="s">
        <v>186</v>
      </c>
      <c r="M32" s="21" t="s">
        <v>62</v>
      </c>
      <c r="N32" s="21" t="s">
        <v>187</v>
      </c>
    </row>
    <row r="33" spans="1:14" ht="64.05" customHeight="1">
      <c r="A33" s="20" t="s">
        <v>54</v>
      </c>
      <c r="B33" s="20" t="s">
        <v>30</v>
      </c>
      <c r="C33" s="20" t="s">
        <v>188</v>
      </c>
      <c r="D33" s="20" t="s">
        <v>189</v>
      </c>
      <c r="E33" s="20" t="s">
        <v>190</v>
      </c>
      <c r="F33" s="20">
        <v>1</v>
      </c>
      <c r="G33" s="20" t="s">
        <v>191</v>
      </c>
      <c r="H33" s="20" t="s">
        <v>192</v>
      </c>
      <c r="I33" s="21" t="s">
        <v>193</v>
      </c>
      <c r="J33" s="21"/>
      <c r="K33" s="21" t="s">
        <v>194</v>
      </c>
      <c r="L33" s="21" t="s">
        <v>195</v>
      </c>
      <c r="M33" s="21" t="s">
        <v>62</v>
      </c>
      <c r="N33" s="21" t="s">
        <v>63</v>
      </c>
    </row>
    <row r="34" spans="1:14" ht="64.05" customHeight="1">
      <c r="A34" s="20" t="s">
        <v>54</v>
      </c>
      <c r="B34" s="20" t="s">
        <v>26</v>
      </c>
      <c r="C34" s="20" t="s">
        <v>196</v>
      </c>
      <c r="D34" s="20" t="s">
        <v>197</v>
      </c>
      <c r="E34" s="20" t="s">
        <v>198</v>
      </c>
      <c r="F34" s="20">
        <v>1</v>
      </c>
      <c r="G34" s="20" t="s">
        <v>92</v>
      </c>
      <c r="H34" s="20"/>
      <c r="I34" s="21" t="s">
        <v>60</v>
      </c>
      <c r="J34" s="21"/>
      <c r="K34" s="21"/>
      <c r="L34" s="21" t="s">
        <v>199</v>
      </c>
      <c r="M34" s="21" t="s">
        <v>102</v>
      </c>
      <c r="N34" s="21"/>
    </row>
    <row r="35" spans="1:14" ht="64.05" customHeight="1">
      <c r="A35" s="20" t="s">
        <v>54</v>
      </c>
      <c r="B35" s="20" t="s">
        <v>32</v>
      </c>
      <c r="C35" s="20" t="s">
        <v>200</v>
      </c>
      <c r="D35" s="20" t="s">
        <v>201</v>
      </c>
      <c r="E35" s="20" t="s">
        <v>202</v>
      </c>
      <c r="F35" s="20">
        <v>1</v>
      </c>
      <c r="G35" s="20" t="s">
        <v>203</v>
      </c>
      <c r="H35" s="20" t="s">
        <v>204</v>
      </c>
      <c r="I35" s="21" t="s">
        <v>205</v>
      </c>
      <c r="J35" s="21"/>
      <c r="K35" s="21"/>
      <c r="L35" s="21" t="s">
        <v>206</v>
      </c>
      <c r="M35" s="21" t="s">
        <v>62</v>
      </c>
      <c r="N35" s="21" t="s">
        <v>161</v>
      </c>
    </row>
    <row r="36" spans="1:14" ht="64.05" customHeight="1">
      <c r="A36" s="20" t="s">
        <v>54</v>
      </c>
      <c r="B36" s="20" t="s">
        <v>21</v>
      </c>
      <c r="C36" s="20" t="s">
        <v>207</v>
      </c>
      <c r="D36" s="20" t="s">
        <v>208</v>
      </c>
      <c r="E36" s="20" t="s">
        <v>209</v>
      </c>
      <c r="F36" s="20">
        <v>1</v>
      </c>
      <c r="G36" s="20" t="s">
        <v>210</v>
      </c>
      <c r="H36" s="20" t="s">
        <v>211</v>
      </c>
      <c r="I36" s="21" t="s">
        <v>112</v>
      </c>
      <c r="J36" s="21"/>
      <c r="K36" s="21" t="s">
        <v>112</v>
      </c>
      <c r="L36" s="21" t="s">
        <v>212</v>
      </c>
      <c r="M36" s="21" t="s">
        <v>73</v>
      </c>
      <c r="N36" s="21"/>
    </row>
    <row r="37" spans="1:14" ht="64.05" customHeight="1">
      <c r="A37" s="20" t="s">
        <v>54</v>
      </c>
      <c r="B37" s="20" t="s">
        <v>21</v>
      </c>
      <c r="C37" s="20" t="s">
        <v>207</v>
      </c>
      <c r="D37" s="20" t="s">
        <v>208</v>
      </c>
      <c r="E37" s="20" t="s">
        <v>213</v>
      </c>
      <c r="F37" s="20">
        <v>1</v>
      </c>
      <c r="G37" s="20" t="s">
        <v>210</v>
      </c>
      <c r="H37" s="20"/>
      <c r="I37" s="21" t="s">
        <v>112</v>
      </c>
      <c r="J37" s="21"/>
      <c r="K37" s="21" t="s">
        <v>112</v>
      </c>
      <c r="L37" s="21" t="s">
        <v>214</v>
      </c>
      <c r="M37" s="21" t="s">
        <v>62</v>
      </c>
      <c r="N37" s="21" t="s">
        <v>63</v>
      </c>
    </row>
    <row r="38" spans="1:14" ht="64.05" customHeight="1">
      <c r="A38" s="20" t="s">
        <v>54</v>
      </c>
      <c r="B38" s="20" t="s">
        <v>21</v>
      </c>
      <c r="C38" s="20" t="s">
        <v>215</v>
      </c>
      <c r="D38" s="20" t="s">
        <v>216</v>
      </c>
      <c r="E38" s="20" t="s">
        <v>217</v>
      </c>
      <c r="F38" s="20">
        <v>1</v>
      </c>
      <c r="G38" s="20" t="s">
        <v>183</v>
      </c>
      <c r="H38" s="20"/>
      <c r="I38" s="21" t="s">
        <v>218</v>
      </c>
      <c r="J38" s="21"/>
      <c r="K38" s="21" t="s">
        <v>109</v>
      </c>
      <c r="L38" s="21" t="s">
        <v>219</v>
      </c>
      <c r="M38" s="21" t="s">
        <v>62</v>
      </c>
      <c r="N38" s="21" t="s">
        <v>114</v>
      </c>
    </row>
    <row r="39" spans="1:14" ht="64.05" customHeight="1">
      <c r="A39" s="20" t="s">
        <v>54</v>
      </c>
      <c r="B39" s="20" t="s">
        <v>21</v>
      </c>
      <c r="C39" s="20" t="s">
        <v>215</v>
      </c>
      <c r="D39" s="20" t="s">
        <v>216</v>
      </c>
      <c r="E39" s="20" t="s">
        <v>220</v>
      </c>
      <c r="F39" s="20">
        <v>1</v>
      </c>
      <c r="G39" s="20" t="s">
        <v>183</v>
      </c>
      <c r="H39" s="20"/>
      <c r="I39" s="21" t="s">
        <v>218</v>
      </c>
      <c r="J39" s="21"/>
      <c r="K39" s="21" t="s">
        <v>109</v>
      </c>
      <c r="L39" s="21" t="s">
        <v>221</v>
      </c>
      <c r="M39" s="21" t="s">
        <v>62</v>
      </c>
      <c r="N39" s="21" t="s">
        <v>114</v>
      </c>
    </row>
    <row r="40" spans="1:14" ht="64.05" customHeight="1">
      <c r="A40" s="20" t="s">
        <v>54</v>
      </c>
      <c r="B40" s="20" t="s">
        <v>21</v>
      </c>
      <c r="C40" s="20" t="s">
        <v>215</v>
      </c>
      <c r="D40" s="20" t="s">
        <v>216</v>
      </c>
      <c r="E40" s="20" t="s">
        <v>222</v>
      </c>
      <c r="F40" s="20">
        <v>1</v>
      </c>
      <c r="G40" s="20" t="s">
        <v>183</v>
      </c>
      <c r="H40" s="20"/>
      <c r="I40" s="21" t="s">
        <v>218</v>
      </c>
      <c r="J40" s="21"/>
      <c r="K40" s="21" t="s">
        <v>109</v>
      </c>
      <c r="L40" s="21" t="s">
        <v>221</v>
      </c>
      <c r="M40" s="21" t="s">
        <v>62</v>
      </c>
      <c r="N40" s="21" t="s">
        <v>114</v>
      </c>
    </row>
    <row r="41" spans="1:14" ht="64.05" customHeight="1">
      <c r="A41" s="20" t="s">
        <v>54</v>
      </c>
      <c r="B41" s="20" t="s">
        <v>21</v>
      </c>
      <c r="C41" s="20" t="s">
        <v>215</v>
      </c>
      <c r="D41" s="20" t="s">
        <v>216</v>
      </c>
      <c r="E41" s="20" t="s">
        <v>223</v>
      </c>
      <c r="F41" s="20">
        <v>1</v>
      </c>
      <c r="G41" s="20" t="s">
        <v>224</v>
      </c>
      <c r="H41" s="20" t="s">
        <v>225</v>
      </c>
      <c r="I41" s="21" t="s">
        <v>218</v>
      </c>
      <c r="J41" s="21"/>
      <c r="K41" s="21" t="s">
        <v>109</v>
      </c>
      <c r="L41" s="21" t="s">
        <v>221</v>
      </c>
      <c r="M41" s="21" t="s">
        <v>62</v>
      </c>
      <c r="N41" s="21" t="s">
        <v>114</v>
      </c>
    </row>
    <row r="42" spans="1:14" ht="64.05" customHeight="1">
      <c r="A42" s="20" t="s">
        <v>54</v>
      </c>
      <c r="B42" s="20" t="s">
        <v>21</v>
      </c>
      <c r="C42" s="20" t="s">
        <v>215</v>
      </c>
      <c r="D42" s="20" t="s">
        <v>216</v>
      </c>
      <c r="E42" s="20" t="s">
        <v>226</v>
      </c>
      <c r="F42" s="20">
        <v>1</v>
      </c>
      <c r="G42" s="20" t="s">
        <v>183</v>
      </c>
      <c r="H42" s="20"/>
      <c r="I42" s="21" t="s">
        <v>227</v>
      </c>
      <c r="J42" s="21"/>
      <c r="K42" s="21" t="s">
        <v>109</v>
      </c>
      <c r="L42" s="21" t="s">
        <v>219</v>
      </c>
      <c r="M42" s="21" t="s">
        <v>62</v>
      </c>
      <c r="N42" s="21" t="s">
        <v>114</v>
      </c>
    </row>
    <row r="43" spans="1:14" ht="64.05" customHeight="1">
      <c r="A43" s="20" t="s">
        <v>54</v>
      </c>
      <c r="B43" s="20" t="s">
        <v>21</v>
      </c>
      <c r="C43" s="20" t="s">
        <v>228</v>
      </c>
      <c r="D43" s="20" t="s">
        <v>229</v>
      </c>
      <c r="E43" s="20" t="s">
        <v>230</v>
      </c>
      <c r="F43" s="20">
        <v>1</v>
      </c>
      <c r="G43" s="20" t="s">
        <v>231</v>
      </c>
      <c r="H43" s="20"/>
      <c r="I43" s="21" t="s">
        <v>232</v>
      </c>
      <c r="J43" s="21"/>
      <c r="K43" s="21"/>
      <c r="L43" s="21" t="s">
        <v>233</v>
      </c>
      <c r="M43" s="21" t="s">
        <v>102</v>
      </c>
      <c r="N43" s="21"/>
    </row>
    <row r="44" spans="1:14" ht="64.05" customHeight="1">
      <c r="A44" s="20" t="s">
        <v>54</v>
      </c>
      <c r="B44" s="20" t="s">
        <v>21</v>
      </c>
      <c r="C44" s="20" t="s">
        <v>228</v>
      </c>
      <c r="D44" s="20" t="s">
        <v>229</v>
      </c>
      <c r="E44" s="20" t="s">
        <v>234</v>
      </c>
      <c r="F44" s="20">
        <v>1</v>
      </c>
      <c r="G44" s="20" t="s">
        <v>235</v>
      </c>
      <c r="H44" s="20" t="s">
        <v>236</v>
      </c>
      <c r="I44" s="21" t="s">
        <v>60</v>
      </c>
      <c r="J44" s="21"/>
      <c r="K44" s="21" t="s">
        <v>237</v>
      </c>
      <c r="L44" s="21" t="s">
        <v>238</v>
      </c>
      <c r="M44" s="21" t="s">
        <v>62</v>
      </c>
      <c r="N44" s="21" t="s">
        <v>63</v>
      </c>
    </row>
    <row r="45" spans="1:14" ht="64.05" customHeight="1">
      <c r="A45" s="20" t="s">
        <v>54</v>
      </c>
      <c r="B45" s="20" t="s">
        <v>21</v>
      </c>
      <c r="C45" s="20" t="s">
        <v>239</v>
      </c>
      <c r="D45" s="20" t="s">
        <v>147</v>
      </c>
      <c r="E45" s="20" t="s">
        <v>240</v>
      </c>
      <c r="F45" s="20">
        <v>1</v>
      </c>
      <c r="G45" s="20" t="s">
        <v>241</v>
      </c>
      <c r="H45" s="20" t="s">
        <v>242</v>
      </c>
      <c r="I45" s="21" t="s">
        <v>60</v>
      </c>
      <c r="J45" s="21"/>
      <c r="K45" s="21"/>
      <c r="L45" s="21" t="s">
        <v>243</v>
      </c>
      <c r="M45" s="21" t="s">
        <v>102</v>
      </c>
      <c r="N45" s="21"/>
    </row>
    <row r="46" spans="1:14" ht="64.05" customHeight="1">
      <c r="A46" s="20" t="s">
        <v>54</v>
      </c>
      <c r="B46" s="20" t="s">
        <v>21</v>
      </c>
      <c r="C46" s="20" t="s">
        <v>239</v>
      </c>
      <c r="D46" s="20" t="s">
        <v>147</v>
      </c>
      <c r="E46" s="20" t="s">
        <v>244</v>
      </c>
      <c r="F46" s="20">
        <v>1</v>
      </c>
      <c r="G46" s="20"/>
      <c r="H46" s="20"/>
      <c r="I46" s="21" t="s">
        <v>60</v>
      </c>
      <c r="J46" s="21" t="s">
        <v>245</v>
      </c>
      <c r="K46" s="21"/>
      <c r="L46" s="21" t="s">
        <v>246</v>
      </c>
      <c r="M46" s="21" t="s">
        <v>62</v>
      </c>
      <c r="N46" s="21" t="s">
        <v>63</v>
      </c>
    </row>
    <row r="47" spans="1:14" ht="64.05" customHeight="1">
      <c r="A47" s="20" t="s">
        <v>54</v>
      </c>
      <c r="B47" s="20" t="s">
        <v>21</v>
      </c>
      <c r="C47" s="20" t="s">
        <v>239</v>
      </c>
      <c r="D47" s="20" t="s">
        <v>147</v>
      </c>
      <c r="E47" s="20" t="s">
        <v>247</v>
      </c>
      <c r="F47" s="20">
        <v>1</v>
      </c>
      <c r="G47" s="20"/>
      <c r="H47" s="20"/>
      <c r="I47" s="21" t="s">
        <v>60</v>
      </c>
      <c r="J47" s="21" t="s">
        <v>245</v>
      </c>
      <c r="K47" s="21"/>
      <c r="L47" s="21" t="s">
        <v>246</v>
      </c>
      <c r="M47" s="21" t="s">
        <v>62</v>
      </c>
      <c r="N47" s="21" t="s">
        <v>63</v>
      </c>
    </row>
    <row r="48" spans="1:14" ht="64.05" customHeight="1">
      <c r="A48" s="20" t="s">
        <v>54</v>
      </c>
      <c r="B48" s="20" t="s">
        <v>21</v>
      </c>
      <c r="C48" s="20" t="s">
        <v>239</v>
      </c>
      <c r="D48" s="20" t="s">
        <v>147</v>
      </c>
      <c r="E48" s="20" t="s">
        <v>248</v>
      </c>
      <c r="F48" s="20">
        <v>1</v>
      </c>
      <c r="G48" s="20" t="s">
        <v>249</v>
      </c>
      <c r="H48" s="20" t="s">
        <v>176</v>
      </c>
      <c r="I48" s="21" t="s">
        <v>60</v>
      </c>
      <c r="J48" s="21"/>
      <c r="K48" s="21" t="s">
        <v>250</v>
      </c>
      <c r="L48" s="21" t="s">
        <v>251</v>
      </c>
      <c r="M48" s="21" t="s">
        <v>62</v>
      </c>
      <c r="N48" s="21" t="s">
        <v>63</v>
      </c>
    </row>
    <row r="49" spans="1:14" ht="64.05" customHeight="1">
      <c r="A49" s="20" t="s">
        <v>54</v>
      </c>
      <c r="B49" s="20" t="s">
        <v>21</v>
      </c>
      <c r="C49" s="20" t="s">
        <v>239</v>
      </c>
      <c r="D49" s="20" t="s">
        <v>147</v>
      </c>
      <c r="E49" s="20" t="s">
        <v>252</v>
      </c>
      <c r="F49" s="20">
        <v>1</v>
      </c>
      <c r="G49" s="20" t="s">
        <v>249</v>
      </c>
      <c r="H49" s="20" t="s">
        <v>176</v>
      </c>
      <c r="I49" s="21" t="s">
        <v>60</v>
      </c>
      <c r="J49" s="21"/>
      <c r="K49" s="21" t="s">
        <v>250</v>
      </c>
      <c r="L49" s="21" t="s">
        <v>253</v>
      </c>
      <c r="M49" s="21" t="s">
        <v>62</v>
      </c>
      <c r="N49" s="21" t="s">
        <v>63</v>
      </c>
    </row>
    <row r="50" spans="1:14" ht="64.05" customHeight="1">
      <c r="A50" s="20" t="s">
        <v>54</v>
      </c>
      <c r="B50" s="20" t="s">
        <v>21</v>
      </c>
      <c r="C50" s="20" t="s">
        <v>254</v>
      </c>
      <c r="D50" s="20" t="s">
        <v>255</v>
      </c>
      <c r="E50" s="20" t="s">
        <v>256</v>
      </c>
      <c r="F50" s="20">
        <v>1</v>
      </c>
      <c r="G50" s="20" t="s">
        <v>257</v>
      </c>
      <c r="H50" s="20" t="s">
        <v>258</v>
      </c>
      <c r="I50" s="21" t="s">
        <v>259</v>
      </c>
      <c r="J50" s="21"/>
      <c r="K50" s="21" t="s">
        <v>260</v>
      </c>
      <c r="L50" s="21" t="s">
        <v>261</v>
      </c>
      <c r="M50" s="21" t="s">
        <v>73</v>
      </c>
      <c r="N50" s="21"/>
    </row>
    <row r="51" spans="1:14" ht="64.05" customHeight="1">
      <c r="A51" s="20" t="s">
        <v>54</v>
      </c>
      <c r="B51" s="20" t="s">
        <v>21</v>
      </c>
      <c r="C51" s="20" t="s">
        <v>262</v>
      </c>
      <c r="D51" s="20" t="s">
        <v>263</v>
      </c>
      <c r="E51" s="20" t="s">
        <v>264</v>
      </c>
      <c r="F51" s="20">
        <v>1</v>
      </c>
      <c r="G51" s="20" t="s">
        <v>265</v>
      </c>
      <c r="H51" s="20" t="s">
        <v>266</v>
      </c>
      <c r="I51" s="21" t="s">
        <v>267</v>
      </c>
      <c r="J51" s="21"/>
      <c r="K51" s="21" t="s">
        <v>268</v>
      </c>
      <c r="L51" s="21" t="s">
        <v>269</v>
      </c>
      <c r="M51" s="21" t="s">
        <v>73</v>
      </c>
      <c r="N51" s="21"/>
    </row>
    <row r="52" spans="1:14" ht="64.05" customHeight="1">
      <c r="A52" s="20" t="s">
        <v>54</v>
      </c>
      <c r="B52" s="20" t="s">
        <v>21</v>
      </c>
      <c r="C52" s="20" t="s">
        <v>270</v>
      </c>
      <c r="D52" s="20" t="s">
        <v>271</v>
      </c>
      <c r="E52" s="20" t="s">
        <v>272</v>
      </c>
      <c r="F52" s="20">
        <v>1</v>
      </c>
      <c r="G52" s="20" t="s">
        <v>92</v>
      </c>
      <c r="H52" s="20"/>
      <c r="I52" s="21" t="s">
        <v>273</v>
      </c>
      <c r="J52" s="21"/>
      <c r="K52" s="21" t="s">
        <v>274</v>
      </c>
      <c r="L52" s="21" t="s">
        <v>275</v>
      </c>
      <c r="M52" s="21" t="s">
        <v>73</v>
      </c>
      <c r="N52" s="21"/>
    </row>
    <row r="53" spans="1:14" ht="64.05" customHeight="1">
      <c r="A53" s="20" t="s">
        <v>54</v>
      </c>
      <c r="B53" s="20" t="s">
        <v>21</v>
      </c>
      <c r="C53" s="20" t="s">
        <v>254</v>
      </c>
      <c r="D53" s="20" t="s">
        <v>255</v>
      </c>
      <c r="E53" s="20" t="s">
        <v>276</v>
      </c>
      <c r="F53" s="20">
        <v>1</v>
      </c>
      <c r="G53" s="20" t="s">
        <v>277</v>
      </c>
      <c r="H53" s="20" t="s">
        <v>278</v>
      </c>
      <c r="I53" s="21" t="s">
        <v>279</v>
      </c>
      <c r="J53" s="21"/>
      <c r="K53" s="21" t="s">
        <v>280</v>
      </c>
      <c r="L53" s="21" t="s">
        <v>281</v>
      </c>
      <c r="M53" s="21" t="s">
        <v>73</v>
      </c>
      <c r="N53" s="21"/>
    </row>
    <row r="54" spans="1:14" ht="64.05" customHeight="1">
      <c r="A54" s="20" t="s">
        <v>54</v>
      </c>
      <c r="B54" s="20" t="s">
        <v>21</v>
      </c>
      <c r="C54" s="20" t="s">
        <v>262</v>
      </c>
      <c r="D54" s="20" t="s">
        <v>263</v>
      </c>
      <c r="E54" s="20" t="s">
        <v>282</v>
      </c>
      <c r="F54" s="20">
        <v>1</v>
      </c>
      <c r="G54" s="20" t="s">
        <v>92</v>
      </c>
      <c r="H54" s="20"/>
      <c r="I54" s="21" t="s">
        <v>283</v>
      </c>
      <c r="J54" s="21"/>
      <c r="K54" s="21" t="s">
        <v>109</v>
      </c>
      <c r="L54" s="21" t="s">
        <v>284</v>
      </c>
      <c r="M54" s="21" t="s">
        <v>73</v>
      </c>
      <c r="N54" s="21"/>
    </row>
    <row r="55" spans="1:14" ht="64.05" customHeight="1">
      <c r="A55" s="20" t="s">
        <v>54</v>
      </c>
      <c r="B55" s="20" t="s">
        <v>21</v>
      </c>
      <c r="C55" s="20" t="s">
        <v>262</v>
      </c>
      <c r="D55" s="20" t="s">
        <v>263</v>
      </c>
      <c r="E55" s="20" t="s">
        <v>285</v>
      </c>
      <c r="F55" s="20">
        <v>1</v>
      </c>
      <c r="G55" s="20" t="s">
        <v>92</v>
      </c>
      <c r="H55" s="20"/>
      <c r="I55" s="21" t="s">
        <v>286</v>
      </c>
      <c r="J55" s="21"/>
      <c r="K55" s="21" t="s">
        <v>109</v>
      </c>
      <c r="L55" s="21" t="s">
        <v>284</v>
      </c>
      <c r="M55" s="21" t="s">
        <v>73</v>
      </c>
      <c r="N55" s="21"/>
    </row>
    <row r="56" spans="1:14" ht="64.05" customHeight="1">
      <c r="A56" s="20" t="s">
        <v>54</v>
      </c>
      <c r="B56" s="20" t="s">
        <v>21</v>
      </c>
      <c r="C56" s="20" t="s">
        <v>262</v>
      </c>
      <c r="D56" s="20" t="s">
        <v>263</v>
      </c>
      <c r="E56" s="20" t="s">
        <v>287</v>
      </c>
      <c r="F56" s="20">
        <v>1</v>
      </c>
      <c r="G56" s="20" t="s">
        <v>139</v>
      </c>
      <c r="H56" s="20"/>
      <c r="I56" s="21" t="s">
        <v>288</v>
      </c>
      <c r="J56" s="21"/>
      <c r="K56" s="21" t="s">
        <v>109</v>
      </c>
      <c r="L56" s="21" t="s">
        <v>289</v>
      </c>
      <c r="M56" s="21" t="s">
        <v>62</v>
      </c>
      <c r="N56" s="21" t="s">
        <v>63</v>
      </c>
    </row>
    <row r="57" spans="1:14" ht="64.05" customHeight="1">
      <c r="A57" s="20" t="s">
        <v>54</v>
      </c>
      <c r="B57" s="20" t="s">
        <v>21</v>
      </c>
      <c r="C57" s="20" t="s">
        <v>270</v>
      </c>
      <c r="D57" s="20" t="s">
        <v>271</v>
      </c>
      <c r="E57" s="20" t="s">
        <v>290</v>
      </c>
      <c r="F57" s="20">
        <v>1</v>
      </c>
      <c r="G57" s="20" t="s">
        <v>92</v>
      </c>
      <c r="H57" s="20"/>
      <c r="I57" s="21" t="s">
        <v>291</v>
      </c>
      <c r="J57" s="21"/>
      <c r="K57" s="21" t="s">
        <v>109</v>
      </c>
      <c r="L57" s="21" t="s">
        <v>292</v>
      </c>
      <c r="M57" s="21" t="s">
        <v>73</v>
      </c>
      <c r="N57" s="21"/>
    </row>
    <row r="58" spans="1:14" ht="64.05" customHeight="1">
      <c r="A58" s="20" t="s">
        <v>54</v>
      </c>
      <c r="B58" s="20" t="s">
        <v>22</v>
      </c>
      <c r="C58" s="20" t="s">
        <v>89</v>
      </c>
      <c r="D58" s="20" t="s">
        <v>90</v>
      </c>
      <c r="E58" s="20" t="s">
        <v>96</v>
      </c>
      <c r="F58" s="20">
        <v>1</v>
      </c>
      <c r="G58" s="20" t="s">
        <v>92</v>
      </c>
      <c r="H58" s="20"/>
      <c r="I58" s="21" t="s">
        <v>93</v>
      </c>
      <c r="J58" s="21"/>
      <c r="K58" s="21" t="s">
        <v>94</v>
      </c>
      <c r="L58" s="21" t="s">
        <v>95</v>
      </c>
      <c r="M58" s="21" t="s">
        <v>73</v>
      </c>
      <c r="N58" s="21"/>
    </row>
    <row r="59" spans="1:14" ht="64.05" customHeight="1">
      <c r="A59" s="20" t="s">
        <v>54</v>
      </c>
      <c r="B59" s="20" t="s">
        <v>22</v>
      </c>
      <c r="C59" s="20" t="s">
        <v>89</v>
      </c>
      <c r="D59" s="20" t="s">
        <v>90</v>
      </c>
      <c r="E59" s="20" t="s">
        <v>97</v>
      </c>
      <c r="F59" s="20">
        <v>1</v>
      </c>
      <c r="G59" s="20" t="s">
        <v>92</v>
      </c>
      <c r="H59" s="20"/>
      <c r="I59" s="21" t="s">
        <v>98</v>
      </c>
      <c r="J59" s="21" t="s">
        <v>99</v>
      </c>
      <c r="K59" s="21" t="s">
        <v>100</v>
      </c>
      <c r="L59" s="21" t="s">
        <v>293</v>
      </c>
      <c r="M59" s="21" t="s">
        <v>102</v>
      </c>
      <c r="N59" s="21"/>
    </row>
    <row r="60" spans="1:14" ht="64.05" customHeight="1">
      <c r="A60" s="20" t="s">
        <v>294</v>
      </c>
      <c r="B60" s="20" t="s">
        <v>20</v>
      </c>
      <c r="C60" s="20" t="s">
        <v>55</v>
      </c>
      <c r="D60" s="20" t="s">
        <v>56</v>
      </c>
      <c r="E60" s="20" t="s">
        <v>295</v>
      </c>
      <c r="F60" s="20">
        <v>1</v>
      </c>
      <c r="G60" s="20" t="s">
        <v>296</v>
      </c>
      <c r="H60" s="20" t="s">
        <v>297</v>
      </c>
      <c r="I60" s="21" t="s">
        <v>112</v>
      </c>
      <c r="J60" s="21"/>
      <c r="K60" s="21" t="s">
        <v>112</v>
      </c>
      <c r="L60" s="21" t="s">
        <v>298</v>
      </c>
      <c r="M60" s="21" t="s">
        <v>62</v>
      </c>
      <c r="N60" s="21" t="s">
        <v>299</v>
      </c>
    </row>
    <row r="61" spans="1:14" ht="64.05" customHeight="1">
      <c r="A61" s="20" t="s">
        <v>294</v>
      </c>
      <c r="B61" s="20" t="s">
        <v>20</v>
      </c>
      <c r="C61" s="20" t="s">
        <v>55</v>
      </c>
      <c r="D61" s="20" t="s">
        <v>56</v>
      </c>
      <c r="E61" s="20" t="s">
        <v>300</v>
      </c>
      <c r="F61" s="20">
        <v>1</v>
      </c>
      <c r="G61" s="20" t="s">
        <v>58</v>
      </c>
      <c r="H61" s="20" t="s">
        <v>301</v>
      </c>
      <c r="I61" s="21" t="s">
        <v>112</v>
      </c>
      <c r="J61" s="21"/>
      <c r="K61" s="21" t="s">
        <v>112</v>
      </c>
      <c r="L61" s="21" t="s">
        <v>302</v>
      </c>
      <c r="M61" s="21" t="s">
        <v>62</v>
      </c>
      <c r="N61" s="21" t="s">
        <v>303</v>
      </c>
    </row>
    <row r="62" spans="1:14" ht="64.05" customHeight="1">
      <c r="A62" s="20" t="s">
        <v>294</v>
      </c>
      <c r="B62" s="20" t="s">
        <v>20</v>
      </c>
      <c r="C62" s="20" t="s">
        <v>55</v>
      </c>
      <c r="D62" s="20" t="s">
        <v>56</v>
      </c>
      <c r="E62" s="20" t="s">
        <v>304</v>
      </c>
      <c r="F62" s="20">
        <v>1</v>
      </c>
      <c r="G62" s="20" t="s">
        <v>58</v>
      </c>
      <c r="H62" s="20" t="s">
        <v>301</v>
      </c>
      <c r="I62" s="21" t="s">
        <v>112</v>
      </c>
      <c r="J62" s="21"/>
      <c r="K62" s="21" t="s">
        <v>112</v>
      </c>
      <c r="L62" s="21" t="s">
        <v>305</v>
      </c>
      <c r="M62" s="21" t="s">
        <v>62</v>
      </c>
      <c r="N62" s="21" t="s">
        <v>63</v>
      </c>
    </row>
    <row r="63" spans="1:14" ht="64.05" customHeight="1">
      <c r="A63" s="20" t="s">
        <v>294</v>
      </c>
      <c r="B63" s="20" t="s">
        <v>20</v>
      </c>
      <c r="C63" s="20" t="s">
        <v>55</v>
      </c>
      <c r="D63" s="20" t="s">
        <v>56</v>
      </c>
      <c r="E63" s="20" t="s">
        <v>306</v>
      </c>
      <c r="F63" s="20">
        <v>1</v>
      </c>
      <c r="G63" s="20" t="s">
        <v>296</v>
      </c>
      <c r="H63" s="20" t="s">
        <v>297</v>
      </c>
      <c r="I63" s="21" t="s">
        <v>307</v>
      </c>
      <c r="J63" s="21"/>
      <c r="K63" s="21" t="s">
        <v>308</v>
      </c>
      <c r="L63" s="21" t="s">
        <v>309</v>
      </c>
      <c r="M63" s="21" t="s">
        <v>62</v>
      </c>
      <c r="N63" s="21" t="s">
        <v>187</v>
      </c>
    </row>
    <row r="64" spans="1:14" ht="64.05" customHeight="1">
      <c r="A64" s="20" t="s">
        <v>294</v>
      </c>
      <c r="B64" s="20" t="s">
        <v>20</v>
      </c>
      <c r="C64" s="20" t="s">
        <v>55</v>
      </c>
      <c r="D64" s="20" t="s">
        <v>56</v>
      </c>
      <c r="E64" s="20" t="s">
        <v>310</v>
      </c>
      <c r="F64" s="20">
        <v>1</v>
      </c>
      <c r="G64" s="20" t="s">
        <v>311</v>
      </c>
      <c r="H64" s="20" t="s">
        <v>312</v>
      </c>
      <c r="I64" s="21" t="s">
        <v>112</v>
      </c>
      <c r="J64" s="21"/>
      <c r="K64" s="21" t="s">
        <v>112</v>
      </c>
      <c r="L64" s="21" t="s">
        <v>313</v>
      </c>
      <c r="M64" s="21" t="s">
        <v>62</v>
      </c>
      <c r="N64" s="21" t="s">
        <v>299</v>
      </c>
    </row>
    <row r="65" spans="1:14" ht="64.05" customHeight="1">
      <c r="A65" s="20" t="s">
        <v>294</v>
      </c>
      <c r="B65" s="20" t="s">
        <v>20</v>
      </c>
      <c r="C65" s="20" t="s">
        <v>55</v>
      </c>
      <c r="D65" s="20" t="s">
        <v>56</v>
      </c>
      <c r="E65" s="20" t="s">
        <v>314</v>
      </c>
      <c r="F65" s="20">
        <v>1</v>
      </c>
      <c r="G65" s="20" t="s">
        <v>58</v>
      </c>
      <c r="H65" s="20" t="s">
        <v>301</v>
      </c>
      <c r="I65" s="21" t="s">
        <v>315</v>
      </c>
      <c r="J65" s="21"/>
      <c r="K65" s="21" t="s">
        <v>316</v>
      </c>
      <c r="L65" s="21" t="s">
        <v>317</v>
      </c>
      <c r="M65" s="21" t="s">
        <v>62</v>
      </c>
      <c r="N65" s="21" t="s">
        <v>187</v>
      </c>
    </row>
    <row r="66" spans="1:14" ht="64.05" customHeight="1">
      <c r="A66" s="20" t="s">
        <v>294</v>
      </c>
      <c r="B66" s="20" t="s">
        <v>20</v>
      </c>
      <c r="C66" s="20" t="s">
        <v>55</v>
      </c>
      <c r="D66" s="20" t="s">
        <v>56</v>
      </c>
      <c r="E66" s="20" t="s">
        <v>318</v>
      </c>
      <c r="F66" s="20">
        <v>1</v>
      </c>
      <c r="G66" s="20" t="s">
        <v>311</v>
      </c>
      <c r="H66" s="20" t="s">
        <v>312</v>
      </c>
      <c r="I66" s="21" t="s">
        <v>319</v>
      </c>
      <c r="J66" s="21"/>
      <c r="K66" s="21" t="s">
        <v>320</v>
      </c>
      <c r="L66" s="21" t="s">
        <v>321</v>
      </c>
      <c r="M66" s="21" t="s">
        <v>62</v>
      </c>
      <c r="N66" s="21" t="s">
        <v>130</v>
      </c>
    </row>
    <row r="67" spans="1:14" ht="64.05" customHeight="1">
      <c r="A67" s="20" t="s">
        <v>294</v>
      </c>
      <c r="B67" s="20" t="s">
        <v>20</v>
      </c>
      <c r="C67" s="20" t="s">
        <v>55</v>
      </c>
      <c r="D67" s="20" t="s">
        <v>56</v>
      </c>
      <c r="E67" s="20" t="s">
        <v>322</v>
      </c>
      <c r="F67" s="20">
        <v>1</v>
      </c>
      <c r="G67" s="20" t="s">
        <v>311</v>
      </c>
      <c r="H67" s="20" t="s">
        <v>312</v>
      </c>
      <c r="I67" s="21" t="s">
        <v>323</v>
      </c>
      <c r="J67" s="21"/>
      <c r="K67" s="21" t="s">
        <v>320</v>
      </c>
      <c r="L67" s="21" t="s">
        <v>321</v>
      </c>
      <c r="M67" s="21" t="s">
        <v>62</v>
      </c>
      <c r="N67" s="21" t="s">
        <v>130</v>
      </c>
    </row>
    <row r="68" spans="1:14" ht="64.05" customHeight="1">
      <c r="A68" s="20" t="s">
        <v>294</v>
      </c>
      <c r="B68" s="20" t="s">
        <v>20</v>
      </c>
      <c r="C68" s="20" t="s">
        <v>55</v>
      </c>
      <c r="D68" s="20" t="s">
        <v>56</v>
      </c>
      <c r="E68" s="20" t="s">
        <v>324</v>
      </c>
      <c r="F68" s="20">
        <v>1</v>
      </c>
      <c r="G68" s="20" t="s">
        <v>311</v>
      </c>
      <c r="H68" s="20" t="s">
        <v>312</v>
      </c>
      <c r="I68" s="21" t="s">
        <v>325</v>
      </c>
      <c r="J68" s="21"/>
      <c r="K68" s="21" t="s">
        <v>320</v>
      </c>
      <c r="L68" s="21" t="s">
        <v>326</v>
      </c>
      <c r="M68" s="21" t="s">
        <v>62</v>
      </c>
      <c r="N68" s="21" t="s">
        <v>130</v>
      </c>
    </row>
    <row r="69" spans="1:14" ht="64.05" customHeight="1">
      <c r="A69" s="20" t="s">
        <v>294</v>
      </c>
      <c r="B69" s="20" t="s">
        <v>20</v>
      </c>
      <c r="C69" s="20" t="s">
        <v>55</v>
      </c>
      <c r="D69" s="20" t="s">
        <v>56</v>
      </c>
      <c r="E69" s="20" t="s">
        <v>327</v>
      </c>
      <c r="F69" s="20">
        <v>1</v>
      </c>
      <c r="G69" s="20" t="s">
        <v>311</v>
      </c>
      <c r="H69" s="20" t="s">
        <v>312</v>
      </c>
      <c r="I69" s="21" t="s">
        <v>328</v>
      </c>
      <c r="J69" s="21"/>
      <c r="K69" s="21" t="s">
        <v>320</v>
      </c>
      <c r="L69" s="21" t="s">
        <v>329</v>
      </c>
      <c r="M69" s="21" t="s">
        <v>62</v>
      </c>
      <c r="N69" s="21" t="s">
        <v>130</v>
      </c>
    </row>
    <row r="70" spans="1:14" ht="64.05" customHeight="1">
      <c r="A70" s="20" t="s">
        <v>294</v>
      </c>
      <c r="B70" s="20" t="s">
        <v>20</v>
      </c>
      <c r="C70" s="20" t="s">
        <v>55</v>
      </c>
      <c r="D70" s="20" t="s">
        <v>56</v>
      </c>
      <c r="E70" s="20" t="s">
        <v>330</v>
      </c>
      <c r="F70" s="20">
        <v>1</v>
      </c>
      <c r="G70" s="20" t="s">
        <v>311</v>
      </c>
      <c r="H70" s="20" t="s">
        <v>312</v>
      </c>
      <c r="I70" s="21" t="s">
        <v>328</v>
      </c>
      <c r="J70" s="21"/>
      <c r="K70" s="21" t="s">
        <v>320</v>
      </c>
      <c r="L70" s="21" t="s">
        <v>326</v>
      </c>
      <c r="M70" s="21" t="s">
        <v>62</v>
      </c>
      <c r="N70" s="21" t="s">
        <v>130</v>
      </c>
    </row>
    <row r="71" spans="1:14" ht="64.05" customHeight="1">
      <c r="A71" s="20" t="s">
        <v>294</v>
      </c>
      <c r="B71" s="20" t="s">
        <v>20</v>
      </c>
      <c r="C71" s="20" t="s">
        <v>55</v>
      </c>
      <c r="D71" s="20" t="s">
        <v>56</v>
      </c>
      <c r="E71" s="20" t="s">
        <v>331</v>
      </c>
      <c r="F71" s="20">
        <v>1</v>
      </c>
      <c r="G71" s="20" t="s">
        <v>311</v>
      </c>
      <c r="H71" s="20" t="s">
        <v>312</v>
      </c>
      <c r="I71" s="21" t="s">
        <v>319</v>
      </c>
      <c r="J71" s="21"/>
      <c r="K71" s="21" t="s">
        <v>320</v>
      </c>
      <c r="L71" s="21" t="s">
        <v>326</v>
      </c>
      <c r="M71" s="21" t="s">
        <v>62</v>
      </c>
      <c r="N71" s="21" t="s">
        <v>130</v>
      </c>
    </row>
    <row r="72" spans="1:14" ht="64.05" customHeight="1">
      <c r="A72" s="20" t="s">
        <v>294</v>
      </c>
      <c r="B72" s="20" t="s">
        <v>20</v>
      </c>
      <c r="C72" s="20" t="s">
        <v>55</v>
      </c>
      <c r="D72" s="20" t="s">
        <v>56</v>
      </c>
      <c r="E72" s="20" t="s">
        <v>332</v>
      </c>
      <c r="F72" s="20">
        <v>1</v>
      </c>
      <c r="G72" s="20" t="s">
        <v>311</v>
      </c>
      <c r="H72" s="20" t="s">
        <v>312</v>
      </c>
      <c r="I72" s="21" t="s">
        <v>333</v>
      </c>
      <c r="J72" s="21"/>
      <c r="K72" s="21" t="s">
        <v>320</v>
      </c>
      <c r="L72" s="21" t="s">
        <v>326</v>
      </c>
      <c r="M72" s="21" t="s">
        <v>62</v>
      </c>
      <c r="N72" s="21" t="s">
        <v>130</v>
      </c>
    </row>
    <row r="73" spans="1:14" ht="64.05" customHeight="1">
      <c r="A73" s="20" t="s">
        <v>294</v>
      </c>
      <c r="B73" s="20" t="s">
        <v>20</v>
      </c>
      <c r="C73" s="20" t="s">
        <v>55</v>
      </c>
      <c r="D73" s="20" t="s">
        <v>56</v>
      </c>
      <c r="E73" s="20" t="s">
        <v>334</v>
      </c>
      <c r="F73" s="20">
        <v>1</v>
      </c>
      <c r="G73" s="20" t="s">
        <v>311</v>
      </c>
      <c r="H73" s="20" t="s">
        <v>312</v>
      </c>
      <c r="I73" s="21" t="s">
        <v>315</v>
      </c>
      <c r="J73" s="21"/>
      <c r="K73" s="21" t="s">
        <v>320</v>
      </c>
      <c r="L73" s="21" t="s">
        <v>335</v>
      </c>
      <c r="M73" s="21" t="s">
        <v>62</v>
      </c>
      <c r="N73" s="21" t="s">
        <v>130</v>
      </c>
    </row>
    <row r="74" spans="1:14" ht="64.05" customHeight="1">
      <c r="A74" s="20" t="s">
        <v>294</v>
      </c>
      <c r="B74" s="20" t="s">
        <v>20</v>
      </c>
      <c r="C74" s="20" t="s">
        <v>55</v>
      </c>
      <c r="D74" s="20" t="s">
        <v>56</v>
      </c>
      <c r="E74" s="20" t="s">
        <v>336</v>
      </c>
      <c r="F74" s="20">
        <v>1</v>
      </c>
      <c r="G74" s="20" t="s">
        <v>311</v>
      </c>
      <c r="H74" s="20" t="s">
        <v>312</v>
      </c>
      <c r="I74" s="21" t="s">
        <v>333</v>
      </c>
      <c r="J74" s="21"/>
      <c r="K74" s="21" t="s">
        <v>320</v>
      </c>
      <c r="L74" s="21" t="s">
        <v>335</v>
      </c>
      <c r="M74" s="21" t="s">
        <v>62</v>
      </c>
      <c r="N74" s="21" t="s">
        <v>130</v>
      </c>
    </row>
    <row r="75" spans="1:14" ht="64.05" customHeight="1">
      <c r="A75" s="20" t="s">
        <v>294</v>
      </c>
      <c r="B75" s="20" t="s">
        <v>20</v>
      </c>
      <c r="C75" s="20" t="s">
        <v>55</v>
      </c>
      <c r="D75" s="20" t="s">
        <v>56</v>
      </c>
      <c r="E75" s="20" t="s">
        <v>337</v>
      </c>
      <c r="F75" s="20">
        <v>1</v>
      </c>
      <c r="G75" s="20" t="s">
        <v>311</v>
      </c>
      <c r="H75" s="20" t="s">
        <v>312</v>
      </c>
      <c r="I75" s="21" t="s">
        <v>315</v>
      </c>
      <c r="J75" s="21"/>
      <c r="K75" s="21" t="s">
        <v>320</v>
      </c>
      <c r="L75" s="21" t="s">
        <v>335</v>
      </c>
      <c r="M75" s="21" t="s">
        <v>62</v>
      </c>
      <c r="N75" s="21" t="s">
        <v>130</v>
      </c>
    </row>
    <row r="76" spans="1:14" ht="64.05" customHeight="1">
      <c r="A76" s="20" t="s">
        <v>294</v>
      </c>
      <c r="B76" s="20" t="s">
        <v>20</v>
      </c>
      <c r="C76" s="20" t="s">
        <v>55</v>
      </c>
      <c r="D76" s="20" t="s">
        <v>56</v>
      </c>
      <c r="E76" s="20" t="s">
        <v>338</v>
      </c>
      <c r="F76" s="20">
        <v>1</v>
      </c>
      <c r="G76" s="20" t="s">
        <v>311</v>
      </c>
      <c r="H76" s="20" t="s">
        <v>312</v>
      </c>
      <c r="I76" s="21" t="s">
        <v>319</v>
      </c>
      <c r="J76" s="21"/>
      <c r="K76" s="21" t="s">
        <v>320</v>
      </c>
      <c r="L76" s="21" t="s">
        <v>335</v>
      </c>
      <c r="M76" s="21" t="s">
        <v>62</v>
      </c>
      <c r="N76" s="21" t="s">
        <v>130</v>
      </c>
    </row>
    <row r="77" spans="1:14" ht="64.05" customHeight="1">
      <c r="A77" s="20" t="s">
        <v>294</v>
      </c>
      <c r="B77" s="20" t="s">
        <v>20</v>
      </c>
      <c r="C77" s="20" t="s">
        <v>55</v>
      </c>
      <c r="D77" s="20" t="s">
        <v>56</v>
      </c>
      <c r="E77" s="20" t="s">
        <v>339</v>
      </c>
      <c r="F77" s="20">
        <v>1</v>
      </c>
      <c r="G77" s="20" t="s">
        <v>311</v>
      </c>
      <c r="H77" s="20" t="s">
        <v>312</v>
      </c>
      <c r="I77" s="21" t="s">
        <v>325</v>
      </c>
      <c r="J77" s="21"/>
      <c r="K77" s="21" t="s">
        <v>320</v>
      </c>
      <c r="L77" s="21" t="s">
        <v>335</v>
      </c>
      <c r="M77" s="21" t="s">
        <v>62</v>
      </c>
      <c r="N77" s="21" t="s">
        <v>130</v>
      </c>
    </row>
    <row r="78" spans="1:14" ht="64.05" customHeight="1">
      <c r="A78" s="20" t="s">
        <v>294</v>
      </c>
      <c r="B78" s="20" t="s">
        <v>20</v>
      </c>
      <c r="C78" s="20" t="s">
        <v>55</v>
      </c>
      <c r="D78" s="20" t="s">
        <v>56</v>
      </c>
      <c r="E78" s="20" t="s">
        <v>340</v>
      </c>
      <c r="F78" s="20">
        <v>1</v>
      </c>
      <c r="G78" s="20" t="s">
        <v>311</v>
      </c>
      <c r="H78" s="20" t="s">
        <v>312</v>
      </c>
      <c r="I78" s="21" t="s">
        <v>323</v>
      </c>
      <c r="J78" s="21"/>
      <c r="K78" s="21" t="s">
        <v>320</v>
      </c>
      <c r="L78" s="21" t="s">
        <v>341</v>
      </c>
      <c r="M78" s="21" t="s">
        <v>62</v>
      </c>
      <c r="N78" s="21" t="s">
        <v>130</v>
      </c>
    </row>
    <row r="79" spans="1:14" ht="64.05" customHeight="1">
      <c r="A79" s="20" t="s">
        <v>294</v>
      </c>
      <c r="B79" s="20" t="s">
        <v>20</v>
      </c>
      <c r="C79" s="20" t="s">
        <v>55</v>
      </c>
      <c r="D79" s="20" t="s">
        <v>56</v>
      </c>
      <c r="E79" s="20" t="s">
        <v>342</v>
      </c>
      <c r="F79" s="20">
        <v>1</v>
      </c>
      <c r="G79" s="20" t="s">
        <v>311</v>
      </c>
      <c r="H79" s="20" t="s">
        <v>312</v>
      </c>
      <c r="I79" s="21" t="s">
        <v>343</v>
      </c>
      <c r="J79" s="21"/>
      <c r="K79" s="21" t="s">
        <v>320</v>
      </c>
      <c r="L79" s="21" t="s">
        <v>341</v>
      </c>
      <c r="M79" s="21" t="s">
        <v>62</v>
      </c>
      <c r="N79" s="21" t="s">
        <v>130</v>
      </c>
    </row>
    <row r="80" spans="1:14" ht="64.05" customHeight="1">
      <c r="A80" s="20" t="s">
        <v>294</v>
      </c>
      <c r="B80" s="20" t="s">
        <v>20</v>
      </c>
      <c r="C80" s="20" t="s">
        <v>55</v>
      </c>
      <c r="D80" s="20" t="s">
        <v>56</v>
      </c>
      <c r="E80" s="20" t="s">
        <v>344</v>
      </c>
      <c r="F80" s="20">
        <v>1</v>
      </c>
      <c r="G80" s="20" t="s">
        <v>311</v>
      </c>
      <c r="H80" s="20" t="s">
        <v>312</v>
      </c>
      <c r="I80" s="21" t="s">
        <v>343</v>
      </c>
      <c r="J80" s="21"/>
      <c r="K80" s="21" t="s">
        <v>320</v>
      </c>
      <c r="L80" s="21" t="s">
        <v>341</v>
      </c>
      <c r="M80" s="21" t="s">
        <v>62</v>
      </c>
      <c r="N80" s="21" t="s">
        <v>130</v>
      </c>
    </row>
    <row r="81" spans="1:14" ht="64.05" customHeight="1">
      <c r="A81" s="20" t="s">
        <v>294</v>
      </c>
      <c r="B81" s="20" t="s">
        <v>20</v>
      </c>
      <c r="C81" s="20" t="s">
        <v>55</v>
      </c>
      <c r="D81" s="20" t="s">
        <v>56</v>
      </c>
      <c r="E81" s="20" t="s">
        <v>345</v>
      </c>
      <c r="F81" s="20">
        <v>1</v>
      </c>
      <c r="G81" s="20" t="s">
        <v>311</v>
      </c>
      <c r="H81" s="20" t="s">
        <v>312</v>
      </c>
      <c r="I81" s="21" t="s">
        <v>346</v>
      </c>
      <c r="J81" s="21"/>
      <c r="K81" s="21" t="s">
        <v>320</v>
      </c>
      <c r="L81" s="21" t="s">
        <v>329</v>
      </c>
      <c r="M81" s="21" t="s">
        <v>62</v>
      </c>
      <c r="N81" s="21" t="s">
        <v>130</v>
      </c>
    </row>
    <row r="82" spans="1:14" ht="64.05" customHeight="1">
      <c r="A82" s="20" t="s">
        <v>294</v>
      </c>
      <c r="B82" s="20" t="s">
        <v>20</v>
      </c>
      <c r="C82" s="20" t="s">
        <v>55</v>
      </c>
      <c r="D82" s="20" t="s">
        <v>56</v>
      </c>
      <c r="E82" s="20" t="s">
        <v>347</v>
      </c>
      <c r="F82" s="20">
        <v>1</v>
      </c>
      <c r="G82" s="20" t="s">
        <v>311</v>
      </c>
      <c r="H82" s="20" t="s">
        <v>312</v>
      </c>
      <c r="I82" s="21" t="s">
        <v>348</v>
      </c>
      <c r="J82" s="21"/>
      <c r="K82" s="21" t="s">
        <v>320</v>
      </c>
      <c r="L82" s="21" t="s">
        <v>326</v>
      </c>
      <c r="M82" s="21" t="s">
        <v>62</v>
      </c>
      <c r="N82" s="21" t="s">
        <v>130</v>
      </c>
    </row>
    <row r="83" spans="1:14" ht="64.05" customHeight="1">
      <c r="A83" s="20" t="s">
        <v>294</v>
      </c>
      <c r="B83" s="20" t="s">
        <v>20</v>
      </c>
      <c r="C83" s="20" t="s">
        <v>55</v>
      </c>
      <c r="D83" s="20" t="s">
        <v>56</v>
      </c>
      <c r="E83" s="20" t="s">
        <v>349</v>
      </c>
      <c r="F83" s="20">
        <v>1</v>
      </c>
      <c r="G83" s="20" t="s">
        <v>311</v>
      </c>
      <c r="H83" s="20" t="s">
        <v>312</v>
      </c>
      <c r="I83" s="21" t="s">
        <v>348</v>
      </c>
      <c r="J83" s="21"/>
      <c r="K83" s="21" t="s">
        <v>320</v>
      </c>
      <c r="L83" s="21" t="s">
        <v>326</v>
      </c>
      <c r="M83" s="21" t="s">
        <v>62</v>
      </c>
      <c r="N83" s="21" t="s">
        <v>130</v>
      </c>
    </row>
    <row r="84" spans="1:14" ht="64.05" customHeight="1">
      <c r="A84" s="20" t="s">
        <v>294</v>
      </c>
      <c r="B84" s="20" t="s">
        <v>20</v>
      </c>
      <c r="C84" s="20" t="s">
        <v>55</v>
      </c>
      <c r="D84" s="20" t="s">
        <v>56</v>
      </c>
      <c r="E84" s="20" t="s">
        <v>350</v>
      </c>
      <c r="F84" s="20">
        <v>1</v>
      </c>
      <c r="G84" s="20" t="s">
        <v>311</v>
      </c>
      <c r="H84" s="20" t="s">
        <v>312</v>
      </c>
      <c r="I84" s="21" t="s">
        <v>351</v>
      </c>
      <c r="J84" s="21"/>
      <c r="K84" s="21" t="s">
        <v>320</v>
      </c>
      <c r="L84" s="21" t="s">
        <v>329</v>
      </c>
      <c r="M84" s="21" t="s">
        <v>62</v>
      </c>
      <c r="N84" s="21" t="s">
        <v>130</v>
      </c>
    </row>
    <row r="85" spans="1:14" ht="64.05" customHeight="1">
      <c r="A85" s="20" t="s">
        <v>294</v>
      </c>
      <c r="B85" s="20" t="s">
        <v>20</v>
      </c>
      <c r="C85" s="20" t="s">
        <v>55</v>
      </c>
      <c r="D85" s="20" t="s">
        <v>56</v>
      </c>
      <c r="E85" s="20" t="s">
        <v>352</v>
      </c>
      <c r="F85" s="20">
        <v>1</v>
      </c>
      <c r="G85" s="20" t="s">
        <v>311</v>
      </c>
      <c r="H85" s="20" t="s">
        <v>312</v>
      </c>
      <c r="I85" s="21" t="s">
        <v>351</v>
      </c>
      <c r="J85" s="21"/>
      <c r="K85" s="21" t="s">
        <v>320</v>
      </c>
      <c r="L85" s="21" t="s">
        <v>329</v>
      </c>
      <c r="M85" s="21" t="s">
        <v>62</v>
      </c>
      <c r="N85" s="21" t="s">
        <v>130</v>
      </c>
    </row>
    <row r="86" spans="1:14" ht="64.05" customHeight="1">
      <c r="A86" s="20" t="s">
        <v>294</v>
      </c>
      <c r="B86" s="20" t="s">
        <v>20</v>
      </c>
      <c r="C86" s="20" t="s">
        <v>55</v>
      </c>
      <c r="D86" s="20" t="s">
        <v>56</v>
      </c>
      <c r="E86" s="20" t="s">
        <v>353</v>
      </c>
      <c r="F86" s="20">
        <v>1</v>
      </c>
      <c r="G86" s="20" t="s">
        <v>311</v>
      </c>
      <c r="H86" s="20" t="s">
        <v>312</v>
      </c>
      <c r="I86" s="21" t="s">
        <v>351</v>
      </c>
      <c r="J86" s="21"/>
      <c r="K86" s="21" t="s">
        <v>320</v>
      </c>
      <c r="L86" s="21" t="s">
        <v>329</v>
      </c>
      <c r="M86" s="21" t="s">
        <v>62</v>
      </c>
      <c r="N86" s="21" t="s">
        <v>130</v>
      </c>
    </row>
    <row r="87" spans="1:14" ht="64.05" customHeight="1">
      <c r="A87" s="20" t="s">
        <v>294</v>
      </c>
      <c r="B87" s="20" t="s">
        <v>20</v>
      </c>
      <c r="C87" s="20" t="s">
        <v>55</v>
      </c>
      <c r="D87" s="20" t="s">
        <v>56</v>
      </c>
      <c r="E87" s="20" t="s">
        <v>354</v>
      </c>
      <c r="F87" s="20">
        <v>1</v>
      </c>
      <c r="G87" s="20" t="s">
        <v>311</v>
      </c>
      <c r="H87" s="20" t="s">
        <v>312</v>
      </c>
      <c r="I87" s="21" t="s">
        <v>351</v>
      </c>
      <c r="J87" s="21"/>
      <c r="K87" s="21" t="s">
        <v>320</v>
      </c>
      <c r="L87" s="21" t="s">
        <v>329</v>
      </c>
      <c r="M87" s="21" t="s">
        <v>62</v>
      </c>
      <c r="N87" s="21" t="s">
        <v>130</v>
      </c>
    </row>
    <row r="88" spans="1:14" ht="64.05" customHeight="1">
      <c r="A88" s="20" t="s">
        <v>294</v>
      </c>
      <c r="B88" s="20" t="s">
        <v>20</v>
      </c>
      <c r="C88" s="20" t="s">
        <v>55</v>
      </c>
      <c r="D88" s="20" t="s">
        <v>56</v>
      </c>
      <c r="E88" s="20" t="s">
        <v>355</v>
      </c>
      <c r="F88" s="20">
        <v>1</v>
      </c>
      <c r="G88" s="20" t="s">
        <v>311</v>
      </c>
      <c r="H88" s="20" t="s">
        <v>312</v>
      </c>
      <c r="I88" s="21" t="s">
        <v>351</v>
      </c>
      <c r="J88" s="21"/>
      <c r="K88" s="21" t="s">
        <v>320</v>
      </c>
      <c r="L88" s="21" t="s">
        <v>326</v>
      </c>
      <c r="M88" s="21" t="s">
        <v>62</v>
      </c>
      <c r="N88" s="21" t="s">
        <v>130</v>
      </c>
    </row>
    <row r="89" spans="1:14" ht="64.05" customHeight="1">
      <c r="A89" s="20" t="s">
        <v>294</v>
      </c>
      <c r="B89" s="20" t="s">
        <v>20</v>
      </c>
      <c r="C89" s="20" t="s">
        <v>55</v>
      </c>
      <c r="D89" s="20" t="s">
        <v>56</v>
      </c>
      <c r="E89" s="20" t="s">
        <v>356</v>
      </c>
      <c r="F89" s="20">
        <v>1</v>
      </c>
      <c r="G89" s="20" t="s">
        <v>311</v>
      </c>
      <c r="H89" s="20" t="s">
        <v>312</v>
      </c>
      <c r="I89" s="21" t="s">
        <v>351</v>
      </c>
      <c r="J89" s="21"/>
      <c r="K89" s="21" t="s">
        <v>320</v>
      </c>
      <c r="L89" s="21" t="s">
        <v>326</v>
      </c>
      <c r="M89" s="21" t="s">
        <v>62</v>
      </c>
      <c r="N89" s="21" t="s">
        <v>130</v>
      </c>
    </row>
    <row r="90" spans="1:14" ht="64.05" customHeight="1">
      <c r="A90" s="20" t="s">
        <v>294</v>
      </c>
      <c r="B90" s="20" t="s">
        <v>20</v>
      </c>
      <c r="C90" s="20" t="s">
        <v>55</v>
      </c>
      <c r="D90" s="20" t="s">
        <v>56</v>
      </c>
      <c r="E90" s="20" t="s">
        <v>357</v>
      </c>
      <c r="F90" s="20">
        <v>1</v>
      </c>
      <c r="G90" s="20" t="s">
        <v>311</v>
      </c>
      <c r="H90" s="20" t="s">
        <v>312</v>
      </c>
      <c r="I90" s="21" t="s">
        <v>351</v>
      </c>
      <c r="J90" s="21"/>
      <c r="K90" s="21" t="s">
        <v>320</v>
      </c>
      <c r="L90" s="21" t="s">
        <v>341</v>
      </c>
      <c r="M90" s="21" t="s">
        <v>62</v>
      </c>
      <c r="N90" s="21" t="s">
        <v>130</v>
      </c>
    </row>
    <row r="91" spans="1:14" ht="64.05" customHeight="1">
      <c r="A91" s="20" t="s">
        <v>294</v>
      </c>
      <c r="B91" s="20" t="s">
        <v>20</v>
      </c>
      <c r="C91" s="20" t="s">
        <v>65</v>
      </c>
      <c r="D91" s="20" t="s">
        <v>66</v>
      </c>
      <c r="E91" s="20" t="s">
        <v>358</v>
      </c>
      <c r="F91" s="20">
        <v>1</v>
      </c>
      <c r="G91" s="20" t="s">
        <v>359</v>
      </c>
      <c r="H91" s="20" t="s">
        <v>266</v>
      </c>
      <c r="I91" s="21" t="s">
        <v>360</v>
      </c>
      <c r="J91" s="21"/>
      <c r="K91" s="21" t="s">
        <v>361</v>
      </c>
      <c r="L91" s="21" t="s">
        <v>362</v>
      </c>
      <c r="M91" s="21" t="s">
        <v>73</v>
      </c>
      <c r="N91" s="21"/>
    </row>
    <row r="92" spans="1:14" ht="64.05" customHeight="1">
      <c r="A92" s="20" t="s">
        <v>294</v>
      </c>
      <c r="B92" s="20" t="s">
        <v>20</v>
      </c>
      <c r="C92" s="20" t="s">
        <v>65</v>
      </c>
      <c r="D92" s="20" t="s">
        <v>66</v>
      </c>
      <c r="E92" s="20" t="s">
        <v>363</v>
      </c>
      <c r="F92" s="20">
        <v>1</v>
      </c>
      <c r="G92" s="20" t="s">
        <v>92</v>
      </c>
      <c r="H92" s="20"/>
      <c r="I92" s="21" t="s">
        <v>364</v>
      </c>
      <c r="J92" s="21"/>
      <c r="K92" s="21" t="s">
        <v>109</v>
      </c>
      <c r="L92" s="21" t="s">
        <v>365</v>
      </c>
      <c r="M92" s="21" t="s">
        <v>73</v>
      </c>
      <c r="N92" s="21"/>
    </row>
    <row r="93" spans="1:14" ht="64.05" customHeight="1">
      <c r="A93" s="20" t="s">
        <v>294</v>
      </c>
      <c r="B93" s="20" t="s">
        <v>20</v>
      </c>
      <c r="C93" s="20" t="s">
        <v>65</v>
      </c>
      <c r="D93" s="20" t="s">
        <v>66</v>
      </c>
      <c r="E93" s="20" t="s">
        <v>366</v>
      </c>
      <c r="F93" s="20">
        <v>1</v>
      </c>
      <c r="G93" s="20" t="s">
        <v>92</v>
      </c>
      <c r="H93" s="20"/>
      <c r="I93" s="21" t="s">
        <v>367</v>
      </c>
      <c r="J93" s="21"/>
      <c r="K93" s="21" t="s">
        <v>368</v>
      </c>
      <c r="L93" s="21" t="s">
        <v>369</v>
      </c>
      <c r="M93" s="21" t="s">
        <v>73</v>
      </c>
      <c r="N93" s="21"/>
    </row>
    <row r="94" spans="1:14" ht="64.05" customHeight="1">
      <c r="A94" s="20" t="s">
        <v>294</v>
      </c>
      <c r="B94" s="20" t="s">
        <v>22</v>
      </c>
      <c r="C94" s="20" t="s">
        <v>370</v>
      </c>
      <c r="D94" s="20" t="s">
        <v>371</v>
      </c>
      <c r="E94" s="20" t="s">
        <v>372</v>
      </c>
      <c r="F94" s="20">
        <v>1</v>
      </c>
      <c r="G94" s="20" t="s">
        <v>92</v>
      </c>
      <c r="H94" s="20"/>
      <c r="I94" s="21" t="s">
        <v>373</v>
      </c>
      <c r="J94" s="21"/>
      <c r="K94" s="21" t="s">
        <v>374</v>
      </c>
      <c r="L94" s="21" t="s">
        <v>375</v>
      </c>
      <c r="M94" s="21" t="s">
        <v>73</v>
      </c>
      <c r="N94" s="21"/>
    </row>
    <row r="95" spans="1:14" ht="64.05" customHeight="1">
      <c r="A95" s="20" t="s">
        <v>294</v>
      </c>
      <c r="B95" s="20" t="s">
        <v>22</v>
      </c>
      <c r="C95" s="20" t="s">
        <v>370</v>
      </c>
      <c r="D95" s="20" t="s">
        <v>371</v>
      </c>
      <c r="E95" s="20" t="s">
        <v>376</v>
      </c>
      <c r="F95" s="20">
        <v>1</v>
      </c>
      <c r="G95" s="20" t="s">
        <v>92</v>
      </c>
      <c r="H95" s="20"/>
      <c r="I95" s="21" t="s">
        <v>373</v>
      </c>
      <c r="J95" s="21"/>
      <c r="K95" s="21" t="s">
        <v>374</v>
      </c>
      <c r="L95" s="21" t="s">
        <v>375</v>
      </c>
      <c r="M95" s="21" t="s">
        <v>73</v>
      </c>
      <c r="N95" s="21"/>
    </row>
    <row r="96" spans="1:14" ht="64.05" customHeight="1">
      <c r="A96" s="20" t="s">
        <v>294</v>
      </c>
      <c r="B96" s="20" t="s">
        <v>22</v>
      </c>
      <c r="C96" s="20" t="s">
        <v>370</v>
      </c>
      <c r="D96" s="20" t="s">
        <v>371</v>
      </c>
      <c r="E96" s="20" t="s">
        <v>377</v>
      </c>
      <c r="F96" s="20">
        <v>1</v>
      </c>
      <c r="G96" s="20" t="s">
        <v>92</v>
      </c>
      <c r="H96" s="20"/>
      <c r="I96" s="21" t="s">
        <v>378</v>
      </c>
      <c r="J96" s="21"/>
      <c r="K96" s="21" t="s">
        <v>374</v>
      </c>
      <c r="L96" s="21" t="s">
        <v>375</v>
      </c>
      <c r="M96" s="21" t="s">
        <v>73</v>
      </c>
      <c r="N96" s="21"/>
    </row>
    <row r="97" spans="1:14" ht="64.05" customHeight="1">
      <c r="A97" s="20" t="s">
        <v>294</v>
      </c>
      <c r="B97" s="20" t="s">
        <v>22</v>
      </c>
      <c r="C97" s="20" t="s">
        <v>370</v>
      </c>
      <c r="D97" s="20" t="s">
        <v>371</v>
      </c>
      <c r="E97" s="20" t="s">
        <v>379</v>
      </c>
      <c r="F97" s="20">
        <v>1</v>
      </c>
      <c r="G97" s="20" t="s">
        <v>92</v>
      </c>
      <c r="H97" s="20"/>
      <c r="I97" s="21" t="s">
        <v>380</v>
      </c>
      <c r="J97" s="21"/>
      <c r="K97" s="21" t="s">
        <v>109</v>
      </c>
      <c r="L97" s="21" t="s">
        <v>381</v>
      </c>
      <c r="M97" s="21" t="s">
        <v>73</v>
      </c>
      <c r="N97" s="21"/>
    </row>
    <row r="98" spans="1:14" ht="64.05" customHeight="1">
      <c r="A98" s="20" t="s">
        <v>294</v>
      </c>
      <c r="B98" s="20" t="s">
        <v>22</v>
      </c>
      <c r="C98" s="20" t="s">
        <v>370</v>
      </c>
      <c r="D98" s="20" t="s">
        <v>371</v>
      </c>
      <c r="E98" s="20" t="s">
        <v>382</v>
      </c>
      <c r="F98" s="20">
        <v>1</v>
      </c>
      <c r="G98" s="20" t="s">
        <v>92</v>
      </c>
      <c r="H98" s="20"/>
      <c r="I98" s="21" t="s">
        <v>383</v>
      </c>
      <c r="J98" s="21"/>
      <c r="K98" s="21" t="s">
        <v>109</v>
      </c>
      <c r="L98" s="21" t="s">
        <v>384</v>
      </c>
      <c r="M98" s="21" t="s">
        <v>73</v>
      </c>
      <c r="N98" s="21"/>
    </row>
    <row r="99" spans="1:14" ht="64.05" customHeight="1">
      <c r="A99" s="20" t="s">
        <v>294</v>
      </c>
      <c r="B99" s="20" t="s">
        <v>23</v>
      </c>
      <c r="C99" s="20" t="s">
        <v>103</v>
      </c>
      <c r="D99" s="20" t="s">
        <v>104</v>
      </c>
      <c r="E99" s="20" t="s">
        <v>385</v>
      </c>
      <c r="F99" s="20">
        <v>1</v>
      </c>
      <c r="G99" s="20" t="s">
        <v>386</v>
      </c>
      <c r="H99" s="20" t="s">
        <v>387</v>
      </c>
      <c r="I99" s="21" t="s">
        <v>388</v>
      </c>
      <c r="J99" s="21"/>
      <c r="K99" s="21" t="s">
        <v>109</v>
      </c>
      <c r="L99" s="21" t="s">
        <v>389</v>
      </c>
      <c r="M99" s="21" t="s">
        <v>73</v>
      </c>
      <c r="N99" s="21"/>
    </row>
    <row r="100" spans="1:14" ht="64.05" customHeight="1">
      <c r="A100" s="20" t="s">
        <v>294</v>
      </c>
      <c r="B100" s="20" t="s">
        <v>23</v>
      </c>
      <c r="C100" s="20" t="s">
        <v>103</v>
      </c>
      <c r="D100" s="20" t="s">
        <v>104</v>
      </c>
      <c r="E100" s="20" t="s">
        <v>390</v>
      </c>
      <c r="F100" s="20">
        <v>1</v>
      </c>
      <c r="G100" s="20" t="s">
        <v>391</v>
      </c>
      <c r="H100" s="20" t="s">
        <v>392</v>
      </c>
      <c r="I100" s="21" t="s">
        <v>393</v>
      </c>
      <c r="J100" s="21"/>
      <c r="K100" s="21" t="s">
        <v>109</v>
      </c>
      <c r="L100" s="21" t="s">
        <v>394</v>
      </c>
      <c r="M100" s="21" t="s">
        <v>73</v>
      </c>
      <c r="N100" s="21"/>
    </row>
    <row r="101" spans="1:14" ht="64.05" customHeight="1">
      <c r="A101" s="20" t="s">
        <v>294</v>
      </c>
      <c r="B101" s="20" t="s">
        <v>23</v>
      </c>
      <c r="C101" s="20" t="s">
        <v>103</v>
      </c>
      <c r="D101" s="20" t="s">
        <v>104</v>
      </c>
      <c r="E101" s="20" t="s">
        <v>395</v>
      </c>
      <c r="F101" s="20">
        <v>1</v>
      </c>
      <c r="G101" s="20" t="s">
        <v>396</v>
      </c>
      <c r="H101" s="20" t="s">
        <v>397</v>
      </c>
      <c r="I101" s="21" t="s">
        <v>398</v>
      </c>
      <c r="J101" s="21"/>
      <c r="K101" s="21" t="s">
        <v>109</v>
      </c>
      <c r="L101" s="21" t="s">
        <v>399</v>
      </c>
      <c r="M101" s="21" t="s">
        <v>62</v>
      </c>
      <c r="N101" s="21" t="s">
        <v>303</v>
      </c>
    </row>
    <row r="102" spans="1:14" ht="64.05" customHeight="1">
      <c r="A102" s="20" t="s">
        <v>294</v>
      </c>
      <c r="B102" s="20" t="s">
        <v>23</v>
      </c>
      <c r="C102" s="20" t="s">
        <v>103</v>
      </c>
      <c r="D102" s="20" t="s">
        <v>104</v>
      </c>
      <c r="E102" s="20" t="s">
        <v>400</v>
      </c>
      <c r="F102" s="20">
        <v>1</v>
      </c>
      <c r="G102" s="20" t="s">
        <v>396</v>
      </c>
      <c r="H102" s="20" t="s">
        <v>397</v>
      </c>
      <c r="I102" s="21" t="s">
        <v>398</v>
      </c>
      <c r="J102" s="21"/>
      <c r="K102" s="21" t="s">
        <v>109</v>
      </c>
      <c r="L102" s="21" t="s">
        <v>399</v>
      </c>
      <c r="M102" s="21" t="s">
        <v>62</v>
      </c>
      <c r="N102" s="21" t="s">
        <v>303</v>
      </c>
    </row>
    <row r="103" spans="1:14" ht="64.05" customHeight="1">
      <c r="A103" s="20" t="s">
        <v>294</v>
      </c>
      <c r="B103" s="20" t="s">
        <v>23</v>
      </c>
      <c r="C103" s="20" t="s">
        <v>103</v>
      </c>
      <c r="D103" s="20" t="s">
        <v>104</v>
      </c>
      <c r="E103" s="20" t="s">
        <v>401</v>
      </c>
      <c r="F103" s="20">
        <v>1</v>
      </c>
      <c r="G103" s="20" t="s">
        <v>396</v>
      </c>
      <c r="H103" s="20" t="s">
        <v>397</v>
      </c>
      <c r="I103" s="21" t="s">
        <v>398</v>
      </c>
      <c r="J103" s="21"/>
      <c r="K103" s="21" t="s">
        <v>109</v>
      </c>
      <c r="L103" s="21" t="s">
        <v>399</v>
      </c>
      <c r="M103" s="21" t="s">
        <v>62</v>
      </c>
      <c r="N103" s="21" t="s">
        <v>303</v>
      </c>
    </row>
    <row r="104" spans="1:14" ht="64.05" customHeight="1">
      <c r="A104" s="20" t="s">
        <v>294</v>
      </c>
      <c r="B104" s="20" t="s">
        <v>23</v>
      </c>
      <c r="C104" s="20" t="s">
        <v>103</v>
      </c>
      <c r="D104" s="20" t="s">
        <v>104</v>
      </c>
      <c r="E104" s="20" t="s">
        <v>402</v>
      </c>
      <c r="F104" s="20">
        <v>1</v>
      </c>
      <c r="G104" s="20" t="s">
        <v>396</v>
      </c>
      <c r="H104" s="20" t="s">
        <v>397</v>
      </c>
      <c r="I104" s="21" t="s">
        <v>398</v>
      </c>
      <c r="J104" s="21"/>
      <c r="K104" s="21" t="s">
        <v>109</v>
      </c>
      <c r="L104" s="21" t="s">
        <v>399</v>
      </c>
      <c r="M104" s="21" t="s">
        <v>62</v>
      </c>
      <c r="N104" s="21" t="s">
        <v>303</v>
      </c>
    </row>
    <row r="105" spans="1:14" ht="64.05" customHeight="1">
      <c r="A105" s="20" t="s">
        <v>294</v>
      </c>
      <c r="B105" s="20" t="s">
        <v>23</v>
      </c>
      <c r="C105" s="20" t="s">
        <v>103</v>
      </c>
      <c r="D105" s="20" t="s">
        <v>104</v>
      </c>
      <c r="E105" s="20" t="s">
        <v>403</v>
      </c>
      <c r="F105" s="20">
        <v>1</v>
      </c>
      <c r="G105" s="20" t="s">
        <v>396</v>
      </c>
      <c r="H105" s="20" t="s">
        <v>397</v>
      </c>
      <c r="I105" s="21" t="s">
        <v>398</v>
      </c>
      <c r="J105" s="21"/>
      <c r="K105" s="21" t="s">
        <v>109</v>
      </c>
      <c r="L105" s="21" t="s">
        <v>399</v>
      </c>
      <c r="M105" s="21" t="s">
        <v>62</v>
      </c>
      <c r="N105" s="21" t="s">
        <v>303</v>
      </c>
    </row>
    <row r="106" spans="1:14" ht="64.05" customHeight="1">
      <c r="A106" s="20" t="s">
        <v>294</v>
      </c>
      <c r="B106" s="20" t="s">
        <v>23</v>
      </c>
      <c r="C106" s="20" t="s">
        <v>103</v>
      </c>
      <c r="D106" s="20" t="s">
        <v>104</v>
      </c>
      <c r="E106" s="20" t="s">
        <v>404</v>
      </c>
      <c r="F106" s="20">
        <v>1</v>
      </c>
      <c r="G106" s="20" t="s">
        <v>396</v>
      </c>
      <c r="H106" s="20" t="s">
        <v>405</v>
      </c>
      <c r="I106" s="21" t="s">
        <v>406</v>
      </c>
      <c r="J106" s="21"/>
      <c r="K106" s="21" t="s">
        <v>406</v>
      </c>
      <c r="L106" s="21" t="s">
        <v>399</v>
      </c>
      <c r="M106" s="21" t="s">
        <v>62</v>
      </c>
      <c r="N106" s="21" t="s">
        <v>303</v>
      </c>
    </row>
    <row r="107" spans="1:14" ht="64.05" customHeight="1">
      <c r="A107" s="20" t="s">
        <v>294</v>
      </c>
      <c r="B107" s="20" t="s">
        <v>23</v>
      </c>
      <c r="C107" s="20" t="s">
        <v>103</v>
      </c>
      <c r="D107" s="20" t="s">
        <v>104</v>
      </c>
      <c r="E107" s="20" t="s">
        <v>407</v>
      </c>
      <c r="F107" s="20">
        <v>1</v>
      </c>
      <c r="G107" s="20" t="s">
        <v>396</v>
      </c>
      <c r="H107" s="20" t="s">
        <v>405</v>
      </c>
      <c r="I107" s="21" t="s">
        <v>408</v>
      </c>
      <c r="J107" s="21"/>
      <c r="K107" s="21" t="s">
        <v>406</v>
      </c>
      <c r="L107" s="21" t="s">
        <v>399</v>
      </c>
      <c r="M107" s="21" t="s">
        <v>62</v>
      </c>
      <c r="N107" s="21" t="s">
        <v>303</v>
      </c>
    </row>
    <row r="108" spans="1:14" ht="64.05" customHeight="1">
      <c r="A108" s="20" t="s">
        <v>294</v>
      </c>
      <c r="B108" s="20" t="s">
        <v>25</v>
      </c>
      <c r="C108" s="20" t="s">
        <v>115</v>
      </c>
      <c r="D108" s="20" t="s">
        <v>409</v>
      </c>
      <c r="E108" s="20" t="s">
        <v>410</v>
      </c>
      <c r="F108" s="20">
        <v>1</v>
      </c>
      <c r="G108" s="20" t="s">
        <v>411</v>
      </c>
      <c r="H108" s="20" t="s">
        <v>409</v>
      </c>
      <c r="I108" s="21" t="s">
        <v>412</v>
      </c>
      <c r="J108" s="21"/>
      <c r="K108" s="21" t="s">
        <v>109</v>
      </c>
      <c r="L108" s="21" t="s">
        <v>413</v>
      </c>
      <c r="M108" s="21" t="s">
        <v>73</v>
      </c>
      <c r="N108" s="21"/>
    </row>
    <row r="109" spans="1:14" ht="64.05" customHeight="1">
      <c r="A109" s="20" t="s">
        <v>294</v>
      </c>
      <c r="B109" s="20" t="s">
        <v>25</v>
      </c>
      <c r="C109" s="20" t="s">
        <v>115</v>
      </c>
      <c r="D109" s="20" t="s">
        <v>409</v>
      </c>
      <c r="E109" s="20" t="s">
        <v>414</v>
      </c>
      <c r="F109" s="20">
        <v>1</v>
      </c>
      <c r="G109" s="20" t="s">
        <v>411</v>
      </c>
      <c r="H109" s="20" t="s">
        <v>409</v>
      </c>
      <c r="I109" s="21" t="s">
        <v>415</v>
      </c>
      <c r="J109" s="21"/>
      <c r="K109" s="21" t="s">
        <v>109</v>
      </c>
      <c r="L109" s="21" t="s">
        <v>416</v>
      </c>
      <c r="M109" s="21" t="s">
        <v>73</v>
      </c>
      <c r="N109" s="21"/>
    </row>
    <row r="110" spans="1:14" ht="64.05" customHeight="1">
      <c r="A110" s="20" t="s">
        <v>294</v>
      </c>
      <c r="B110" s="20" t="s">
        <v>25</v>
      </c>
      <c r="C110" s="20" t="s">
        <v>115</v>
      </c>
      <c r="D110" s="20" t="s">
        <v>409</v>
      </c>
      <c r="E110" s="20" t="s">
        <v>417</v>
      </c>
      <c r="F110" s="20">
        <v>1</v>
      </c>
      <c r="G110" s="20" t="s">
        <v>411</v>
      </c>
      <c r="H110" s="20" t="s">
        <v>409</v>
      </c>
      <c r="I110" s="21" t="s">
        <v>415</v>
      </c>
      <c r="J110" s="21"/>
      <c r="K110" s="21" t="s">
        <v>109</v>
      </c>
      <c r="L110" s="21" t="s">
        <v>416</v>
      </c>
      <c r="M110" s="21" t="s">
        <v>73</v>
      </c>
      <c r="N110" s="21"/>
    </row>
    <row r="111" spans="1:14" ht="64.05" customHeight="1">
      <c r="A111" s="20" t="s">
        <v>294</v>
      </c>
      <c r="B111" s="20" t="s">
        <v>25</v>
      </c>
      <c r="C111" s="20" t="s">
        <v>131</v>
      </c>
      <c r="D111" s="20" t="s">
        <v>132</v>
      </c>
      <c r="E111" s="20" t="s">
        <v>418</v>
      </c>
      <c r="F111" s="20">
        <v>1</v>
      </c>
      <c r="G111" s="20" t="s">
        <v>92</v>
      </c>
      <c r="H111" s="20"/>
      <c r="I111" s="21" t="s">
        <v>419</v>
      </c>
      <c r="J111" s="21"/>
      <c r="K111" s="21" t="s">
        <v>109</v>
      </c>
      <c r="L111" s="21" t="s">
        <v>420</v>
      </c>
      <c r="M111" s="21" t="s">
        <v>62</v>
      </c>
      <c r="N111" s="21" t="s">
        <v>161</v>
      </c>
    </row>
    <row r="112" spans="1:14" ht="64.05" customHeight="1">
      <c r="A112" s="20" t="s">
        <v>294</v>
      </c>
      <c r="B112" s="20" t="s">
        <v>25</v>
      </c>
      <c r="C112" s="20" t="s">
        <v>131</v>
      </c>
      <c r="D112" s="20" t="s">
        <v>132</v>
      </c>
      <c r="E112" s="20" t="s">
        <v>421</v>
      </c>
      <c r="F112" s="20">
        <v>1</v>
      </c>
      <c r="G112" s="20" t="s">
        <v>422</v>
      </c>
      <c r="H112" s="20" t="s">
        <v>423</v>
      </c>
      <c r="I112" s="21" t="s">
        <v>424</v>
      </c>
      <c r="J112" s="21"/>
      <c r="K112" s="21"/>
      <c r="L112" s="21" t="s">
        <v>425</v>
      </c>
      <c r="M112" s="21" t="s">
        <v>73</v>
      </c>
      <c r="N112" s="21"/>
    </row>
    <row r="113" spans="1:14" ht="64.05" customHeight="1">
      <c r="A113" s="20" t="s">
        <v>294</v>
      </c>
      <c r="B113" s="20" t="s">
        <v>24</v>
      </c>
      <c r="C113" s="20" t="s">
        <v>426</v>
      </c>
      <c r="D113" s="20" t="s">
        <v>427</v>
      </c>
      <c r="E113" s="20" t="s">
        <v>428</v>
      </c>
      <c r="F113" s="20">
        <v>1</v>
      </c>
      <c r="G113" s="20" t="s">
        <v>429</v>
      </c>
      <c r="H113" s="20"/>
      <c r="I113" s="21" t="s">
        <v>406</v>
      </c>
      <c r="J113" s="21"/>
      <c r="K113" s="21" t="s">
        <v>406</v>
      </c>
      <c r="L113" s="21" t="s">
        <v>430</v>
      </c>
      <c r="M113" s="21" t="s">
        <v>62</v>
      </c>
      <c r="N113" s="21" t="s">
        <v>299</v>
      </c>
    </row>
    <row r="114" spans="1:14" ht="64.05" customHeight="1">
      <c r="A114" s="20" t="s">
        <v>294</v>
      </c>
      <c r="B114" s="20" t="s">
        <v>24</v>
      </c>
      <c r="C114" s="20" t="s">
        <v>431</v>
      </c>
      <c r="D114" s="20" t="s">
        <v>216</v>
      </c>
      <c r="E114" s="20" t="s">
        <v>432</v>
      </c>
      <c r="F114" s="20">
        <v>1</v>
      </c>
      <c r="G114" s="20" t="s">
        <v>433</v>
      </c>
      <c r="H114" s="20"/>
      <c r="I114" s="21" t="s">
        <v>434</v>
      </c>
      <c r="J114" s="21"/>
      <c r="K114" s="21"/>
      <c r="L114" s="21" t="s">
        <v>435</v>
      </c>
      <c r="M114" s="21" t="s">
        <v>62</v>
      </c>
      <c r="N114" s="21" t="s">
        <v>63</v>
      </c>
    </row>
    <row r="115" spans="1:14" ht="64.05" customHeight="1">
      <c r="A115" s="20" t="s">
        <v>294</v>
      </c>
      <c r="B115" s="20" t="s">
        <v>24</v>
      </c>
      <c r="C115" s="20" t="s">
        <v>436</v>
      </c>
      <c r="D115" s="20" t="s">
        <v>437</v>
      </c>
      <c r="E115" s="20" t="s">
        <v>438</v>
      </c>
      <c r="F115" s="20">
        <v>1</v>
      </c>
      <c r="G115" s="20" t="s">
        <v>92</v>
      </c>
      <c r="H115" s="20"/>
      <c r="I115" s="21" t="s">
        <v>112</v>
      </c>
      <c r="J115" s="21"/>
      <c r="K115" s="21" t="s">
        <v>112</v>
      </c>
      <c r="L115" s="21" t="s">
        <v>439</v>
      </c>
      <c r="M115" s="21" t="s">
        <v>102</v>
      </c>
      <c r="N115" s="21"/>
    </row>
    <row r="116" spans="1:14" ht="64.05" customHeight="1">
      <c r="A116" s="20" t="s">
        <v>294</v>
      </c>
      <c r="B116" s="20" t="s">
        <v>24</v>
      </c>
      <c r="C116" s="20" t="s">
        <v>436</v>
      </c>
      <c r="D116" s="20" t="s">
        <v>437</v>
      </c>
      <c r="E116" s="20" t="s">
        <v>440</v>
      </c>
      <c r="F116" s="20">
        <v>1</v>
      </c>
      <c r="G116" s="20" t="s">
        <v>92</v>
      </c>
      <c r="H116" s="20"/>
      <c r="I116" s="21" t="s">
        <v>112</v>
      </c>
      <c r="J116" s="21"/>
      <c r="K116" s="21" t="s">
        <v>441</v>
      </c>
      <c r="L116" s="21" t="s">
        <v>442</v>
      </c>
      <c r="M116" s="21" t="s">
        <v>62</v>
      </c>
      <c r="N116" s="21" t="s">
        <v>187</v>
      </c>
    </row>
    <row r="117" spans="1:14" ht="64.05" customHeight="1">
      <c r="A117" s="20" t="s">
        <v>294</v>
      </c>
      <c r="B117" s="20" t="s">
        <v>24</v>
      </c>
      <c r="C117" s="20" t="s">
        <v>443</v>
      </c>
      <c r="D117" s="20" t="s">
        <v>444</v>
      </c>
      <c r="E117" s="20" t="s">
        <v>445</v>
      </c>
      <c r="F117" s="20">
        <v>1</v>
      </c>
      <c r="G117" s="20" t="s">
        <v>139</v>
      </c>
      <c r="H117" s="20"/>
      <c r="I117" s="21" t="s">
        <v>406</v>
      </c>
      <c r="J117" s="21" t="s">
        <v>446</v>
      </c>
      <c r="K117" s="21" t="s">
        <v>141</v>
      </c>
      <c r="L117" s="21" t="s">
        <v>447</v>
      </c>
      <c r="M117" s="21" t="s">
        <v>102</v>
      </c>
      <c r="N117" s="21"/>
    </row>
    <row r="118" spans="1:14" ht="64.05" customHeight="1">
      <c r="A118" s="20" t="s">
        <v>294</v>
      </c>
      <c r="B118" s="20" t="s">
        <v>28</v>
      </c>
      <c r="C118" s="20" t="s">
        <v>448</v>
      </c>
      <c r="D118" s="20" t="s">
        <v>449</v>
      </c>
      <c r="E118" s="20" t="s">
        <v>450</v>
      </c>
      <c r="F118" s="20">
        <v>1</v>
      </c>
      <c r="G118" s="20" t="s">
        <v>92</v>
      </c>
      <c r="H118" s="20"/>
      <c r="I118" s="21" t="s">
        <v>451</v>
      </c>
      <c r="J118" s="21"/>
      <c r="K118" s="21" t="s">
        <v>109</v>
      </c>
      <c r="L118" s="21" t="s">
        <v>452</v>
      </c>
      <c r="M118" s="21" t="s">
        <v>62</v>
      </c>
      <c r="N118" s="21" t="s">
        <v>187</v>
      </c>
    </row>
    <row r="119" spans="1:14" ht="64.05" customHeight="1">
      <c r="A119" s="20" t="s">
        <v>294</v>
      </c>
      <c r="B119" s="20" t="s">
        <v>28</v>
      </c>
      <c r="C119" s="20" t="s">
        <v>167</v>
      </c>
      <c r="D119" s="20" t="s">
        <v>168</v>
      </c>
      <c r="E119" s="20" t="s">
        <v>453</v>
      </c>
      <c r="F119" s="20">
        <v>1</v>
      </c>
      <c r="G119" s="20" t="s">
        <v>454</v>
      </c>
      <c r="H119" s="20" t="s">
        <v>455</v>
      </c>
      <c r="I119" s="21" t="s">
        <v>456</v>
      </c>
      <c r="J119" s="21"/>
      <c r="K119" s="21" t="s">
        <v>457</v>
      </c>
      <c r="L119" s="21" t="s">
        <v>458</v>
      </c>
      <c r="M119" s="21" t="s">
        <v>62</v>
      </c>
      <c r="N119" s="21" t="s">
        <v>303</v>
      </c>
    </row>
    <row r="120" spans="1:14" ht="64.05" customHeight="1">
      <c r="A120" s="20" t="s">
        <v>294</v>
      </c>
      <c r="B120" s="20" t="s">
        <v>28</v>
      </c>
      <c r="C120" s="20" t="s">
        <v>167</v>
      </c>
      <c r="D120" s="20" t="s">
        <v>168</v>
      </c>
      <c r="E120" s="20" t="s">
        <v>459</v>
      </c>
      <c r="F120" s="20">
        <v>1</v>
      </c>
      <c r="G120" s="20" t="s">
        <v>460</v>
      </c>
      <c r="H120" s="20" t="s">
        <v>461</v>
      </c>
      <c r="I120" s="21" t="s">
        <v>462</v>
      </c>
      <c r="J120" s="21"/>
      <c r="K120" s="21" t="s">
        <v>78</v>
      </c>
      <c r="L120" s="21" t="s">
        <v>463</v>
      </c>
      <c r="M120" s="21" t="s">
        <v>73</v>
      </c>
      <c r="N120" s="21"/>
    </row>
    <row r="121" spans="1:14" ht="64.05" customHeight="1">
      <c r="A121" s="20" t="s">
        <v>294</v>
      </c>
      <c r="B121" s="20" t="s">
        <v>28</v>
      </c>
      <c r="C121" s="20" t="s">
        <v>167</v>
      </c>
      <c r="D121" s="20" t="s">
        <v>168</v>
      </c>
      <c r="E121" s="20" t="s">
        <v>464</v>
      </c>
      <c r="F121" s="20">
        <v>1</v>
      </c>
      <c r="G121" s="20" t="s">
        <v>454</v>
      </c>
      <c r="H121" s="20" t="s">
        <v>455</v>
      </c>
      <c r="I121" s="21" t="s">
        <v>465</v>
      </c>
      <c r="J121" s="21"/>
      <c r="K121" s="21" t="s">
        <v>78</v>
      </c>
      <c r="L121" s="21" t="s">
        <v>466</v>
      </c>
      <c r="M121" s="21" t="s">
        <v>73</v>
      </c>
      <c r="N121" s="21"/>
    </row>
    <row r="122" spans="1:14" ht="64.05" customHeight="1">
      <c r="A122" s="20" t="s">
        <v>294</v>
      </c>
      <c r="B122" s="20" t="s">
        <v>28</v>
      </c>
      <c r="C122" s="20" t="s">
        <v>167</v>
      </c>
      <c r="D122" s="20" t="s">
        <v>168</v>
      </c>
      <c r="E122" s="20" t="s">
        <v>467</v>
      </c>
      <c r="F122" s="20">
        <v>1</v>
      </c>
      <c r="G122" s="20" t="s">
        <v>460</v>
      </c>
      <c r="H122" s="20" t="s">
        <v>461</v>
      </c>
      <c r="I122" s="21" t="s">
        <v>468</v>
      </c>
      <c r="J122" s="21"/>
      <c r="K122" s="21" t="s">
        <v>78</v>
      </c>
      <c r="L122" s="21" t="s">
        <v>469</v>
      </c>
      <c r="M122" s="21" t="s">
        <v>73</v>
      </c>
      <c r="N122" s="21"/>
    </row>
    <row r="123" spans="1:14" ht="64.05" customHeight="1">
      <c r="A123" s="20" t="s">
        <v>294</v>
      </c>
      <c r="B123" s="20" t="s">
        <v>28</v>
      </c>
      <c r="C123" s="20" t="s">
        <v>167</v>
      </c>
      <c r="D123" s="20" t="s">
        <v>168</v>
      </c>
      <c r="E123" s="20" t="s">
        <v>470</v>
      </c>
      <c r="F123" s="20">
        <v>1</v>
      </c>
      <c r="G123" s="20" t="s">
        <v>454</v>
      </c>
      <c r="H123" s="20" t="s">
        <v>455</v>
      </c>
      <c r="I123" s="21" t="s">
        <v>468</v>
      </c>
      <c r="J123" s="21"/>
      <c r="K123" s="21" t="s">
        <v>78</v>
      </c>
      <c r="L123" s="21" t="s">
        <v>469</v>
      </c>
      <c r="M123" s="21" t="s">
        <v>73</v>
      </c>
      <c r="N123" s="21"/>
    </row>
    <row r="124" spans="1:14" ht="64.05" customHeight="1">
      <c r="A124" s="20" t="s">
        <v>294</v>
      </c>
      <c r="B124" s="20" t="s">
        <v>28</v>
      </c>
      <c r="C124" s="20" t="s">
        <v>167</v>
      </c>
      <c r="D124" s="20" t="s">
        <v>168</v>
      </c>
      <c r="E124" s="20" t="s">
        <v>471</v>
      </c>
      <c r="F124" s="20">
        <v>1</v>
      </c>
      <c r="G124" s="20" t="s">
        <v>454</v>
      </c>
      <c r="H124" s="20" t="s">
        <v>455</v>
      </c>
      <c r="I124" s="21" t="s">
        <v>468</v>
      </c>
      <c r="J124" s="21"/>
      <c r="K124" s="21" t="s">
        <v>78</v>
      </c>
      <c r="L124" s="21" t="s">
        <v>469</v>
      </c>
      <c r="M124" s="21" t="s">
        <v>73</v>
      </c>
      <c r="N124" s="21"/>
    </row>
    <row r="125" spans="1:14" ht="64.05" customHeight="1">
      <c r="A125" s="20" t="s">
        <v>294</v>
      </c>
      <c r="B125" s="20" t="s">
        <v>28</v>
      </c>
      <c r="C125" s="20" t="s">
        <v>167</v>
      </c>
      <c r="D125" s="20" t="s">
        <v>168</v>
      </c>
      <c r="E125" s="20" t="s">
        <v>472</v>
      </c>
      <c r="F125" s="20">
        <v>1</v>
      </c>
      <c r="G125" s="20" t="s">
        <v>454</v>
      </c>
      <c r="H125" s="20" t="s">
        <v>455</v>
      </c>
      <c r="I125" s="21" t="s">
        <v>473</v>
      </c>
      <c r="J125" s="21"/>
      <c r="K125" s="21" t="s">
        <v>78</v>
      </c>
      <c r="L125" s="21" t="s">
        <v>469</v>
      </c>
      <c r="M125" s="21" t="s">
        <v>73</v>
      </c>
      <c r="N125" s="21"/>
    </row>
    <row r="126" spans="1:14" ht="64.05" customHeight="1">
      <c r="A126" s="20" t="s">
        <v>294</v>
      </c>
      <c r="B126" s="20" t="s">
        <v>28</v>
      </c>
      <c r="C126" s="20" t="s">
        <v>167</v>
      </c>
      <c r="D126" s="20" t="s">
        <v>168</v>
      </c>
      <c r="E126" s="20" t="s">
        <v>474</v>
      </c>
      <c r="F126" s="20">
        <v>1</v>
      </c>
      <c r="G126" s="20" t="s">
        <v>454</v>
      </c>
      <c r="H126" s="20" t="s">
        <v>455</v>
      </c>
      <c r="I126" s="21" t="s">
        <v>468</v>
      </c>
      <c r="J126" s="21"/>
      <c r="K126" s="21" t="s">
        <v>78</v>
      </c>
      <c r="L126" s="21" t="s">
        <v>469</v>
      </c>
      <c r="M126" s="21" t="s">
        <v>73</v>
      </c>
      <c r="N126" s="21"/>
    </row>
    <row r="127" spans="1:14" ht="64.05" customHeight="1">
      <c r="A127" s="20" t="s">
        <v>294</v>
      </c>
      <c r="B127" s="20" t="s">
        <v>27</v>
      </c>
      <c r="C127" s="20" t="s">
        <v>475</v>
      </c>
      <c r="D127" s="20" t="s">
        <v>476</v>
      </c>
      <c r="E127" s="20" t="s">
        <v>477</v>
      </c>
      <c r="F127" s="20">
        <v>1</v>
      </c>
      <c r="G127" s="20" t="s">
        <v>92</v>
      </c>
      <c r="H127" s="20"/>
      <c r="I127" s="21"/>
      <c r="J127" s="21"/>
      <c r="K127" s="21" t="s">
        <v>478</v>
      </c>
      <c r="L127" s="21" t="s">
        <v>479</v>
      </c>
      <c r="M127" s="21" t="s">
        <v>102</v>
      </c>
      <c r="N127" s="21"/>
    </row>
    <row r="128" spans="1:14" ht="64.05" customHeight="1">
      <c r="A128" s="20" t="s">
        <v>294</v>
      </c>
      <c r="B128" s="20" t="s">
        <v>30</v>
      </c>
      <c r="C128" s="20" t="s">
        <v>188</v>
      </c>
      <c r="D128" s="20" t="s">
        <v>189</v>
      </c>
      <c r="E128" s="20" t="s">
        <v>480</v>
      </c>
      <c r="F128" s="20">
        <v>1</v>
      </c>
      <c r="G128" s="20" t="s">
        <v>481</v>
      </c>
      <c r="H128" s="20" t="s">
        <v>76</v>
      </c>
      <c r="I128" s="21" t="s">
        <v>482</v>
      </c>
      <c r="J128" s="21"/>
      <c r="K128" s="21" t="s">
        <v>78</v>
      </c>
      <c r="L128" s="21" t="s">
        <v>483</v>
      </c>
      <c r="M128" s="21" t="s">
        <v>73</v>
      </c>
      <c r="N128" s="21"/>
    </row>
    <row r="129" spans="1:14" ht="64.05" customHeight="1">
      <c r="A129" s="20" t="s">
        <v>294</v>
      </c>
      <c r="B129" s="20" t="s">
        <v>30</v>
      </c>
      <c r="C129" s="20" t="s">
        <v>188</v>
      </c>
      <c r="D129" s="20" t="s">
        <v>189</v>
      </c>
      <c r="E129" s="20" t="s">
        <v>484</v>
      </c>
      <c r="F129" s="20">
        <v>1</v>
      </c>
      <c r="G129" s="20" t="s">
        <v>481</v>
      </c>
      <c r="H129" s="20" t="s">
        <v>76</v>
      </c>
      <c r="I129" s="21" t="s">
        <v>485</v>
      </c>
      <c r="J129" s="21"/>
      <c r="K129" s="21" t="s">
        <v>78</v>
      </c>
      <c r="L129" s="21" t="s">
        <v>483</v>
      </c>
      <c r="M129" s="21" t="s">
        <v>73</v>
      </c>
      <c r="N129" s="21"/>
    </row>
    <row r="130" spans="1:14" ht="64.05" customHeight="1">
      <c r="A130" s="20" t="s">
        <v>294</v>
      </c>
      <c r="B130" s="20" t="s">
        <v>26</v>
      </c>
      <c r="C130" s="20" t="s">
        <v>196</v>
      </c>
      <c r="D130" s="20" t="s">
        <v>197</v>
      </c>
      <c r="E130" s="20" t="s">
        <v>486</v>
      </c>
      <c r="F130" s="20">
        <v>1</v>
      </c>
      <c r="G130" s="20" t="s">
        <v>487</v>
      </c>
      <c r="H130" s="20" t="s">
        <v>488</v>
      </c>
      <c r="I130" s="21" t="s">
        <v>406</v>
      </c>
      <c r="J130" s="21"/>
      <c r="K130" s="21"/>
      <c r="L130" s="21" t="s">
        <v>489</v>
      </c>
      <c r="M130" s="21" t="s">
        <v>73</v>
      </c>
      <c r="N130" s="21"/>
    </row>
    <row r="131" spans="1:14" ht="64.05" customHeight="1">
      <c r="A131" s="20" t="s">
        <v>294</v>
      </c>
      <c r="B131" s="20" t="s">
        <v>26</v>
      </c>
      <c r="C131" s="20" t="s">
        <v>196</v>
      </c>
      <c r="D131" s="20" t="s">
        <v>197</v>
      </c>
      <c r="E131" s="20" t="s">
        <v>490</v>
      </c>
      <c r="F131" s="20">
        <v>1</v>
      </c>
      <c r="G131" s="20" t="s">
        <v>487</v>
      </c>
      <c r="H131" s="20" t="s">
        <v>488</v>
      </c>
      <c r="I131" s="21" t="s">
        <v>406</v>
      </c>
      <c r="J131" s="21"/>
      <c r="K131" s="21"/>
      <c r="L131" s="21" t="s">
        <v>489</v>
      </c>
      <c r="M131" s="21" t="s">
        <v>73</v>
      </c>
      <c r="N131" s="21"/>
    </row>
    <row r="132" spans="1:14" ht="64.05" customHeight="1">
      <c r="A132" s="20" t="s">
        <v>294</v>
      </c>
      <c r="B132" s="20" t="s">
        <v>31</v>
      </c>
      <c r="C132" s="20" t="s">
        <v>491</v>
      </c>
      <c r="D132" s="20" t="s">
        <v>492</v>
      </c>
      <c r="E132" s="20" t="s">
        <v>493</v>
      </c>
      <c r="F132" s="20">
        <v>1</v>
      </c>
      <c r="G132" s="20" t="s">
        <v>494</v>
      </c>
      <c r="H132" s="20" t="s">
        <v>495</v>
      </c>
      <c r="I132" s="21" t="s">
        <v>496</v>
      </c>
      <c r="J132" s="21"/>
      <c r="K132" s="21" t="s">
        <v>109</v>
      </c>
      <c r="L132" s="21" t="s">
        <v>497</v>
      </c>
      <c r="M132" s="21" t="s">
        <v>62</v>
      </c>
      <c r="N132" s="21" t="s">
        <v>187</v>
      </c>
    </row>
    <row r="133" spans="1:14" ht="64.05" customHeight="1">
      <c r="A133" s="20" t="s">
        <v>294</v>
      </c>
      <c r="B133" s="20" t="s">
        <v>31</v>
      </c>
      <c r="C133" s="20" t="s">
        <v>491</v>
      </c>
      <c r="D133" s="20" t="s">
        <v>492</v>
      </c>
      <c r="E133" s="20" t="s">
        <v>498</v>
      </c>
      <c r="F133" s="20">
        <v>1</v>
      </c>
      <c r="G133" s="20" t="s">
        <v>494</v>
      </c>
      <c r="H133" s="20" t="s">
        <v>495</v>
      </c>
      <c r="I133" s="21" t="s">
        <v>496</v>
      </c>
      <c r="J133" s="21"/>
      <c r="K133" s="21" t="s">
        <v>109</v>
      </c>
      <c r="L133" s="21" t="s">
        <v>497</v>
      </c>
      <c r="M133" s="21" t="s">
        <v>62</v>
      </c>
      <c r="N133" s="21" t="s">
        <v>187</v>
      </c>
    </row>
    <row r="134" spans="1:14" ht="64.05" customHeight="1">
      <c r="A134" s="20" t="s">
        <v>294</v>
      </c>
      <c r="B134" s="20" t="s">
        <v>21</v>
      </c>
      <c r="C134" s="20" t="s">
        <v>207</v>
      </c>
      <c r="D134" s="20" t="s">
        <v>208</v>
      </c>
      <c r="E134" s="20" t="s">
        <v>499</v>
      </c>
      <c r="F134" s="20">
        <v>1</v>
      </c>
      <c r="G134" s="20" t="s">
        <v>500</v>
      </c>
      <c r="H134" s="20" t="s">
        <v>488</v>
      </c>
      <c r="I134" s="21" t="s">
        <v>501</v>
      </c>
      <c r="J134" s="21"/>
      <c r="K134" s="21" t="s">
        <v>406</v>
      </c>
      <c r="L134" s="21" t="s">
        <v>502</v>
      </c>
      <c r="M134" s="21" t="s">
        <v>62</v>
      </c>
      <c r="N134" s="21" t="s">
        <v>130</v>
      </c>
    </row>
    <row r="135" spans="1:14" ht="64.05" customHeight="1">
      <c r="A135" s="20" t="s">
        <v>294</v>
      </c>
      <c r="B135" s="20" t="s">
        <v>21</v>
      </c>
      <c r="C135" s="20" t="s">
        <v>207</v>
      </c>
      <c r="D135" s="20" t="s">
        <v>208</v>
      </c>
      <c r="E135" s="20" t="s">
        <v>503</v>
      </c>
      <c r="F135" s="20">
        <v>1</v>
      </c>
      <c r="G135" s="20" t="s">
        <v>504</v>
      </c>
      <c r="H135" s="20" t="s">
        <v>505</v>
      </c>
      <c r="I135" s="21" t="s">
        <v>501</v>
      </c>
      <c r="J135" s="21"/>
      <c r="K135" s="21" t="s">
        <v>406</v>
      </c>
      <c r="L135" s="21" t="s">
        <v>506</v>
      </c>
      <c r="M135" s="21" t="s">
        <v>62</v>
      </c>
      <c r="N135" s="21" t="s">
        <v>130</v>
      </c>
    </row>
    <row r="136" spans="1:14" ht="64.05" customHeight="1">
      <c r="A136" s="20" t="s">
        <v>294</v>
      </c>
      <c r="B136" s="20" t="s">
        <v>21</v>
      </c>
      <c r="C136" s="20" t="s">
        <v>215</v>
      </c>
      <c r="D136" s="20" t="s">
        <v>216</v>
      </c>
      <c r="E136" s="20" t="s">
        <v>507</v>
      </c>
      <c r="F136" s="20">
        <v>1</v>
      </c>
      <c r="G136" s="20" t="s">
        <v>508</v>
      </c>
      <c r="H136" s="20" t="s">
        <v>509</v>
      </c>
      <c r="I136" s="21" t="s">
        <v>205</v>
      </c>
      <c r="J136" s="21"/>
      <c r="K136" s="21" t="s">
        <v>109</v>
      </c>
      <c r="L136" s="21" t="s">
        <v>510</v>
      </c>
      <c r="M136" s="21" t="s">
        <v>62</v>
      </c>
      <c r="N136" s="21" t="s">
        <v>130</v>
      </c>
    </row>
    <row r="137" spans="1:14" ht="64.05" customHeight="1">
      <c r="A137" s="20" t="s">
        <v>294</v>
      </c>
      <c r="B137" s="20" t="s">
        <v>21</v>
      </c>
      <c r="C137" s="20" t="s">
        <v>228</v>
      </c>
      <c r="D137" s="20" t="s">
        <v>229</v>
      </c>
      <c r="E137" s="20" t="s">
        <v>511</v>
      </c>
      <c r="F137" s="20">
        <v>1</v>
      </c>
      <c r="G137" s="20" t="s">
        <v>512</v>
      </c>
      <c r="H137" s="20" t="s">
        <v>513</v>
      </c>
      <c r="I137" s="21" t="s">
        <v>514</v>
      </c>
      <c r="J137" s="21"/>
      <c r="K137" s="21" t="s">
        <v>185</v>
      </c>
      <c r="L137" s="21" t="s">
        <v>515</v>
      </c>
      <c r="M137" s="21" t="s">
        <v>62</v>
      </c>
      <c r="N137" s="21" t="s">
        <v>130</v>
      </c>
    </row>
    <row r="138" spans="1:14" ht="64.05" customHeight="1">
      <c r="A138" s="20" t="s">
        <v>294</v>
      </c>
      <c r="B138" s="20" t="s">
        <v>21</v>
      </c>
      <c r="C138" s="20" t="s">
        <v>239</v>
      </c>
      <c r="D138" s="20" t="s">
        <v>147</v>
      </c>
      <c r="E138" s="20" t="s">
        <v>516</v>
      </c>
      <c r="F138" s="20">
        <v>1</v>
      </c>
      <c r="G138" s="20"/>
      <c r="H138" s="20"/>
      <c r="I138" s="21" t="s">
        <v>517</v>
      </c>
      <c r="J138" s="21"/>
      <c r="K138" s="21" t="s">
        <v>518</v>
      </c>
      <c r="L138" s="21" t="s">
        <v>519</v>
      </c>
      <c r="M138" s="21" t="s">
        <v>62</v>
      </c>
      <c r="N138" s="21" t="s">
        <v>520</v>
      </c>
    </row>
    <row r="139" spans="1:14" ht="64.05" customHeight="1">
      <c r="A139" s="20" t="s">
        <v>294</v>
      </c>
      <c r="B139" s="20" t="s">
        <v>21</v>
      </c>
      <c r="C139" s="20" t="s">
        <v>239</v>
      </c>
      <c r="D139" s="20" t="s">
        <v>147</v>
      </c>
      <c r="E139" s="20" t="s">
        <v>521</v>
      </c>
      <c r="F139" s="20">
        <v>1</v>
      </c>
      <c r="G139" s="20"/>
      <c r="H139" s="20"/>
      <c r="I139" s="21" t="s">
        <v>517</v>
      </c>
      <c r="J139" s="21"/>
      <c r="K139" s="21" t="s">
        <v>518</v>
      </c>
      <c r="L139" s="21" t="s">
        <v>522</v>
      </c>
      <c r="M139" s="21" t="s">
        <v>62</v>
      </c>
      <c r="N139" s="21" t="s">
        <v>520</v>
      </c>
    </row>
    <row r="140" spans="1:14" ht="64.05" customHeight="1">
      <c r="A140" s="20" t="s">
        <v>294</v>
      </c>
      <c r="B140" s="20" t="s">
        <v>21</v>
      </c>
      <c r="C140" s="20" t="s">
        <v>239</v>
      </c>
      <c r="D140" s="20" t="s">
        <v>147</v>
      </c>
      <c r="E140" s="20" t="s">
        <v>523</v>
      </c>
      <c r="F140" s="20">
        <v>1</v>
      </c>
      <c r="G140" s="20" t="s">
        <v>249</v>
      </c>
      <c r="H140" s="20" t="s">
        <v>524</v>
      </c>
      <c r="I140" s="21" t="s">
        <v>501</v>
      </c>
      <c r="J140" s="21"/>
      <c r="K140" s="21"/>
      <c r="L140" s="21" t="s">
        <v>525</v>
      </c>
      <c r="M140" s="21" t="s">
        <v>62</v>
      </c>
      <c r="N140" s="21" t="s">
        <v>130</v>
      </c>
    </row>
    <row r="141" spans="1:14" ht="64.05" customHeight="1">
      <c r="A141" s="20" t="s">
        <v>294</v>
      </c>
      <c r="B141" s="20" t="s">
        <v>21</v>
      </c>
      <c r="C141" s="20" t="s">
        <v>239</v>
      </c>
      <c r="D141" s="20" t="s">
        <v>147</v>
      </c>
      <c r="E141" s="20" t="s">
        <v>526</v>
      </c>
      <c r="F141" s="20">
        <v>1</v>
      </c>
      <c r="G141" s="20" t="s">
        <v>527</v>
      </c>
      <c r="H141" s="20" t="s">
        <v>528</v>
      </c>
      <c r="I141" s="21" t="s">
        <v>529</v>
      </c>
      <c r="J141" s="21"/>
      <c r="K141" s="21"/>
      <c r="L141" s="21" t="s">
        <v>530</v>
      </c>
      <c r="M141" s="21" t="s">
        <v>62</v>
      </c>
      <c r="N141" s="21" t="s">
        <v>187</v>
      </c>
    </row>
    <row r="142" spans="1:14" ht="64.05" customHeight="1">
      <c r="A142" s="20" t="s">
        <v>294</v>
      </c>
      <c r="B142" s="20" t="s">
        <v>20</v>
      </c>
      <c r="C142" s="20" t="s">
        <v>55</v>
      </c>
      <c r="D142" s="20" t="s">
        <v>56</v>
      </c>
      <c r="E142" s="20" t="s">
        <v>332</v>
      </c>
      <c r="F142" s="20">
        <v>1</v>
      </c>
      <c r="G142" s="20" t="s">
        <v>311</v>
      </c>
      <c r="H142" s="20" t="s">
        <v>312</v>
      </c>
      <c r="I142" s="21" t="s">
        <v>351</v>
      </c>
      <c r="J142" s="21"/>
      <c r="K142" s="21" t="s">
        <v>320</v>
      </c>
      <c r="L142" s="21" t="s">
        <v>326</v>
      </c>
      <c r="M142" s="21" t="s">
        <v>62</v>
      </c>
      <c r="N142" s="21" t="s">
        <v>130</v>
      </c>
    </row>
    <row r="143" spans="1:14" ht="64.05" customHeight="1">
      <c r="A143" s="20" t="s">
        <v>531</v>
      </c>
      <c r="B143" s="20" t="s">
        <v>20</v>
      </c>
      <c r="C143" s="20" t="s">
        <v>55</v>
      </c>
      <c r="D143" s="20" t="s">
        <v>56</v>
      </c>
      <c r="E143" s="20" t="s">
        <v>532</v>
      </c>
      <c r="F143" s="20">
        <v>1</v>
      </c>
      <c r="G143" s="20" t="s">
        <v>296</v>
      </c>
      <c r="H143" s="20" t="s">
        <v>533</v>
      </c>
      <c r="I143" s="21" t="s">
        <v>141</v>
      </c>
      <c r="J143" s="21"/>
      <c r="K143" s="21" t="s">
        <v>406</v>
      </c>
      <c r="L143" s="21" t="s">
        <v>534</v>
      </c>
      <c r="M143" s="21" t="s">
        <v>62</v>
      </c>
      <c r="N143" s="21" t="s">
        <v>299</v>
      </c>
    </row>
    <row r="144" spans="1:14" ht="64.05" customHeight="1">
      <c r="A144" s="20" t="s">
        <v>531</v>
      </c>
      <c r="B144" s="20" t="s">
        <v>20</v>
      </c>
      <c r="C144" s="20" t="s">
        <v>55</v>
      </c>
      <c r="D144" s="20" t="s">
        <v>56</v>
      </c>
      <c r="E144" s="20" t="s">
        <v>535</v>
      </c>
      <c r="F144" s="20">
        <v>1</v>
      </c>
      <c r="G144" s="20" t="s">
        <v>296</v>
      </c>
      <c r="H144" s="20" t="s">
        <v>533</v>
      </c>
      <c r="I144" s="21" t="s">
        <v>141</v>
      </c>
      <c r="J144" s="21"/>
      <c r="K144" s="21" t="s">
        <v>406</v>
      </c>
      <c r="L144" s="21" t="s">
        <v>536</v>
      </c>
      <c r="M144" s="21" t="s">
        <v>62</v>
      </c>
      <c r="N144" s="21" t="s">
        <v>299</v>
      </c>
    </row>
    <row r="145" spans="1:14" ht="64.05" customHeight="1">
      <c r="A145" s="20" t="s">
        <v>531</v>
      </c>
      <c r="B145" s="20" t="s">
        <v>20</v>
      </c>
      <c r="C145" s="20" t="s">
        <v>55</v>
      </c>
      <c r="D145" s="20" t="s">
        <v>56</v>
      </c>
      <c r="E145" s="20" t="s">
        <v>537</v>
      </c>
      <c r="F145" s="20">
        <v>1</v>
      </c>
      <c r="G145" s="20" t="s">
        <v>296</v>
      </c>
      <c r="H145" s="20" t="s">
        <v>533</v>
      </c>
      <c r="I145" s="21" t="s">
        <v>141</v>
      </c>
      <c r="J145" s="21"/>
      <c r="K145" s="21" t="s">
        <v>406</v>
      </c>
      <c r="L145" s="21" t="s">
        <v>538</v>
      </c>
      <c r="M145" s="21" t="s">
        <v>62</v>
      </c>
      <c r="N145" s="21" t="s">
        <v>299</v>
      </c>
    </row>
    <row r="146" spans="1:14" ht="64.05" customHeight="1">
      <c r="A146" s="20" t="s">
        <v>531</v>
      </c>
      <c r="B146" s="20" t="s">
        <v>20</v>
      </c>
      <c r="C146" s="20" t="s">
        <v>55</v>
      </c>
      <c r="D146" s="20" t="s">
        <v>56</v>
      </c>
      <c r="E146" s="20" t="s">
        <v>539</v>
      </c>
      <c r="F146" s="20">
        <v>1</v>
      </c>
      <c r="G146" s="20" t="s">
        <v>296</v>
      </c>
      <c r="H146" s="20" t="s">
        <v>533</v>
      </c>
      <c r="I146" s="21" t="s">
        <v>141</v>
      </c>
      <c r="J146" s="21"/>
      <c r="K146" s="21" t="s">
        <v>406</v>
      </c>
      <c r="L146" s="21" t="s">
        <v>540</v>
      </c>
      <c r="M146" s="21" t="s">
        <v>62</v>
      </c>
      <c r="N146" s="21" t="s">
        <v>299</v>
      </c>
    </row>
    <row r="147" spans="1:14" ht="64.05" customHeight="1">
      <c r="A147" s="20" t="s">
        <v>531</v>
      </c>
      <c r="B147" s="20" t="s">
        <v>20</v>
      </c>
      <c r="C147" s="20" t="s">
        <v>55</v>
      </c>
      <c r="D147" s="20" t="s">
        <v>56</v>
      </c>
      <c r="E147" s="20" t="s">
        <v>541</v>
      </c>
      <c r="F147" s="20">
        <v>1</v>
      </c>
      <c r="G147" s="20" t="s">
        <v>296</v>
      </c>
      <c r="H147" s="20" t="s">
        <v>533</v>
      </c>
      <c r="I147" s="21" t="s">
        <v>141</v>
      </c>
      <c r="J147" s="21"/>
      <c r="K147" s="21" t="s">
        <v>406</v>
      </c>
      <c r="L147" s="21" t="s">
        <v>538</v>
      </c>
      <c r="M147" s="21" t="s">
        <v>62</v>
      </c>
      <c r="N147" s="21" t="s">
        <v>299</v>
      </c>
    </row>
    <row r="148" spans="1:14" ht="64.05" customHeight="1">
      <c r="A148" s="20" t="s">
        <v>531</v>
      </c>
      <c r="B148" s="20" t="s">
        <v>20</v>
      </c>
      <c r="C148" s="20" t="s">
        <v>55</v>
      </c>
      <c r="D148" s="20" t="s">
        <v>56</v>
      </c>
      <c r="E148" s="20" t="s">
        <v>542</v>
      </c>
      <c r="F148" s="20">
        <v>1</v>
      </c>
      <c r="G148" s="20" t="s">
        <v>296</v>
      </c>
      <c r="H148" s="20" t="s">
        <v>533</v>
      </c>
      <c r="I148" s="21" t="s">
        <v>141</v>
      </c>
      <c r="J148" s="21"/>
      <c r="K148" s="21" t="s">
        <v>406</v>
      </c>
      <c r="L148" s="21" t="s">
        <v>538</v>
      </c>
      <c r="M148" s="21" t="s">
        <v>62</v>
      </c>
      <c r="N148" s="21" t="s">
        <v>299</v>
      </c>
    </row>
    <row r="149" spans="1:14" ht="64.05" customHeight="1">
      <c r="A149" s="20" t="s">
        <v>531</v>
      </c>
      <c r="B149" s="20" t="s">
        <v>20</v>
      </c>
      <c r="C149" s="20" t="s">
        <v>65</v>
      </c>
      <c r="D149" s="20" t="s">
        <v>66</v>
      </c>
      <c r="E149" s="20" t="s">
        <v>543</v>
      </c>
      <c r="F149" s="20">
        <v>1</v>
      </c>
      <c r="G149" s="20" t="s">
        <v>58</v>
      </c>
      <c r="H149" s="20" t="s">
        <v>544</v>
      </c>
      <c r="I149" s="21" t="s">
        <v>545</v>
      </c>
      <c r="J149" s="21" t="s">
        <v>245</v>
      </c>
      <c r="K149" s="21"/>
      <c r="L149" s="21" t="s">
        <v>546</v>
      </c>
      <c r="M149" s="21" t="s">
        <v>73</v>
      </c>
      <c r="N149" s="21"/>
    </row>
    <row r="150" spans="1:14" ht="64.05" customHeight="1">
      <c r="A150" s="20" t="s">
        <v>531</v>
      </c>
      <c r="B150" s="20" t="s">
        <v>20</v>
      </c>
      <c r="C150" s="20" t="s">
        <v>65</v>
      </c>
      <c r="D150" s="20" t="s">
        <v>66</v>
      </c>
      <c r="E150" s="20" t="s">
        <v>547</v>
      </c>
      <c r="F150" s="20">
        <v>1</v>
      </c>
      <c r="G150" s="20" t="s">
        <v>58</v>
      </c>
      <c r="H150" s="20" t="s">
        <v>544</v>
      </c>
      <c r="I150" s="21" t="s">
        <v>548</v>
      </c>
      <c r="J150" s="21" t="s">
        <v>245</v>
      </c>
      <c r="K150" s="21"/>
      <c r="L150" s="21" t="s">
        <v>549</v>
      </c>
      <c r="M150" s="21" t="s">
        <v>73</v>
      </c>
      <c r="N150" s="21"/>
    </row>
    <row r="151" spans="1:14" ht="64.05" customHeight="1">
      <c r="A151" s="20" t="s">
        <v>531</v>
      </c>
      <c r="B151" s="20" t="s">
        <v>20</v>
      </c>
      <c r="C151" s="20" t="s">
        <v>65</v>
      </c>
      <c r="D151" s="20" t="s">
        <v>66</v>
      </c>
      <c r="E151" s="20" t="s">
        <v>550</v>
      </c>
      <c r="F151" s="20">
        <v>1</v>
      </c>
      <c r="G151" s="20" t="s">
        <v>92</v>
      </c>
      <c r="H151" s="20"/>
      <c r="I151" s="21" t="s">
        <v>140</v>
      </c>
      <c r="J151" s="21"/>
      <c r="K151" s="21" t="s">
        <v>551</v>
      </c>
      <c r="L151" s="21" t="s">
        <v>552</v>
      </c>
      <c r="M151" s="21" t="s">
        <v>73</v>
      </c>
      <c r="N151" s="21"/>
    </row>
    <row r="152" spans="1:14" ht="64.05" customHeight="1">
      <c r="A152" s="20" t="s">
        <v>531</v>
      </c>
      <c r="B152" s="20" t="s">
        <v>20</v>
      </c>
      <c r="C152" s="20" t="s">
        <v>65</v>
      </c>
      <c r="D152" s="20" t="s">
        <v>66</v>
      </c>
      <c r="E152" s="20" t="s">
        <v>553</v>
      </c>
      <c r="F152" s="20">
        <v>1</v>
      </c>
      <c r="G152" s="20" t="s">
        <v>92</v>
      </c>
      <c r="H152" s="20"/>
      <c r="I152" s="21" t="s">
        <v>554</v>
      </c>
      <c r="J152" s="21"/>
      <c r="K152" s="21" t="s">
        <v>555</v>
      </c>
      <c r="L152" s="21" t="s">
        <v>556</v>
      </c>
      <c r="M152" s="21" t="s">
        <v>102</v>
      </c>
      <c r="N152" s="21"/>
    </row>
    <row r="153" spans="1:14" ht="64.05" customHeight="1">
      <c r="A153" s="20" t="s">
        <v>531</v>
      </c>
      <c r="B153" s="20" t="s">
        <v>20</v>
      </c>
      <c r="C153" s="20" t="s">
        <v>65</v>
      </c>
      <c r="D153" s="20" t="s">
        <v>66</v>
      </c>
      <c r="E153" s="20" t="s">
        <v>557</v>
      </c>
      <c r="F153" s="20">
        <v>1</v>
      </c>
      <c r="G153" s="20" t="s">
        <v>92</v>
      </c>
      <c r="H153" s="20"/>
      <c r="I153" s="21" t="s">
        <v>554</v>
      </c>
      <c r="J153" s="21"/>
      <c r="K153" s="21" t="s">
        <v>555</v>
      </c>
      <c r="L153" s="21" t="s">
        <v>556</v>
      </c>
      <c r="M153" s="21" t="s">
        <v>102</v>
      </c>
      <c r="N153" s="21"/>
    </row>
    <row r="154" spans="1:14" ht="64.05" customHeight="1">
      <c r="A154" s="20" t="s">
        <v>531</v>
      </c>
      <c r="B154" s="20" t="s">
        <v>20</v>
      </c>
      <c r="C154" s="20" t="s">
        <v>65</v>
      </c>
      <c r="D154" s="20" t="s">
        <v>66</v>
      </c>
      <c r="E154" s="20" t="s">
        <v>558</v>
      </c>
      <c r="F154" s="20">
        <v>1</v>
      </c>
      <c r="G154" s="20" t="s">
        <v>92</v>
      </c>
      <c r="H154" s="20"/>
      <c r="I154" s="21" t="s">
        <v>140</v>
      </c>
      <c r="J154" s="21"/>
      <c r="K154" s="21" t="s">
        <v>559</v>
      </c>
      <c r="L154" s="21" t="s">
        <v>552</v>
      </c>
      <c r="M154" s="21" t="s">
        <v>73</v>
      </c>
      <c r="N154" s="21"/>
    </row>
    <row r="155" spans="1:14" ht="64.05" customHeight="1">
      <c r="A155" s="20" t="s">
        <v>531</v>
      </c>
      <c r="B155" s="20" t="s">
        <v>22</v>
      </c>
      <c r="C155" s="20" t="s">
        <v>370</v>
      </c>
      <c r="D155" s="20" t="s">
        <v>371</v>
      </c>
      <c r="E155" s="20" t="s">
        <v>560</v>
      </c>
      <c r="F155" s="20">
        <v>1</v>
      </c>
      <c r="G155" s="20" t="s">
        <v>561</v>
      </c>
      <c r="H155" s="20" t="s">
        <v>562</v>
      </c>
      <c r="I155" s="21" t="s">
        <v>563</v>
      </c>
      <c r="J155" s="21"/>
      <c r="K155" s="21" t="s">
        <v>109</v>
      </c>
      <c r="L155" s="21" t="s">
        <v>564</v>
      </c>
      <c r="M155" s="21" t="s">
        <v>73</v>
      </c>
      <c r="N155" s="21"/>
    </row>
    <row r="156" spans="1:14" ht="64.05" customHeight="1">
      <c r="A156" s="20" t="s">
        <v>531</v>
      </c>
      <c r="B156" s="20" t="s">
        <v>22</v>
      </c>
      <c r="C156" s="20" t="s">
        <v>370</v>
      </c>
      <c r="D156" s="20" t="s">
        <v>371</v>
      </c>
      <c r="E156" s="20" t="s">
        <v>565</v>
      </c>
      <c r="F156" s="20">
        <v>1</v>
      </c>
      <c r="G156" s="20" t="s">
        <v>92</v>
      </c>
      <c r="H156" s="20"/>
      <c r="I156" s="21" t="s">
        <v>566</v>
      </c>
      <c r="J156" s="21"/>
      <c r="K156" s="21" t="s">
        <v>567</v>
      </c>
      <c r="L156" s="21" t="s">
        <v>568</v>
      </c>
      <c r="M156" s="21" t="s">
        <v>73</v>
      </c>
      <c r="N156" s="21"/>
    </row>
    <row r="157" spans="1:14" ht="64.05" customHeight="1">
      <c r="A157" s="20" t="s">
        <v>531</v>
      </c>
      <c r="B157" s="20" t="s">
        <v>22</v>
      </c>
      <c r="C157" s="20" t="s">
        <v>370</v>
      </c>
      <c r="D157" s="20" t="s">
        <v>371</v>
      </c>
      <c r="E157" s="20" t="s">
        <v>569</v>
      </c>
      <c r="F157" s="20">
        <v>1</v>
      </c>
      <c r="G157" s="20" t="s">
        <v>92</v>
      </c>
      <c r="H157" s="20"/>
      <c r="I157" s="21" t="s">
        <v>570</v>
      </c>
      <c r="J157" s="21"/>
      <c r="K157" s="21" t="s">
        <v>571</v>
      </c>
      <c r="L157" s="21" t="s">
        <v>568</v>
      </c>
      <c r="M157" s="21" t="s">
        <v>73</v>
      </c>
      <c r="N157" s="21"/>
    </row>
    <row r="158" spans="1:14" ht="64.05" customHeight="1">
      <c r="A158" s="20" t="s">
        <v>531</v>
      </c>
      <c r="B158" s="20" t="s">
        <v>22</v>
      </c>
      <c r="C158" s="20" t="s">
        <v>370</v>
      </c>
      <c r="D158" s="20" t="s">
        <v>371</v>
      </c>
      <c r="E158" s="20" t="s">
        <v>572</v>
      </c>
      <c r="F158" s="20">
        <v>1</v>
      </c>
      <c r="G158" s="20" t="s">
        <v>92</v>
      </c>
      <c r="H158" s="20"/>
      <c r="I158" s="21" t="s">
        <v>573</v>
      </c>
      <c r="J158" s="21"/>
      <c r="K158" s="21" t="s">
        <v>574</v>
      </c>
      <c r="L158" s="21" t="s">
        <v>568</v>
      </c>
      <c r="M158" s="21" t="s">
        <v>73</v>
      </c>
      <c r="N158" s="21"/>
    </row>
    <row r="159" spans="1:14" ht="64.05" customHeight="1">
      <c r="A159" s="20" t="s">
        <v>531</v>
      </c>
      <c r="B159" s="20" t="s">
        <v>22</v>
      </c>
      <c r="C159" s="20" t="s">
        <v>370</v>
      </c>
      <c r="D159" s="20" t="s">
        <v>371</v>
      </c>
      <c r="E159" s="20" t="s">
        <v>575</v>
      </c>
      <c r="F159" s="20">
        <v>1</v>
      </c>
      <c r="G159" s="20" t="s">
        <v>92</v>
      </c>
      <c r="H159" s="20"/>
      <c r="I159" s="21" t="s">
        <v>576</v>
      </c>
      <c r="J159" s="21"/>
      <c r="K159" s="21" t="s">
        <v>574</v>
      </c>
      <c r="L159" s="21" t="s">
        <v>568</v>
      </c>
      <c r="M159" s="21" t="s">
        <v>73</v>
      </c>
      <c r="N159" s="21"/>
    </row>
    <row r="160" spans="1:14" ht="64.05" customHeight="1">
      <c r="A160" s="20" t="s">
        <v>531</v>
      </c>
      <c r="B160" s="20" t="s">
        <v>22</v>
      </c>
      <c r="C160" s="20" t="s">
        <v>370</v>
      </c>
      <c r="D160" s="20" t="s">
        <v>371</v>
      </c>
      <c r="E160" s="20" t="s">
        <v>577</v>
      </c>
      <c r="F160" s="20">
        <v>1</v>
      </c>
      <c r="G160" s="20" t="s">
        <v>92</v>
      </c>
      <c r="H160" s="20"/>
      <c r="I160" s="21" t="s">
        <v>576</v>
      </c>
      <c r="J160" s="21"/>
      <c r="K160" s="21" t="s">
        <v>574</v>
      </c>
      <c r="L160" s="21" t="s">
        <v>568</v>
      </c>
      <c r="M160" s="21" t="s">
        <v>73</v>
      </c>
      <c r="N160" s="21"/>
    </row>
    <row r="161" spans="1:14" ht="64.05" customHeight="1">
      <c r="A161" s="20" t="s">
        <v>531</v>
      </c>
      <c r="B161" s="20" t="s">
        <v>22</v>
      </c>
      <c r="C161" s="20" t="s">
        <v>370</v>
      </c>
      <c r="D161" s="20" t="s">
        <v>371</v>
      </c>
      <c r="E161" s="20" t="s">
        <v>578</v>
      </c>
      <c r="F161" s="20">
        <v>1</v>
      </c>
      <c r="G161" s="20" t="s">
        <v>92</v>
      </c>
      <c r="H161" s="20"/>
      <c r="I161" s="21" t="s">
        <v>406</v>
      </c>
      <c r="J161" s="21"/>
      <c r="K161" s="21" t="s">
        <v>579</v>
      </c>
      <c r="L161" s="21" t="s">
        <v>580</v>
      </c>
      <c r="M161" s="21" t="s">
        <v>102</v>
      </c>
      <c r="N161" s="21"/>
    </row>
    <row r="162" spans="1:14" ht="64.05" customHeight="1">
      <c r="A162" s="20" t="s">
        <v>531</v>
      </c>
      <c r="B162" s="20" t="s">
        <v>22</v>
      </c>
      <c r="C162" s="20" t="s">
        <v>370</v>
      </c>
      <c r="D162" s="20" t="s">
        <v>371</v>
      </c>
      <c r="E162" s="20" t="s">
        <v>581</v>
      </c>
      <c r="F162" s="20">
        <v>1</v>
      </c>
      <c r="G162" s="20" t="s">
        <v>92</v>
      </c>
      <c r="H162" s="20"/>
      <c r="I162" s="21" t="s">
        <v>406</v>
      </c>
      <c r="J162" s="21" t="s">
        <v>582</v>
      </c>
      <c r="K162" s="21" t="s">
        <v>583</v>
      </c>
      <c r="L162" s="21" t="s">
        <v>584</v>
      </c>
      <c r="M162" s="21" t="s">
        <v>73</v>
      </c>
      <c r="N162" s="21"/>
    </row>
    <row r="163" spans="1:14" ht="64.05" customHeight="1">
      <c r="A163" s="20" t="s">
        <v>531</v>
      </c>
      <c r="B163" s="20" t="s">
        <v>22</v>
      </c>
      <c r="C163" s="20" t="s">
        <v>370</v>
      </c>
      <c r="D163" s="20" t="s">
        <v>371</v>
      </c>
      <c r="E163" s="20" t="s">
        <v>585</v>
      </c>
      <c r="F163" s="20">
        <v>1</v>
      </c>
      <c r="G163" s="20" t="s">
        <v>92</v>
      </c>
      <c r="H163" s="20"/>
      <c r="I163" s="21" t="s">
        <v>406</v>
      </c>
      <c r="J163" s="21"/>
      <c r="K163" s="21" t="s">
        <v>586</v>
      </c>
      <c r="L163" s="21" t="s">
        <v>587</v>
      </c>
      <c r="M163" s="21" t="s">
        <v>102</v>
      </c>
      <c r="N163" s="21"/>
    </row>
    <row r="164" spans="1:14" ht="64.05" customHeight="1">
      <c r="A164" s="20" t="s">
        <v>531</v>
      </c>
      <c r="B164" s="20" t="s">
        <v>22</v>
      </c>
      <c r="C164" s="20" t="s">
        <v>89</v>
      </c>
      <c r="D164" s="20" t="s">
        <v>90</v>
      </c>
      <c r="E164" s="20" t="s">
        <v>588</v>
      </c>
      <c r="F164" s="20">
        <v>1</v>
      </c>
      <c r="G164" s="20" t="s">
        <v>589</v>
      </c>
      <c r="H164" s="20" t="s">
        <v>590</v>
      </c>
      <c r="I164" s="21" t="s">
        <v>140</v>
      </c>
      <c r="J164" s="21" t="s">
        <v>245</v>
      </c>
      <c r="K164" s="21" t="s">
        <v>591</v>
      </c>
      <c r="L164" s="21" t="s">
        <v>592</v>
      </c>
      <c r="M164" s="21" t="s">
        <v>62</v>
      </c>
      <c r="N164" s="21" t="s">
        <v>63</v>
      </c>
    </row>
    <row r="165" spans="1:14" ht="64.05" customHeight="1">
      <c r="A165" s="20" t="s">
        <v>531</v>
      </c>
      <c r="B165" s="20" t="s">
        <v>23</v>
      </c>
      <c r="C165" s="20" t="s">
        <v>103</v>
      </c>
      <c r="D165" s="20" t="s">
        <v>104</v>
      </c>
      <c r="E165" s="20" t="s">
        <v>593</v>
      </c>
      <c r="F165" s="20">
        <v>1</v>
      </c>
      <c r="G165" s="20" t="s">
        <v>386</v>
      </c>
      <c r="H165" s="20" t="s">
        <v>594</v>
      </c>
      <c r="I165" s="21" t="s">
        <v>595</v>
      </c>
      <c r="J165" s="21"/>
      <c r="K165" s="21"/>
      <c r="L165" s="21" t="s">
        <v>596</v>
      </c>
      <c r="M165" s="21" t="s">
        <v>73</v>
      </c>
      <c r="N165" s="21"/>
    </row>
    <row r="166" spans="1:14" ht="64.05" customHeight="1">
      <c r="A166" s="20" t="s">
        <v>531</v>
      </c>
      <c r="B166" s="20" t="s">
        <v>23</v>
      </c>
      <c r="C166" s="20" t="s">
        <v>103</v>
      </c>
      <c r="D166" s="20" t="s">
        <v>104</v>
      </c>
      <c r="E166" s="20" t="s">
        <v>597</v>
      </c>
      <c r="F166" s="20">
        <v>1</v>
      </c>
      <c r="G166" s="20" t="s">
        <v>92</v>
      </c>
      <c r="H166" s="20"/>
      <c r="I166" s="21" t="s">
        <v>598</v>
      </c>
      <c r="J166" s="21"/>
      <c r="K166" s="21" t="s">
        <v>599</v>
      </c>
      <c r="L166" s="21" t="s">
        <v>600</v>
      </c>
      <c r="M166" s="21" t="s">
        <v>102</v>
      </c>
      <c r="N166" s="21"/>
    </row>
    <row r="167" spans="1:14" ht="64.05" customHeight="1">
      <c r="A167" s="20" t="s">
        <v>531</v>
      </c>
      <c r="B167" s="20" t="s">
        <v>23</v>
      </c>
      <c r="C167" s="20" t="s">
        <v>103</v>
      </c>
      <c r="D167" s="20" t="s">
        <v>104</v>
      </c>
      <c r="E167" s="20" t="s">
        <v>601</v>
      </c>
      <c r="F167" s="20">
        <v>1</v>
      </c>
      <c r="G167" s="20" t="s">
        <v>92</v>
      </c>
      <c r="H167" s="20"/>
      <c r="I167" s="21"/>
      <c r="J167" s="21"/>
      <c r="K167" s="21"/>
      <c r="L167" s="21" t="s">
        <v>602</v>
      </c>
      <c r="M167" s="21" t="s">
        <v>102</v>
      </c>
      <c r="N167" s="21"/>
    </row>
    <row r="168" spans="1:14" ht="64.05" customHeight="1">
      <c r="A168" s="20" t="s">
        <v>531</v>
      </c>
      <c r="B168" s="20" t="s">
        <v>25</v>
      </c>
      <c r="C168" s="20" t="s">
        <v>131</v>
      </c>
      <c r="D168" s="20" t="s">
        <v>132</v>
      </c>
      <c r="E168" s="20" t="s">
        <v>603</v>
      </c>
      <c r="F168" s="20">
        <v>1</v>
      </c>
      <c r="G168" s="20" t="s">
        <v>604</v>
      </c>
      <c r="H168" s="20" t="s">
        <v>605</v>
      </c>
      <c r="I168" s="21" t="s">
        <v>606</v>
      </c>
      <c r="J168" s="21"/>
      <c r="K168" s="21"/>
      <c r="L168" s="21" t="s">
        <v>607</v>
      </c>
      <c r="M168" s="21" t="s">
        <v>73</v>
      </c>
      <c r="N168" s="21"/>
    </row>
    <row r="169" spans="1:14" ht="64.05" customHeight="1">
      <c r="A169" s="20" t="s">
        <v>531</v>
      </c>
      <c r="B169" s="20" t="s">
        <v>25</v>
      </c>
      <c r="C169" s="20" t="s">
        <v>131</v>
      </c>
      <c r="D169" s="20" t="s">
        <v>132</v>
      </c>
      <c r="E169" s="20" t="s">
        <v>608</v>
      </c>
      <c r="F169" s="20">
        <v>1</v>
      </c>
      <c r="G169" s="20" t="s">
        <v>604</v>
      </c>
      <c r="H169" s="20" t="s">
        <v>605</v>
      </c>
      <c r="I169" s="21" t="s">
        <v>606</v>
      </c>
      <c r="J169" s="21"/>
      <c r="K169" s="21"/>
      <c r="L169" s="21" t="s">
        <v>607</v>
      </c>
      <c r="M169" s="21" t="s">
        <v>73</v>
      </c>
      <c r="N169" s="21"/>
    </row>
    <row r="170" spans="1:14" ht="64.05" customHeight="1">
      <c r="A170" s="20" t="s">
        <v>531</v>
      </c>
      <c r="B170" s="20" t="s">
        <v>25</v>
      </c>
      <c r="C170" s="20" t="s">
        <v>131</v>
      </c>
      <c r="D170" s="20" t="s">
        <v>132</v>
      </c>
      <c r="E170" s="20" t="s">
        <v>609</v>
      </c>
      <c r="F170" s="20">
        <v>1</v>
      </c>
      <c r="G170" s="20" t="s">
        <v>604</v>
      </c>
      <c r="H170" s="20" t="s">
        <v>605</v>
      </c>
      <c r="I170" s="21" t="s">
        <v>606</v>
      </c>
      <c r="J170" s="21"/>
      <c r="K170" s="21"/>
      <c r="L170" s="21" t="s">
        <v>607</v>
      </c>
      <c r="M170" s="21" t="s">
        <v>73</v>
      </c>
      <c r="N170" s="21"/>
    </row>
    <row r="171" spans="1:14" ht="64.05" customHeight="1">
      <c r="A171" s="20" t="s">
        <v>531</v>
      </c>
      <c r="B171" s="20" t="s">
        <v>25</v>
      </c>
      <c r="C171" s="20" t="s">
        <v>131</v>
      </c>
      <c r="D171" s="20" t="s">
        <v>132</v>
      </c>
      <c r="E171" s="20" t="s">
        <v>610</v>
      </c>
      <c r="F171" s="20">
        <v>1</v>
      </c>
      <c r="G171" s="20" t="s">
        <v>604</v>
      </c>
      <c r="H171" s="20" t="s">
        <v>605</v>
      </c>
      <c r="I171" s="21" t="s">
        <v>606</v>
      </c>
      <c r="J171" s="21"/>
      <c r="K171" s="21"/>
      <c r="L171" s="21" t="s">
        <v>607</v>
      </c>
      <c r="M171" s="21" t="s">
        <v>73</v>
      </c>
      <c r="N171" s="21"/>
    </row>
    <row r="172" spans="1:14" ht="64.05" customHeight="1">
      <c r="A172" s="20" t="s">
        <v>531</v>
      </c>
      <c r="B172" s="20" t="s">
        <v>25</v>
      </c>
      <c r="C172" s="20" t="s">
        <v>131</v>
      </c>
      <c r="D172" s="20" t="s">
        <v>132</v>
      </c>
      <c r="E172" s="20" t="s">
        <v>611</v>
      </c>
      <c r="F172" s="20">
        <v>1</v>
      </c>
      <c r="G172" s="20" t="s">
        <v>604</v>
      </c>
      <c r="H172" s="20" t="s">
        <v>605</v>
      </c>
      <c r="I172" s="21" t="s">
        <v>606</v>
      </c>
      <c r="J172" s="21"/>
      <c r="K172" s="21"/>
      <c r="L172" s="21" t="s">
        <v>607</v>
      </c>
      <c r="M172" s="21" t="s">
        <v>73</v>
      </c>
      <c r="N172" s="21"/>
    </row>
    <row r="173" spans="1:14" ht="64.05" customHeight="1">
      <c r="A173" s="20" t="s">
        <v>531</v>
      </c>
      <c r="B173" s="20" t="s">
        <v>25</v>
      </c>
      <c r="C173" s="20" t="s">
        <v>131</v>
      </c>
      <c r="D173" s="20" t="s">
        <v>132</v>
      </c>
      <c r="E173" s="20" t="s">
        <v>612</v>
      </c>
      <c r="F173" s="20">
        <v>1</v>
      </c>
      <c r="G173" s="20" t="s">
        <v>604</v>
      </c>
      <c r="H173" s="20" t="s">
        <v>605</v>
      </c>
      <c r="I173" s="21" t="s">
        <v>606</v>
      </c>
      <c r="J173" s="21"/>
      <c r="K173" s="21"/>
      <c r="L173" s="21" t="s">
        <v>607</v>
      </c>
      <c r="M173" s="21" t="s">
        <v>73</v>
      </c>
      <c r="N173" s="21"/>
    </row>
    <row r="174" spans="1:14" ht="64.05" customHeight="1">
      <c r="A174" s="20" t="s">
        <v>531</v>
      </c>
      <c r="B174" s="20" t="s">
        <v>25</v>
      </c>
      <c r="C174" s="20" t="s">
        <v>131</v>
      </c>
      <c r="D174" s="20" t="s">
        <v>132</v>
      </c>
      <c r="E174" s="20" t="s">
        <v>613</v>
      </c>
      <c r="F174" s="20">
        <v>1</v>
      </c>
      <c r="G174" s="20" t="s">
        <v>604</v>
      </c>
      <c r="H174" s="20" t="s">
        <v>605</v>
      </c>
      <c r="I174" s="21" t="s">
        <v>606</v>
      </c>
      <c r="J174" s="21"/>
      <c r="K174" s="21"/>
      <c r="L174" s="21" t="s">
        <v>607</v>
      </c>
      <c r="M174" s="21" t="s">
        <v>73</v>
      </c>
      <c r="N174" s="21"/>
    </row>
    <row r="175" spans="1:14" ht="64.05" customHeight="1">
      <c r="A175" s="20" t="s">
        <v>531</v>
      </c>
      <c r="B175" s="20" t="s">
        <v>25</v>
      </c>
      <c r="C175" s="20" t="s">
        <v>131</v>
      </c>
      <c r="D175" s="20" t="s">
        <v>132</v>
      </c>
      <c r="E175" s="20" t="s">
        <v>614</v>
      </c>
      <c r="F175" s="20">
        <v>1</v>
      </c>
      <c r="G175" s="20" t="s">
        <v>604</v>
      </c>
      <c r="H175" s="20" t="s">
        <v>605</v>
      </c>
      <c r="I175" s="21" t="s">
        <v>606</v>
      </c>
      <c r="J175" s="21"/>
      <c r="K175" s="21"/>
      <c r="L175" s="21" t="s">
        <v>607</v>
      </c>
      <c r="M175" s="21" t="s">
        <v>73</v>
      </c>
      <c r="N175" s="21"/>
    </row>
    <row r="176" spans="1:14" ht="64.05" customHeight="1">
      <c r="A176" s="20" t="s">
        <v>531</v>
      </c>
      <c r="B176" s="20" t="s">
        <v>25</v>
      </c>
      <c r="C176" s="20" t="s">
        <v>131</v>
      </c>
      <c r="D176" s="20" t="s">
        <v>132</v>
      </c>
      <c r="E176" s="20" t="s">
        <v>615</v>
      </c>
      <c r="F176" s="20">
        <v>1</v>
      </c>
      <c r="G176" s="20" t="s">
        <v>604</v>
      </c>
      <c r="H176" s="20" t="s">
        <v>605</v>
      </c>
      <c r="I176" s="21" t="s">
        <v>606</v>
      </c>
      <c r="J176" s="21"/>
      <c r="K176" s="21"/>
      <c r="L176" s="21" t="s">
        <v>607</v>
      </c>
      <c r="M176" s="21" t="s">
        <v>73</v>
      </c>
      <c r="N176" s="21"/>
    </row>
    <row r="177" spans="1:14" ht="64.05" customHeight="1">
      <c r="A177" s="20" t="s">
        <v>531</v>
      </c>
      <c r="B177" s="20" t="s">
        <v>25</v>
      </c>
      <c r="C177" s="20" t="s">
        <v>131</v>
      </c>
      <c r="D177" s="20" t="s">
        <v>132</v>
      </c>
      <c r="E177" s="20" t="s">
        <v>616</v>
      </c>
      <c r="F177" s="20">
        <v>1</v>
      </c>
      <c r="G177" s="20" t="s">
        <v>139</v>
      </c>
      <c r="H177" s="20"/>
      <c r="I177" s="21" t="s">
        <v>140</v>
      </c>
      <c r="J177" s="21" t="s">
        <v>446</v>
      </c>
      <c r="K177" s="21" t="s">
        <v>617</v>
      </c>
      <c r="L177" s="21" t="s">
        <v>618</v>
      </c>
      <c r="M177" s="21" t="s">
        <v>102</v>
      </c>
      <c r="N177" s="21"/>
    </row>
    <row r="178" spans="1:14" ht="64.05" customHeight="1">
      <c r="A178" s="20" t="s">
        <v>531</v>
      </c>
      <c r="B178" s="20" t="s">
        <v>24</v>
      </c>
      <c r="C178" s="20" t="s">
        <v>619</v>
      </c>
      <c r="D178" s="20" t="s">
        <v>116</v>
      </c>
      <c r="E178" s="20" t="s">
        <v>620</v>
      </c>
      <c r="F178" s="20">
        <v>1</v>
      </c>
      <c r="G178" s="20" t="s">
        <v>92</v>
      </c>
      <c r="H178" s="20"/>
      <c r="I178" s="21" t="s">
        <v>621</v>
      </c>
      <c r="J178" s="21"/>
      <c r="K178" s="21" t="s">
        <v>622</v>
      </c>
      <c r="L178" s="21" t="s">
        <v>623</v>
      </c>
      <c r="M178" s="21" t="s">
        <v>62</v>
      </c>
      <c r="N178" s="21" t="s">
        <v>624</v>
      </c>
    </row>
    <row r="179" spans="1:14" ht="64.05" customHeight="1">
      <c r="A179" s="20" t="s">
        <v>531</v>
      </c>
      <c r="B179" s="20" t="s">
        <v>24</v>
      </c>
      <c r="C179" s="20" t="s">
        <v>619</v>
      </c>
      <c r="D179" s="20" t="s">
        <v>116</v>
      </c>
      <c r="E179" s="20" t="s">
        <v>625</v>
      </c>
      <c r="F179" s="20">
        <v>1</v>
      </c>
      <c r="G179" s="20" t="s">
        <v>92</v>
      </c>
      <c r="H179" s="20"/>
      <c r="I179" s="21" t="s">
        <v>626</v>
      </c>
      <c r="J179" s="21"/>
      <c r="K179" s="21"/>
      <c r="L179" s="21" t="s">
        <v>627</v>
      </c>
      <c r="M179" s="21" t="s">
        <v>62</v>
      </c>
      <c r="N179" s="21" t="s">
        <v>624</v>
      </c>
    </row>
    <row r="180" spans="1:14" ht="64.05" customHeight="1">
      <c r="A180" s="20" t="s">
        <v>531</v>
      </c>
      <c r="B180" s="20" t="s">
        <v>24</v>
      </c>
      <c r="C180" s="20" t="s">
        <v>619</v>
      </c>
      <c r="D180" s="20" t="s">
        <v>116</v>
      </c>
      <c r="E180" s="20" t="s">
        <v>628</v>
      </c>
      <c r="F180" s="20">
        <v>1</v>
      </c>
      <c r="G180" s="20" t="s">
        <v>629</v>
      </c>
      <c r="H180" s="20" t="s">
        <v>630</v>
      </c>
      <c r="I180" s="21" t="s">
        <v>626</v>
      </c>
      <c r="J180" s="21"/>
      <c r="K180" s="21" t="s">
        <v>320</v>
      </c>
      <c r="L180" s="21" t="s">
        <v>631</v>
      </c>
      <c r="M180" s="21" t="s">
        <v>62</v>
      </c>
      <c r="N180" s="21" t="s">
        <v>624</v>
      </c>
    </row>
    <row r="181" spans="1:14" ht="64.05" customHeight="1">
      <c r="A181" s="20" t="s">
        <v>531</v>
      </c>
      <c r="B181" s="20" t="s">
        <v>24</v>
      </c>
      <c r="C181" s="20" t="s">
        <v>431</v>
      </c>
      <c r="D181" s="20" t="s">
        <v>216</v>
      </c>
      <c r="E181" s="20" t="s">
        <v>632</v>
      </c>
      <c r="F181" s="20">
        <v>1</v>
      </c>
      <c r="G181" s="20" t="s">
        <v>92</v>
      </c>
      <c r="H181" s="20"/>
      <c r="I181" s="21" t="s">
        <v>633</v>
      </c>
      <c r="J181" s="21"/>
      <c r="K181" s="21"/>
      <c r="L181" s="21" t="s">
        <v>634</v>
      </c>
      <c r="M181" s="21" t="s">
        <v>62</v>
      </c>
      <c r="N181" s="21" t="s">
        <v>187</v>
      </c>
    </row>
    <row r="182" spans="1:14" ht="64.05" customHeight="1">
      <c r="A182" s="20" t="s">
        <v>531</v>
      </c>
      <c r="B182" s="20" t="s">
        <v>24</v>
      </c>
      <c r="C182" s="20" t="s">
        <v>431</v>
      </c>
      <c r="D182" s="20" t="s">
        <v>216</v>
      </c>
      <c r="E182" s="20" t="s">
        <v>635</v>
      </c>
      <c r="F182" s="20">
        <v>1</v>
      </c>
      <c r="G182" s="20" t="s">
        <v>92</v>
      </c>
      <c r="H182" s="20"/>
      <c r="I182" s="21" t="s">
        <v>636</v>
      </c>
      <c r="J182" s="21"/>
      <c r="K182" s="21" t="s">
        <v>637</v>
      </c>
      <c r="L182" s="21" t="s">
        <v>638</v>
      </c>
      <c r="M182" s="21" t="s">
        <v>62</v>
      </c>
      <c r="N182" s="21" t="s">
        <v>187</v>
      </c>
    </row>
    <row r="183" spans="1:14" ht="64.05" customHeight="1">
      <c r="A183" s="20" t="s">
        <v>531</v>
      </c>
      <c r="B183" s="20" t="s">
        <v>24</v>
      </c>
      <c r="C183" s="20" t="s">
        <v>431</v>
      </c>
      <c r="D183" s="20" t="s">
        <v>216</v>
      </c>
      <c r="E183" s="20" t="s">
        <v>639</v>
      </c>
      <c r="F183" s="20">
        <v>1</v>
      </c>
      <c r="G183" s="20" t="s">
        <v>640</v>
      </c>
      <c r="H183" s="20" t="s">
        <v>641</v>
      </c>
      <c r="I183" s="21" t="s">
        <v>642</v>
      </c>
      <c r="J183" s="21"/>
      <c r="K183" s="21" t="s">
        <v>637</v>
      </c>
      <c r="L183" s="21" t="s">
        <v>643</v>
      </c>
      <c r="M183" s="21" t="s">
        <v>62</v>
      </c>
      <c r="N183" s="21" t="s">
        <v>187</v>
      </c>
    </row>
    <row r="184" spans="1:14" ht="64.05" customHeight="1">
      <c r="A184" s="20" t="s">
        <v>531</v>
      </c>
      <c r="B184" s="20" t="s">
        <v>24</v>
      </c>
      <c r="C184" s="20" t="s">
        <v>431</v>
      </c>
      <c r="D184" s="20" t="s">
        <v>216</v>
      </c>
      <c r="E184" s="20" t="s">
        <v>644</v>
      </c>
      <c r="F184" s="20">
        <v>1</v>
      </c>
      <c r="G184" s="20" t="s">
        <v>640</v>
      </c>
      <c r="H184" s="20" t="s">
        <v>641</v>
      </c>
      <c r="I184" s="21" t="s">
        <v>645</v>
      </c>
      <c r="J184" s="21"/>
      <c r="K184" s="21" t="s">
        <v>637</v>
      </c>
      <c r="L184" s="21" t="s">
        <v>643</v>
      </c>
      <c r="M184" s="21" t="s">
        <v>62</v>
      </c>
      <c r="N184" s="21" t="s">
        <v>187</v>
      </c>
    </row>
    <row r="185" spans="1:14" ht="64.05" customHeight="1">
      <c r="A185" s="20" t="s">
        <v>531</v>
      </c>
      <c r="B185" s="20" t="s">
        <v>24</v>
      </c>
      <c r="C185" s="20" t="s">
        <v>431</v>
      </c>
      <c r="D185" s="20" t="s">
        <v>216</v>
      </c>
      <c r="E185" s="20" t="s">
        <v>646</v>
      </c>
      <c r="F185" s="20">
        <v>1</v>
      </c>
      <c r="G185" s="20" t="s">
        <v>640</v>
      </c>
      <c r="H185" s="20" t="s">
        <v>641</v>
      </c>
      <c r="I185" s="21" t="s">
        <v>642</v>
      </c>
      <c r="J185" s="21"/>
      <c r="K185" s="21" t="s">
        <v>637</v>
      </c>
      <c r="L185" s="21" t="s">
        <v>643</v>
      </c>
      <c r="M185" s="21" t="s">
        <v>62</v>
      </c>
      <c r="N185" s="21" t="s">
        <v>187</v>
      </c>
    </row>
    <row r="186" spans="1:14" ht="64.05" customHeight="1">
      <c r="A186" s="20" t="s">
        <v>531</v>
      </c>
      <c r="B186" s="20" t="s">
        <v>24</v>
      </c>
      <c r="C186" s="20" t="s">
        <v>431</v>
      </c>
      <c r="D186" s="20" t="s">
        <v>216</v>
      </c>
      <c r="E186" s="20" t="s">
        <v>647</v>
      </c>
      <c r="F186" s="20">
        <v>1</v>
      </c>
      <c r="G186" s="20" t="s">
        <v>629</v>
      </c>
      <c r="H186" s="20" t="s">
        <v>630</v>
      </c>
      <c r="I186" s="21" t="s">
        <v>648</v>
      </c>
      <c r="J186" s="21"/>
      <c r="K186" s="21" t="s">
        <v>637</v>
      </c>
      <c r="L186" s="21" t="s">
        <v>649</v>
      </c>
      <c r="M186" s="21" t="s">
        <v>62</v>
      </c>
      <c r="N186" s="21" t="s">
        <v>187</v>
      </c>
    </row>
    <row r="187" spans="1:14" ht="64.05" customHeight="1">
      <c r="A187" s="20" t="s">
        <v>531</v>
      </c>
      <c r="B187" s="20" t="s">
        <v>24</v>
      </c>
      <c r="C187" s="20" t="s">
        <v>431</v>
      </c>
      <c r="D187" s="20" t="s">
        <v>216</v>
      </c>
      <c r="E187" s="20" t="s">
        <v>650</v>
      </c>
      <c r="F187" s="20">
        <v>1</v>
      </c>
      <c r="G187" s="20" t="s">
        <v>629</v>
      </c>
      <c r="H187" s="20" t="s">
        <v>630</v>
      </c>
      <c r="I187" s="21" t="s">
        <v>651</v>
      </c>
      <c r="J187" s="21"/>
      <c r="K187" s="21" t="s">
        <v>637</v>
      </c>
      <c r="L187" s="21" t="s">
        <v>649</v>
      </c>
      <c r="M187" s="21" t="s">
        <v>62</v>
      </c>
      <c r="N187" s="21" t="s">
        <v>187</v>
      </c>
    </row>
    <row r="188" spans="1:14" ht="64.05" customHeight="1">
      <c r="A188" s="20" t="s">
        <v>531</v>
      </c>
      <c r="B188" s="20" t="s">
        <v>24</v>
      </c>
      <c r="C188" s="20" t="s">
        <v>431</v>
      </c>
      <c r="D188" s="20" t="s">
        <v>216</v>
      </c>
      <c r="E188" s="20" t="s">
        <v>652</v>
      </c>
      <c r="F188" s="20">
        <v>1</v>
      </c>
      <c r="G188" s="20" t="s">
        <v>629</v>
      </c>
      <c r="H188" s="20" t="s">
        <v>630</v>
      </c>
      <c r="I188" s="21" t="s">
        <v>651</v>
      </c>
      <c r="J188" s="21"/>
      <c r="K188" s="21" t="s">
        <v>637</v>
      </c>
      <c r="L188" s="21" t="s">
        <v>649</v>
      </c>
      <c r="M188" s="21" t="s">
        <v>62</v>
      </c>
      <c r="N188" s="21" t="s">
        <v>187</v>
      </c>
    </row>
    <row r="189" spans="1:14" ht="64.05" customHeight="1">
      <c r="A189" s="20" t="s">
        <v>531</v>
      </c>
      <c r="B189" s="20" t="s">
        <v>24</v>
      </c>
      <c r="C189" s="20" t="s">
        <v>431</v>
      </c>
      <c r="D189" s="20" t="s">
        <v>216</v>
      </c>
      <c r="E189" s="20" t="s">
        <v>653</v>
      </c>
      <c r="F189" s="20">
        <v>1</v>
      </c>
      <c r="G189" s="20" t="s">
        <v>629</v>
      </c>
      <c r="H189" s="20" t="s">
        <v>630</v>
      </c>
      <c r="I189" s="21" t="s">
        <v>651</v>
      </c>
      <c r="J189" s="21"/>
      <c r="K189" s="21" t="s">
        <v>637</v>
      </c>
      <c r="L189" s="21" t="s">
        <v>649</v>
      </c>
      <c r="M189" s="21" t="s">
        <v>62</v>
      </c>
      <c r="N189" s="21" t="s">
        <v>187</v>
      </c>
    </row>
    <row r="190" spans="1:14" ht="64.05" customHeight="1">
      <c r="A190" s="20" t="s">
        <v>531</v>
      </c>
      <c r="B190" s="20" t="s">
        <v>24</v>
      </c>
      <c r="C190" s="20" t="s">
        <v>431</v>
      </c>
      <c r="D190" s="20" t="s">
        <v>216</v>
      </c>
      <c r="E190" s="20" t="s">
        <v>654</v>
      </c>
      <c r="F190" s="20">
        <v>1</v>
      </c>
      <c r="G190" s="20" t="s">
        <v>629</v>
      </c>
      <c r="H190" s="20" t="s">
        <v>630</v>
      </c>
      <c r="I190" s="21" t="s">
        <v>141</v>
      </c>
      <c r="J190" s="21"/>
      <c r="K190" s="21" t="s">
        <v>406</v>
      </c>
      <c r="L190" s="21" t="s">
        <v>649</v>
      </c>
      <c r="M190" s="21" t="s">
        <v>62</v>
      </c>
      <c r="N190" s="21" t="s">
        <v>187</v>
      </c>
    </row>
    <row r="191" spans="1:14" ht="64.05" customHeight="1">
      <c r="A191" s="20" t="s">
        <v>531</v>
      </c>
      <c r="B191" s="20" t="s">
        <v>24</v>
      </c>
      <c r="C191" s="20" t="s">
        <v>431</v>
      </c>
      <c r="D191" s="20" t="s">
        <v>216</v>
      </c>
      <c r="E191" s="20" t="s">
        <v>655</v>
      </c>
      <c r="F191" s="20">
        <v>1</v>
      </c>
      <c r="G191" s="20" t="s">
        <v>92</v>
      </c>
      <c r="H191" s="20"/>
      <c r="I191" s="21" t="s">
        <v>656</v>
      </c>
      <c r="J191" s="21"/>
      <c r="K191" s="21" t="s">
        <v>637</v>
      </c>
      <c r="L191" s="21" t="s">
        <v>657</v>
      </c>
      <c r="M191" s="21" t="s">
        <v>62</v>
      </c>
      <c r="N191" s="21" t="s">
        <v>520</v>
      </c>
    </row>
    <row r="192" spans="1:14" ht="64.05" customHeight="1">
      <c r="A192" s="20" t="s">
        <v>531</v>
      </c>
      <c r="B192" s="20" t="s">
        <v>24</v>
      </c>
      <c r="C192" s="20" t="s">
        <v>431</v>
      </c>
      <c r="D192" s="20" t="s">
        <v>216</v>
      </c>
      <c r="E192" s="20" t="s">
        <v>658</v>
      </c>
      <c r="F192" s="20">
        <v>1</v>
      </c>
      <c r="G192" s="20" t="s">
        <v>659</v>
      </c>
      <c r="H192" s="20" t="s">
        <v>660</v>
      </c>
      <c r="I192" s="21" t="s">
        <v>661</v>
      </c>
      <c r="J192" s="21"/>
      <c r="K192" s="21" t="s">
        <v>637</v>
      </c>
      <c r="L192" s="21" t="s">
        <v>662</v>
      </c>
      <c r="M192" s="21" t="s">
        <v>62</v>
      </c>
      <c r="N192" s="21" t="s">
        <v>520</v>
      </c>
    </row>
    <row r="193" spans="1:14" ht="64.05" customHeight="1">
      <c r="A193" s="20" t="s">
        <v>531</v>
      </c>
      <c r="B193" s="20" t="s">
        <v>24</v>
      </c>
      <c r="C193" s="20" t="s">
        <v>431</v>
      </c>
      <c r="D193" s="20" t="s">
        <v>216</v>
      </c>
      <c r="E193" s="20" t="s">
        <v>663</v>
      </c>
      <c r="F193" s="20">
        <v>1</v>
      </c>
      <c r="G193" s="20" t="s">
        <v>640</v>
      </c>
      <c r="H193" s="20" t="s">
        <v>641</v>
      </c>
      <c r="I193" s="21" t="s">
        <v>141</v>
      </c>
      <c r="J193" s="21"/>
      <c r="K193" s="21" t="s">
        <v>406</v>
      </c>
      <c r="L193" s="21" t="s">
        <v>664</v>
      </c>
      <c r="M193" s="21" t="s">
        <v>62</v>
      </c>
      <c r="N193" s="21" t="s">
        <v>299</v>
      </c>
    </row>
    <row r="194" spans="1:14" ht="64.05" customHeight="1">
      <c r="A194" s="20" t="s">
        <v>531</v>
      </c>
      <c r="B194" s="20" t="s">
        <v>24</v>
      </c>
      <c r="C194" s="20" t="s">
        <v>431</v>
      </c>
      <c r="D194" s="20" t="s">
        <v>216</v>
      </c>
      <c r="E194" s="20" t="s">
        <v>665</v>
      </c>
      <c r="F194" s="20">
        <v>1</v>
      </c>
      <c r="G194" s="20" t="s">
        <v>629</v>
      </c>
      <c r="H194" s="20" t="s">
        <v>630</v>
      </c>
      <c r="I194" s="21" t="s">
        <v>141</v>
      </c>
      <c r="J194" s="21"/>
      <c r="K194" s="21" t="s">
        <v>406</v>
      </c>
      <c r="L194" s="21" t="s">
        <v>666</v>
      </c>
      <c r="M194" s="21" t="s">
        <v>62</v>
      </c>
      <c r="N194" s="21" t="s">
        <v>187</v>
      </c>
    </row>
    <row r="195" spans="1:14" ht="64.05" customHeight="1">
      <c r="A195" s="20" t="s">
        <v>531</v>
      </c>
      <c r="B195" s="20" t="s">
        <v>24</v>
      </c>
      <c r="C195" s="20" t="s">
        <v>431</v>
      </c>
      <c r="D195" s="20" t="s">
        <v>216</v>
      </c>
      <c r="E195" s="20" t="s">
        <v>667</v>
      </c>
      <c r="F195" s="20">
        <v>1</v>
      </c>
      <c r="G195" s="20" t="s">
        <v>640</v>
      </c>
      <c r="H195" s="20" t="s">
        <v>641</v>
      </c>
      <c r="I195" s="21" t="s">
        <v>141</v>
      </c>
      <c r="J195" s="21" t="s">
        <v>99</v>
      </c>
      <c r="K195" s="21" t="s">
        <v>406</v>
      </c>
      <c r="L195" s="21" t="s">
        <v>668</v>
      </c>
      <c r="M195" s="21" t="s">
        <v>102</v>
      </c>
      <c r="N195" s="21"/>
    </row>
    <row r="196" spans="1:14" ht="64.05" customHeight="1">
      <c r="A196" s="20" t="s">
        <v>531</v>
      </c>
      <c r="B196" s="20" t="s">
        <v>24</v>
      </c>
      <c r="C196" s="20" t="s">
        <v>431</v>
      </c>
      <c r="D196" s="20" t="s">
        <v>216</v>
      </c>
      <c r="E196" s="20" t="s">
        <v>669</v>
      </c>
      <c r="F196" s="20">
        <v>1</v>
      </c>
      <c r="G196" s="20" t="s">
        <v>640</v>
      </c>
      <c r="H196" s="20" t="s">
        <v>641</v>
      </c>
      <c r="I196" s="21" t="s">
        <v>141</v>
      </c>
      <c r="J196" s="21"/>
      <c r="K196" s="21" t="s">
        <v>406</v>
      </c>
      <c r="L196" s="21" t="s">
        <v>670</v>
      </c>
      <c r="M196" s="21" t="s">
        <v>62</v>
      </c>
      <c r="N196" s="21" t="s">
        <v>299</v>
      </c>
    </row>
    <row r="197" spans="1:14" ht="64.05" customHeight="1">
      <c r="A197" s="20" t="s">
        <v>531</v>
      </c>
      <c r="B197" s="20" t="s">
        <v>24</v>
      </c>
      <c r="C197" s="20" t="s">
        <v>436</v>
      </c>
      <c r="D197" s="20" t="s">
        <v>437</v>
      </c>
      <c r="E197" s="20" t="s">
        <v>671</v>
      </c>
      <c r="F197" s="20">
        <v>1</v>
      </c>
      <c r="G197" s="20" t="s">
        <v>92</v>
      </c>
      <c r="H197" s="20"/>
      <c r="I197" s="21" t="s">
        <v>141</v>
      </c>
      <c r="J197" s="21" t="s">
        <v>672</v>
      </c>
      <c r="K197" s="21"/>
      <c r="L197" s="21" t="s">
        <v>673</v>
      </c>
      <c r="M197" s="21" t="s">
        <v>102</v>
      </c>
      <c r="N197" s="21"/>
    </row>
    <row r="198" spans="1:14" ht="64.05" customHeight="1">
      <c r="A198" s="20" t="s">
        <v>531</v>
      </c>
      <c r="B198" s="20" t="s">
        <v>24</v>
      </c>
      <c r="C198" s="20" t="s">
        <v>431</v>
      </c>
      <c r="D198" s="20" t="s">
        <v>674</v>
      </c>
      <c r="E198" s="20" t="s">
        <v>675</v>
      </c>
      <c r="F198" s="20">
        <v>1</v>
      </c>
      <c r="G198" s="20" t="s">
        <v>92</v>
      </c>
      <c r="H198" s="20"/>
      <c r="I198" s="21" t="s">
        <v>141</v>
      </c>
      <c r="J198" s="21" t="s">
        <v>582</v>
      </c>
      <c r="K198" s="21" t="s">
        <v>406</v>
      </c>
      <c r="L198" s="21" t="s">
        <v>676</v>
      </c>
      <c r="M198" s="21" t="s">
        <v>73</v>
      </c>
      <c r="N198" s="21"/>
    </row>
    <row r="199" spans="1:14" ht="64.05" customHeight="1">
      <c r="A199" s="20" t="s">
        <v>531</v>
      </c>
      <c r="B199" s="20" t="s">
        <v>24</v>
      </c>
      <c r="C199" s="20" t="s">
        <v>431</v>
      </c>
      <c r="D199" s="20" t="s">
        <v>444</v>
      </c>
      <c r="E199" s="20" t="s">
        <v>677</v>
      </c>
      <c r="F199" s="20">
        <v>1</v>
      </c>
      <c r="G199" s="20" t="s">
        <v>139</v>
      </c>
      <c r="H199" s="20"/>
      <c r="I199" s="21" t="s">
        <v>140</v>
      </c>
      <c r="J199" s="21"/>
      <c r="K199" s="21" t="s">
        <v>678</v>
      </c>
      <c r="L199" s="21" t="s">
        <v>679</v>
      </c>
      <c r="M199" s="21" t="s">
        <v>73</v>
      </c>
      <c r="N199" s="21"/>
    </row>
    <row r="200" spans="1:14" ht="64.05" customHeight="1">
      <c r="A200" s="20" t="s">
        <v>531</v>
      </c>
      <c r="B200" s="20" t="s">
        <v>24</v>
      </c>
      <c r="C200" s="20" t="s">
        <v>431</v>
      </c>
      <c r="D200" s="20" t="s">
        <v>444</v>
      </c>
      <c r="E200" s="20" t="s">
        <v>680</v>
      </c>
      <c r="F200" s="20">
        <v>1</v>
      </c>
      <c r="G200" s="20" t="s">
        <v>139</v>
      </c>
      <c r="H200" s="20"/>
      <c r="I200" s="21" t="s">
        <v>681</v>
      </c>
      <c r="J200" s="21"/>
      <c r="K200" s="21" t="s">
        <v>109</v>
      </c>
      <c r="L200" s="21" t="s">
        <v>682</v>
      </c>
      <c r="M200" s="21" t="s">
        <v>73</v>
      </c>
      <c r="N200" s="21"/>
    </row>
    <row r="201" spans="1:14" ht="64.05" customHeight="1">
      <c r="A201" s="20" t="s">
        <v>531</v>
      </c>
      <c r="B201" s="20" t="s">
        <v>28</v>
      </c>
      <c r="C201" s="20" t="s">
        <v>146</v>
      </c>
      <c r="D201" s="20" t="s">
        <v>147</v>
      </c>
      <c r="E201" s="20" t="s">
        <v>683</v>
      </c>
      <c r="F201" s="20">
        <v>1</v>
      </c>
      <c r="G201" s="20" t="s">
        <v>684</v>
      </c>
      <c r="H201" s="20" t="s">
        <v>685</v>
      </c>
      <c r="I201" s="21" t="s">
        <v>686</v>
      </c>
      <c r="J201" s="21"/>
      <c r="K201" s="21" t="s">
        <v>687</v>
      </c>
      <c r="L201" s="21" t="s">
        <v>688</v>
      </c>
      <c r="M201" s="21" t="s">
        <v>73</v>
      </c>
      <c r="N201" s="21"/>
    </row>
    <row r="202" spans="1:14" ht="64.05" customHeight="1">
      <c r="A202" s="20" t="s">
        <v>531</v>
      </c>
      <c r="B202" s="20" t="s">
        <v>28</v>
      </c>
      <c r="C202" s="20" t="s">
        <v>146</v>
      </c>
      <c r="D202" s="20" t="s">
        <v>147</v>
      </c>
      <c r="E202" s="20" t="s">
        <v>689</v>
      </c>
      <c r="F202" s="20">
        <v>1</v>
      </c>
      <c r="G202" s="20" t="s">
        <v>92</v>
      </c>
      <c r="H202" s="20"/>
      <c r="I202" s="21" t="s">
        <v>690</v>
      </c>
      <c r="J202" s="21" t="s">
        <v>446</v>
      </c>
      <c r="K202" s="21" t="s">
        <v>406</v>
      </c>
      <c r="L202" s="21" t="s">
        <v>691</v>
      </c>
      <c r="M202" s="21" t="s">
        <v>102</v>
      </c>
      <c r="N202" s="21"/>
    </row>
    <row r="203" spans="1:14" ht="64.05" customHeight="1">
      <c r="A203" s="20" t="s">
        <v>531</v>
      </c>
      <c r="B203" s="20" t="s">
        <v>28</v>
      </c>
      <c r="C203" s="20" t="s">
        <v>167</v>
      </c>
      <c r="D203" s="20" t="s">
        <v>168</v>
      </c>
      <c r="E203" s="20" t="s">
        <v>692</v>
      </c>
      <c r="F203" s="20">
        <v>1</v>
      </c>
      <c r="G203" s="20" t="s">
        <v>693</v>
      </c>
      <c r="H203" s="20" t="s">
        <v>694</v>
      </c>
      <c r="I203" s="21" t="s">
        <v>695</v>
      </c>
      <c r="J203" s="21"/>
      <c r="K203" s="21" t="s">
        <v>78</v>
      </c>
      <c r="L203" s="21" t="s">
        <v>696</v>
      </c>
      <c r="M203" s="21" t="s">
        <v>73</v>
      </c>
      <c r="N203" s="21"/>
    </row>
    <row r="204" spans="1:14" ht="64.05" customHeight="1">
      <c r="A204" s="20" t="s">
        <v>531</v>
      </c>
      <c r="B204" s="20" t="s">
        <v>30</v>
      </c>
      <c r="C204" s="20" t="s">
        <v>180</v>
      </c>
      <c r="D204" s="20" t="s">
        <v>181</v>
      </c>
      <c r="E204" s="20" t="s">
        <v>697</v>
      </c>
      <c r="F204" s="20">
        <v>1</v>
      </c>
      <c r="G204" s="20" t="s">
        <v>235</v>
      </c>
      <c r="H204" s="20" t="s">
        <v>698</v>
      </c>
      <c r="I204" s="21" t="s">
        <v>699</v>
      </c>
      <c r="J204" s="21"/>
      <c r="K204" s="21"/>
      <c r="L204" s="21" t="s">
        <v>700</v>
      </c>
      <c r="M204" s="21" t="s">
        <v>62</v>
      </c>
      <c r="N204" s="21" t="s">
        <v>187</v>
      </c>
    </row>
    <row r="205" spans="1:14" ht="64.05" customHeight="1">
      <c r="A205" s="20" t="s">
        <v>531</v>
      </c>
      <c r="B205" s="20" t="s">
        <v>30</v>
      </c>
      <c r="C205" s="20" t="s">
        <v>180</v>
      </c>
      <c r="D205" s="20" t="s">
        <v>181</v>
      </c>
      <c r="E205" s="20" t="s">
        <v>701</v>
      </c>
      <c r="F205" s="20">
        <v>1</v>
      </c>
      <c r="G205" s="20" t="s">
        <v>702</v>
      </c>
      <c r="H205" s="20" t="s">
        <v>703</v>
      </c>
      <c r="I205" s="21" t="s">
        <v>704</v>
      </c>
      <c r="J205" s="21"/>
      <c r="K205" s="21"/>
      <c r="L205" s="21" t="s">
        <v>705</v>
      </c>
      <c r="M205" s="21" t="s">
        <v>73</v>
      </c>
      <c r="N205" s="21"/>
    </row>
    <row r="206" spans="1:14" ht="64.05" customHeight="1">
      <c r="A206" s="20" t="s">
        <v>531</v>
      </c>
      <c r="B206" s="20" t="s">
        <v>30</v>
      </c>
      <c r="C206" s="20" t="s">
        <v>188</v>
      </c>
      <c r="D206" s="20" t="s">
        <v>189</v>
      </c>
      <c r="E206" s="20" t="s">
        <v>706</v>
      </c>
      <c r="F206" s="20">
        <v>1</v>
      </c>
      <c r="G206" s="20" t="s">
        <v>707</v>
      </c>
      <c r="H206" s="20" t="s">
        <v>708</v>
      </c>
      <c r="I206" s="21" t="s">
        <v>709</v>
      </c>
      <c r="J206" s="21"/>
      <c r="K206" s="21" t="s">
        <v>710</v>
      </c>
      <c r="L206" s="21" t="s">
        <v>711</v>
      </c>
      <c r="M206" s="21" t="s">
        <v>62</v>
      </c>
      <c r="N206" s="21" t="s">
        <v>712</v>
      </c>
    </row>
    <row r="207" spans="1:14" ht="64.05" customHeight="1">
      <c r="A207" s="20" t="s">
        <v>531</v>
      </c>
      <c r="B207" s="20" t="s">
        <v>30</v>
      </c>
      <c r="C207" s="20" t="s">
        <v>188</v>
      </c>
      <c r="D207" s="20" t="s">
        <v>189</v>
      </c>
      <c r="E207" s="20" t="s">
        <v>713</v>
      </c>
      <c r="F207" s="20">
        <v>1</v>
      </c>
      <c r="G207" s="20" t="s">
        <v>707</v>
      </c>
      <c r="H207" s="20" t="s">
        <v>708</v>
      </c>
      <c r="I207" s="21" t="s">
        <v>709</v>
      </c>
      <c r="J207" s="21"/>
      <c r="K207" s="21" t="s">
        <v>710</v>
      </c>
      <c r="L207" s="21" t="s">
        <v>711</v>
      </c>
      <c r="M207" s="21" t="s">
        <v>62</v>
      </c>
      <c r="N207" s="21" t="s">
        <v>712</v>
      </c>
    </row>
    <row r="208" spans="1:14" ht="64.05" customHeight="1">
      <c r="A208" s="20" t="s">
        <v>531</v>
      </c>
      <c r="B208" s="20" t="s">
        <v>31</v>
      </c>
      <c r="C208" s="20" t="s">
        <v>491</v>
      </c>
      <c r="D208" s="20" t="s">
        <v>492</v>
      </c>
      <c r="E208" s="20" t="s">
        <v>714</v>
      </c>
      <c r="F208" s="20">
        <v>1</v>
      </c>
      <c r="G208" s="20" t="s">
        <v>715</v>
      </c>
      <c r="H208" s="20" t="s">
        <v>716</v>
      </c>
      <c r="I208" s="21" t="s">
        <v>717</v>
      </c>
      <c r="J208" s="21"/>
      <c r="K208" s="21" t="s">
        <v>320</v>
      </c>
      <c r="L208" s="21" t="s">
        <v>718</v>
      </c>
      <c r="M208" s="21" t="s">
        <v>62</v>
      </c>
      <c r="N208" s="21" t="s">
        <v>719</v>
      </c>
    </row>
    <row r="209" spans="1:14" ht="64.05" customHeight="1">
      <c r="A209" s="20" t="s">
        <v>531</v>
      </c>
      <c r="B209" s="20" t="s">
        <v>31</v>
      </c>
      <c r="C209" s="20" t="s">
        <v>491</v>
      </c>
      <c r="D209" s="20" t="s">
        <v>492</v>
      </c>
      <c r="E209" s="20" t="s">
        <v>720</v>
      </c>
      <c r="F209" s="20">
        <v>1</v>
      </c>
      <c r="G209" s="20" t="s">
        <v>715</v>
      </c>
      <c r="H209" s="20" t="s">
        <v>716</v>
      </c>
      <c r="I209" s="21" t="s">
        <v>717</v>
      </c>
      <c r="J209" s="21"/>
      <c r="K209" s="21" t="s">
        <v>320</v>
      </c>
      <c r="L209" s="21" t="s">
        <v>721</v>
      </c>
      <c r="M209" s="21" t="s">
        <v>62</v>
      </c>
      <c r="N209" s="21" t="s">
        <v>187</v>
      </c>
    </row>
    <row r="210" spans="1:14" ht="64.05" customHeight="1">
      <c r="A210" s="20" t="s">
        <v>531</v>
      </c>
      <c r="B210" s="20" t="s">
        <v>31</v>
      </c>
      <c r="C210" s="20" t="s">
        <v>491</v>
      </c>
      <c r="D210" s="20" t="s">
        <v>492</v>
      </c>
      <c r="E210" s="20" t="s">
        <v>722</v>
      </c>
      <c r="F210" s="20">
        <v>1</v>
      </c>
      <c r="G210" s="20" t="s">
        <v>715</v>
      </c>
      <c r="H210" s="20" t="s">
        <v>716</v>
      </c>
      <c r="I210" s="21" t="s">
        <v>717</v>
      </c>
      <c r="J210" s="21"/>
      <c r="K210" s="21" t="s">
        <v>320</v>
      </c>
      <c r="L210" s="21" t="s">
        <v>723</v>
      </c>
      <c r="M210" s="21" t="s">
        <v>62</v>
      </c>
      <c r="N210" s="21" t="s">
        <v>719</v>
      </c>
    </row>
    <row r="211" spans="1:14" ht="64.05" customHeight="1">
      <c r="A211" s="20" t="s">
        <v>531</v>
      </c>
      <c r="B211" s="20" t="s">
        <v>21</v>
      </c>
      <c r="C211" s="20" t="s">
        <v>724</v>
      </c>
      <c r="D211" s="20" t="s">
        <v>725</v>
      </c>
      <c r="E211" s="20" t="s">
        <v>726</v>
      </c>
      <c r="F211" s="20">
        <v>1</v>
      </c>
      <c r="G211" s="20" t="s">
        <v>727</v>
      </c>
      <c r="H211" s="20" t="s">
        <v>126</v>
      </c>
      <c r="I211" s="21" t="s">
        <v>728</v>
      </c>
      <c r="J211" s="21" t="s">
        <v>99</v>
      </c>
      <c r="K211" s="21" t="s">
        <v>320</v>
      </c>
      <c r="L211" s="21" t="s">
        <v>729</v>
      </c>
      <c r="M211" s="21" t="s">
        <v>62</v>
      </c>
      <c r="N211" s="21" t="s">
        <v>130</v>
      </c>
    </row>
    <row r="212" spans="1:14" ht="64.05" customHeight="1">
      <c r="A212" s="20" t="s">
        <v>531</v>
      </c>
      <c r="B212" s="20" t="s">
        <v>21</v>
      </c>
      <c r="C212" s="20" t="s">
        <v>724</v>
      </c>
      <c r="D212" s="20" t="s">
        <v>725</v>
      </c>
      <c r="E212" s="20" t="s">
        <v>730</v>
      </c>
      <c r="F212" s="20">
        <v>1</v>
      </c>
      <c r="G212" s="20" t="s">
        <v>731</v>
      </c>
      <c r="H212" s="20" t="s">
        <v>732</v>
      </c>
      <c r="I212" s="21" t="s">
        <v>733</v>
      </c>
      <c r="J212" s="21"/>
      <c r="K212" s="21"/>
      <c r="L212" s="21" t="s">
        <v>734</v>
      </c>
      <c r="M212" s="21" t="s">
        <v>62</v>
      </c>
      <c r="N212" s="21" t="s">
        <v>624</v>
      </c>
    </row>
    <row r="213" spans="1:14" ht="64.05" customHeight="1">
      <c r="A213" s="20" t="s">
        <v>531</v>
      </c>
      <c r="B213" s="20" t="s">
        <v>21</v>
      </c>
      <c r="C213" s="20" t="s">
        <v>228</v>
      </c>
      <c r="D213" s="20" t="s">
        <v>735</v>
      </c>
      <c r="E213" s="20" t="s">
        <v>736</v>
      </c>
      <c r="F213" s="20">
        <v>1</v>
      </c>
      <c r="G213" s="20" t="s">
        <v>737</v>
      </c>
      <c r="H213" s="20" t="s">
        <v>738</v>
      </c>
      <c r="I213" s="21" t="s">
        <v>739</v>
      </c>
      <c r="J213" s="21"/>
      <c r="K213" s="21" t="s">
        <v>320</v>
      </c>
      <c r="L213" s="21" t="s">
        <v>740</v>
      </c>
      <c r="M213" s="21" t="s">
        <v>62</v>
      </c>
      <c r="N213" s="21" t="s">
        <v>187</v>
      </c>
    </row>
    <row r="214" spans="1:14" ht="64.05" customHeight="1">
      <c r="A214" s="20" t="s">
        <v>531</v>
      </c>
      <c r="B214" s="20" t="s">
        <v>21</v>
      </c>
      <c r="C214" s="20" t="s">
        <v>228</v>
      </c>
      <c r="D214" s="20" t="s">
        <v>735</v>
      </c>
      <c r="E214" s="20" t="s">
        <v>741</v>
      </c>
      <c r="F214" s="20">
        <v>1</v>
      </c>
      <c r="G214" s="20" t="s">
        <v>92</v>
      </c>
      <c r="H214" s="20"/>
      <c r="I214" s="21" t="s">
        <v>141</v>
      </c>
      <c r="J214" s="21"/>
      <c r="K214" s="21" t="s">
        <v>406</v>
      </c>
      <c r="L214" s="21" t="s">
        <v>742</v>
      </c>
      <c r="M214" s="21" t="s">
        <v>62</v>
      </c>
      <c r="N214" s="21" t="s">
        <v>187</v>
      </c>
    </row>
    <row r="215" spans="1:14" ht="64.05" customHeight="1">
      <c r="A215" s="20" t="s">
        <v>531</v>
      </c>
      <c r="B215" s="20" t="s">
        <v>21</v>
      </c>
      <c r="C215" s="20" t="s">
        <v>239</v>
      </c>
      <c r="D215" s="20" t="s">
        <v>147</v>
      </c>
      <c r="E215" s="20" t="s">
        <v>743</v>
      </c>
      <c r="F215" s="20">
        <v>1</v>
      </c>
      <c r="G215" s="20" t="s">
        <v>684</v>
      </c>
      <c r="H215" s="20" t="s">
        <v>685</v>
      </c>
      <c r="I215" s="21" t="s">
        <v>744</v>
      </c>
      <c r="J215" s="21"/>
      <c r="K215" s="21" t="s">
        <v>687</v>
      </c>
      <c r="L215" s="21" t="s">
        <v>688</v>
      </c>
      <c r="M215" s="21" t="s">
        <v>73</v>
      </c>
      <c r="N215" s="21"/>
    </row>
    <row r="216" spans="1:14" ht="64.05" customHeight="1">
      <c r="A216" s="20" t="s">
        <v>531</v>
      </c>
      <c r="B216" s="20" t="s">
        <v>21</v>
      </c>
      <c r="C216" s="20" t="s">
        <v>239</v>
      </c>
      <c r="D216" s="20" t="s">
        <v>147</v>
      </c>
      <c r="E216" s="20" t="s">
        <v>745</v>
      </c>
      <c r="F216" s="20">
        <v>1</v>
      </c>
      <c r="G216" s="20" t="s">
        <v>746</v>
      </c>
      <c r="H216" s="20"/>
      <c r="I216" s="21" t="s">
        <v>747</v>
      </c>
      <c r="J216" s="21" t="s">
        <v>245</v>
      </c>
      <c r="K216" s="21" t="s">
        <v>748</v>
      </c>
      <c r="L216" s="21" t="s">
        <v>749</v>
      </c>
      <c r="M216" s="21" t="s">
        <v>62</v>
      </c>
      <c r="N216" s="21" t="s">
        <v>520</v>
      </c>
    </row>
    <row r="217" spans="1:14" ht="64.05" customHeight="1">
      <c r="A217" s="20" t="s">
        <v>531</v>
      </c>
      <c r="B217" s="20" t="s">
        <v>21</v>
      </c>
      <c r="C217" s="20" t="s">
        <v>239</v>
      </c>
      <c r="D217" s="20" t="s">
        <v>147</v>
      </c>
      <c r="E217" s="20" t="s">
        <v>750</v>
      </c>
      <c r="F217" s="20">
        <v>1</v>
      </c>
      <c r="G217" s="20" t="s">
        <v>746</v>
      </c>
      <c r="H217" s="20"/>
      <c r="I217" s="21" t="s">
        <v>747</v>
      </c>
      <c r="J217" s="21" t="s">
        <v>245</v>
      </c>
      <c r="K217" s="21" t="s">
        <v>748</v>
      </c>
      <c r="L217" s="21" t="s">
        <v>749</v>
      </c>
      <c r="M217" s="21" t="s">
        <v>62</v>
      </c>
      <c r="N217" s="21" t="s">
        <v>520</v>
      </c>
    </row>
    <row r="218" spans="1:14" ht="64.05" customHeight="1">
      <c r="A218" s="20" t="s">
        <v>531</v>
      </c>
      <c r="B218" s="20" t="s">
        <v>21</v>
      </c>
      <c r="C218" s="20" t="s">
        <v>239</v>
      </c>
      <c r="D218" s="20" t="s">
        <v>147</v>
      </c>
      <c r="E218" s="20" t="s">
        <v>751</v>
      </c>
      <c r="F218" s="20">
        <v>1</v>
      </c>
      <c r="G218" s="20" t="s">
        <v>752</v>
      </c>
      <c r="H218" s="20" t="s">
        <v>753</v>
      </c>
      <c r="I218" s="21" t="s">
        <v>754</v>
      </c>
      <c r="J218" s="21"/>
      <c r="K218" s="21"/>
      <c r="L218" s="21" t="s">
        <v>755</v>
      </c>
      <c r="M218" s="21" t="s">
        <v>62</v>
      </c>
      <c r="N218" s="21" t="s">
        <v>187</v>
      </c>
    </row>
    <row r="219" spans="1:14" ht="64.05" customHeight="1">
      <c r="A219" s="20" t="s">
        <v>531</v>
      </c>
      <c r="B219" s="20" t="s">
        <v>21</v>
      </c>
      <c r="C219" s="20" t="s">
        <v>239</v>
      </c>
      <c r="D219" s="20" t="s">
        <v>147</v>
      </c>
      <c r="E219" s="20" t="s">
        <v>756</v>
      </c>
      <c r="F219" s="20">
        <v>1</v>
      </c>
      <c r="G219" s="20" t="s">
        <v>752</v>
      </c>
      <c r="H219" s="20" t="s">
        <v>753</v>
      </c>
      <c r="I219" s="21" t="s">
        <v>754</v>
      </c>
      <c r="J219" s="21"/>
      <c r="K219" s="21"/>
      <c r="L219" s="21" t="s">
        <v>755</v>
      </c>
      <c r="M219" s="21" t="s">
        <v>62</v>
      </c>
      <c r="N219" s="21" t="s">
        <v>187</v>
      </c>
    </row>
    <row r="220" spans="1:14" ht="64.05" customHeight="1">
      <c r="A220" s="20" t="s">
        <v>531</v>
      </c>
      <c r="B220" s="20" t="s">
        <v>21</v>
      </c>
      <c r="C220" s="20" t="s">
        <v>262</v>
      </c>
      <c r="D220" s="20" t="s">
        <v>263</v>
      </c>
      <c r="E220" s="20" t="s">
        <v>757</v>
      </c>
      <c r="F220" s="20">
        <v>1</v>
      </c>
      <c r="G220" s="20" t="s">
        <v>92</v>
      </c>
      <c r="H220" s="20"/>
      <c r="I220" s="21" t="s">
        <v>140</v>
      </c>
      <c r="J220" s="21"/>
      <c r="K220" s="21" t="s">
        <v>758</v>
      </c>
      <c r="L220" s="21" t="s">
        <v>759</v>
      </c>
      <c r="M220" s="21" t="s">
        <v>102</v>
      </c>
      <c r="N220" s="21"/>
    </row>
    <row r="221" spans="1:14" ht="64.05" customHeight="1">
      <c r="A221" s="20" t="s">
        <v>531</v>
      </c>
      <c r="B221" s="20" t="s">
        <v>21</v>
      </c>
      <c r="C221" s="20" t="s">
        <v>262</v>
      </c>
      <c r="D221" s="20" t="s">
        <v>263</v>
      </c>
      <c r="E221" s="20" t="s">
        <v>760</v>
      </c>
      <c r="F221" s="20">
        <v>1</v>
      </c>
      <c r="G221" s="20" t="s">
        <v>92</v>
      </c>
      <c r="H221" s="20"/>
      <c r="I221" s="21" t="s">
        <v>140</v>
      </c>
      <c r="J221" s="21" t="s">
        <v>99</v>
      </c>
      <c r="K221" s="21" t="s">
        <v>761</v>
      </c>
      <c r="L221" s="21" t="s">
        <v>759</v>
      </c>
      <c r="M221" s="21" t="s">
        <v>102</v>
      </c>
      <c r="N221" s="21"/>
    </row>
    <row r="222" spans="1:14" ht="64.05" customHeight="1">
      <c r="A222" s="20" t="s">
        <v>531</v>
      </c>
      <c r="B222" s="20" t="s">
        <v>21</v>
      </c>
      <c r="C222" s="20" t="s">
        <v>262</v>
      </c>
      <c r="D222" s="20" t="s">
        <v>263</v>
      </c>
      <c r="E222" s="20" t="s">
        <v>762</v>
      </c>
      <c r="F222" s="20">
        <v>1</v>
      </c>
      <c r="G222" s="20" t="s">
        <v>92</v>
      </c>
      <c r="H222" s="20"/>
      <c r="I222" s="21" t="s">
        <v>140</v>
      </c>
      <c r="J222" s="21" t="s">
        <v>99</v>
      </c>
      <c r="K222" s="21" t="s">
        <v>761</v>
      </c>
      <c r="L222" s="21" t="s">
        <v>759</v>
      </c>
      <c r="M222" s="21" t="s">
        <v>102</v>
      </c>
      <c r="N222" s="21"/>
    </row>
    <row r="223" spans="1:14" ht="64.05" customHeight="1">
      <c r="A223" s="20" t="s">
        <v>763</v>
      </c>
      <c r="B223" s="20" t="s">
        <v>20</v>
      </c>
      <c r="C223" s="20" t="s">
        <v>55</v>
      </c>
      <c r="D223" s="20" t="s">
        <v>56</v>
      </c>
      <c r="E223" s="20" t="s">
        <v>539</v>
      </c>
      <c r="F223" s="20">
        <v>1</v>
      </c>
      <c r="G223" s="20" t="s">
        <v>139</v>
      </c>
      <c r="H223" s="20"/>
      <c r="I223" s="21" t="s">
        <v>764</v>
      </c>
      <c r="J223" s="21"/>
      <c r="K223" s="21"/>
      <c r="L223" s="21" t="s">
        <v>765</v>
      </c>
      <c r="M223" s="21" t="s">
        <v>73</v>
      </c>
      <c r="N223" s="21"/>
    </row>
    <row r="224" spans="1:14" ht="64.05" customHeight="1">
      <c r="A224" s="20" t="s">
        <v>763</v>
      </c>
      <c r="B224" s="20" t="s">
        <v>20</v>
      </c>
      <c r="C224" s="20" t="s">
        <v>55</v>
      </c>
      <c r="D224" s="20" t="s">
        <v>56</v>
      </c>
      <c r="E224" s="20" t="s">
        <v>532</v>
      </c>
      <c r="F224" s="20">
        <v>1</v>
      </c>
      <c r="G224" s="20" t="s">
        <v>139</v>
      </c>
      <c r="H224" s="20"/>
      <c r="I224" s="21" t="s">
        <v>764</v>
      </c>
      <c r="J224" s="21"/>
      <c r="K224" s="21"/>
      <c r="L224" s="21" t="s">
        <v>766</v>
      </c>
      <c r="M224" s="21" t="s">
        <v>73</v>
      </c>
      <c r="N224" s="21"/>
    </row>
    <row r="225" spans="1:14" ht="64.05" customHeight="1">
      <c r="A225" s="20" t="s">
        <v>763</v>
      </c>
      <c r="B225" s="20" t="s">
        <v>20</v>
      </c>
      <c r="C225" s="20" t="s">
        <v>55</v>
      </c>
      <c r="D225" s="20" t="s">
        <v>56</v>
      </c>
      <c r="E225" s="20" t="s">
        <v>542</v>
      </c>
      <c r="F225" s="20">
        <v>1</v>
      </c>
      <c r="G225" s="20" t="s">
        <v>139</v>
      </c>
      <c r="H225" s="20"/>
      <c r="I225" s="21" t="s">
        <v>764</v>
      </c>
      <c r="J225" s="21"/>
      <c r="K225" s="21"/>
      <c r="L225" s="21" t="s">
        <v>767</v>
      </c>
      <c r="M225" s="21" t="s">
        <v>73</v>
      </c>
      <c r="N225" s="21"/>
    </row>
    <row r="226" spans="1:14" ht="64.05" customHeight="1">
      <c r="A226" s="20" t="s">
        <v>763</v>
      </c>
      <c r="B226" s="20" t="s">
        <v>20</v>
      </c>
      <c r="C226" s="20" t="s">
        <v>55</v>
      </c>
      <c r="D226" s="20" t="s">
        <v>56</v>
      </c>
      <c r="E226" s="20" t="s">
        <v>541</v>
      </c>
      <c r="F226" s="20">
        <v>1</v>
      </c>
      <c r="G226" s="20" t="s">
        <v>139</v>
      </c>
      <c r="H226" s="20"/>
      <c r="I226" s="21" t="s">
        <v>764</v>
      </c>
      <c r="J226" s="21"/>
      <c r="K226" s="21"/>
      <c r="L226" s="21" t="s">
        <v>768</v>
      </c>
      <c r="M226" s="21" t="s">
        <v>73</v>
      </c>
      <c r="N226" s="21"/>
    </row>
    <row r="227" spans="1:14" ht="64.05" customHeight="1">
      <c r="A227" s="20" t="s">
        <v>763</v>
      </c>
      <c r="B227" s="20" t="s">
        <v>20</v>
      </c>
      <c r="C227" s="20" t="s">
        <v>55</v>
      </c>
      <c r="D227" s="20" t="s">
        <v>56</v>
      </c>
      <c r="E227" s="20" t="s">
        <v>537</v>
      </c>
      <c r="F227" s="20">
        <v>1</v>
      </c>
      <c r="G227" s="20" t="s">
        <v>139</v>
      </c>
      <c r="H227" s="20"/>
      <c r="I227" s="21" t="s">
        <v>769</v>
      </c>
      <c r="J227" s="21"/>
      <c r="K227" s="21"/>
      <c r="L227" s="21" t="s">
        <v>770</v>
      </c>
      <c r="M227" s="21" t="s">
        <v>73</v>
      </c>
      <c r="N227" s="21"/>
    </row>
    <row r="228" spans="1:14" ht="64.05" customHeight="1">
      <c r="A228" s="20" t="s">
        <v>763</v>
      </c>
      <c r="B228" s="20" t="s">
        <v>20</v>
      </c>
      <c r="C228" s="20" t="s">
        <v>55</v>
      </c>
      <c r="D228" s="20" t="s">
        <v>56</v>
      </c>
      <c r="E228" s="20" t="s">
        <v>771</v>
      </c>
      <c r="F228" s="20">
        <v>1</v>
      </c>
      <c r="G228" s="20" t="s">
        <v>772</v>
      </c>
      <c r="H228" s="20"/>
      <c r="I228" s="21" t="s">
        <v>773</v>
      </c>
      <c r="J228" s="21" t="s">
        <v>245</v>
      </c>
      <c r="K228" s="21"/>
      <c r="L228" s="21" t="s">
        <v>774</v>
      </c>
      <c r="M228" s="21" t="s">
        <v>73</v>
      </c>
      <c r="N228" s="21"/>
    </row>
    <row r="229" spans="1:14" ht="64.05" customHeight="1">
      <c r="A229" s="20" t="s">
        <v>763</v>
      </c>
      <c r="B229" s="20" t="s">
        <v>20</v>
      </c>
      <c r="C229" s="20" t="s">
        <v>55</v>
      </c>
      <c r="D229" s="20" t="s">
        <v>56</v>
      </c>
      <c r="E229" s="20" t="s">
        <v>775</v>
      </c>
      <c r="F229" s="20">
        <v>1</v>
      </c>
      <c r="G229" s="20" t="s">
        <v>772</v>
      </c>
      <c r="H229" s="20"/>
      <c r="I229" s="21" t="s">
        <v>773</v>
      </c>
      <c r="J229" s="21" t="s">
        <v>245</v>
      </c>
      <c r="K229" s="21"/>
      <c r="L229" s="21" t="s">
        <v>774</v>
      </c>
      <c r="M229" s="21" t="s">
        <v>73</v>
      </c>
      <c r="N229" s="21"/>
    </row>
    <row r="230" spans="1:14" ht="64.05" customHeight="1">
      <c r="A230" s="20" t="s">
        <v>763</v>
      </c>
      <c r="B230" s="20" t="s">
        <v>20</v>
      </c>
      <c r="C230" s="20" t="s">
        <v>55</v>
      </c>
      <c r="D230" s="20" t="s">
        <v>56</v>
      </c>
      <c r="E230" s="20" t="s">
        <v>776</v>
      </c>
      <c r="F230" s="20">
        <v>1</v>
      </c>
      <c r="G230" s="20" t="s">
        <v>772</v>
      </c>
      <c r="H230" s="20"/>
      <c r="I230" s="21" t="s">
        <v>773</v>
      </c>
      <c r="J230" s="21" t="s">
        <v>245</v>
      </c>
      <c r="K230" s="21"/>
      <c r="L230" s="21" t="s">
        <v>774</v>
      </c>
      <c r="M230" s="21" t="s">
        <v>73</v>
      </c>
      <c r="N230" s="21"/>
    </row>
    <row r="231" spans="1:14" ht="64.05" customHeight="1">
      <c r="A231" s="20" t="s">
        <v>763</v>
      </c>
      <c r="B231" s="20" t="s">
        <v>20</v>
      </c>
      <c r="C231" s="20" t="s">
        <v>55</v>
      </c>
      <c r="D231" s="20" t="s">
        <v>56</v>
      </c>
      <c r="E231" s="20" t="s">
        <v>777</v>
      </c>
      <c r="F231" s="20">
        <v>1</v>
      </c>
      <c r="G231" s="20" t="s">
        <v>772</v>
      </c>
      <c r="H231" s="20"/>
      <c r="I231" s="21" t="s">
        <v>773</v>
      </c>
      <c r="J231" s="21" t="s">
        <v>245</v>
      </c>
      <c r="K231" s="21"/>
      <c r="L231" s="21" t="s">
        <v>774</v>
      </c>
      <c r="M231" s="21" t="s">
        <v>73</v>
      </c>
      <c r="N231" s="21"/>
    </row>
    <row r="232" spans="1:14" ht="64.05" customHeight="1">
      <c r="A232" s="20" t="s">
        <v>763</v>
      </c>
      <c r="B232" s="20" t="s">
        <v>20</v>
      </c>
      <c r="C232" s="20" t="s">
        <v>55</v>
      </c>
      <c r="D232" s="20" t="s">
        <v>56</v>
      </c>
      <c r="E232" s="20" t="s">
        <v>778</v>
      </c>
      <c r="F232" s="20">
        <v>1</v>
      </c>
      <c r="G232" s="20" t="s">
        <v>772</v>
      </c>
      <c r="H232" s="20"/>
      <c r="I232" s="21" t="s">
        <v>773</v>
      </c>
      <c r="J232" s="21" t="s">
        <v>245</v>
      </c>
      <c r="K232" s="21"/>
      <c r="L232" s="21" t="s">
        <v>774</v>
      </c>
      <c r="M232" s="21" t="s">
        <v>73</v>
      </c>
      <c r="N232" s="21"/>
    </row>
    <row r="233" spans="1:14" ht="64.05" customHeight="1">
      <c r="A233" s="20" t="s">
        <v>763</v>
      </c>
      <c r="B233" s="20" t="s">
        <v>22</v>
      </c>
      <c r="C233" s="20" t="s">
        <v>779</v>
      </c>
      <c r="D233" s="20" t="s">
        <v>780</v>
      </c>
      <c r="E233" s="20" t="s">
        <v>781</v>
      </c>
      <c r="F233" s="20">
        <v>1</v>
      </c>
      <c r="G233" s="20" t="s">
        <v>92</v>
      </c>
      <c r="H233" s="20"/>
      <c r="I233" s="21" t="s">
        <v>782</v>
      </c>
      <c r="J233" s="21" t="s">
        <v>99</v>
      </c>
      <c r="K233" s="21"/>
      <c r="L233" s="21" t="s">
        <v>783</v>
      </c>
      <c r="M233" s="21" t="s">
        <v>102</v>
      </c>
      <c r="N233" s="21"/>
    </row>
    <row r="234" spans="1:14" ht="64.05" customHeight="1">
      <c r="A234" s="20" t="s">
        <v>763</v>
      </c>
      <c r="B234" s="20" t="s">
        <v>23</v>
      </c>
      <c r="C234" s="20" t="s">
        <v>103</v>
      </c>
      <c r="D234" s="20" t="s">
        <v>104</v>
      </c>
      <c r="E234" s="20" t="s">
        <v>784</v>
      </c>
      <c r="F234" s="20">
        <v>1</v>
      </c>
      <c r="G234" s="20" t="s">
        <v>92</v>
      </c>
      <c r="H234" s="20"/>
      <c r="I234" s="21" t="s">
        <v>785</v>
      </c>
      <c r="J234" s="21"/>
      <c r="K234" s="21" t="s">
        <v>109</v>
      </c>
      <c r="L234" s="21" t="s">
        <v>786</v>
      </c>
      <c r="M234" s="21" t="s">
        <v>62</v>
      </c>
      <c r="N234" s="21" t="s">
        <v>520</v>
      </c>
    </row>
    <row r="235" spans="1:14" ht="64.05" customHeight="1">
      <c r="A235" s="20" t="s">
        <v>763</v>
      </c>
      <c r="B235" s="20" t="s">
        <v>23</v>
      </c>
      <c r="C235" s="20" t="s">
        <v>103</v>
      </c>
      <c r="D235" s="20" t="s">
        <v>104</v>
      </c>
      <c r="E235" s="20" t="s">
        <v>787</v>
      </c>
      <c r="F235" s="20">
        <v>1</v>
      </c>
      <c r="G235" s="20" t="s">
        <v>92</v>
      </c>
      <c r="H235" s="20"/>
      <c r="I235" s="21" t="s">
        <v>788</v>
      </c>
      <c r="J235" s="21"/>
      <c r="K235" s="21" t="s">
        <v>109</v>
      </c>
      <c r="L235" s="21" t="s">
        <v>789</v>
      </c>
      <c r="M235" s="21" t="s">
        <v>62</v>
      </c>
      <c r="N235" s="21" t="s">
        <v>520</v>
      </c>
    </row>
    <row r="236" spans="1:14" ht="64.05" customHeight="1">
      <c r="A236" s="20" t="s">
        <v>763</v>
      </c>
      <c r="B236" s="20" t="s">
        <v>25</v>
      </c>
      <c r="C236" s="20" t="s">
        <v>115</v>
      </c>
      <c r="D236" s="20" t="s">
        <v>116</v>
      </c>
      <c r="E236" s="20" t="s">
        <v>790</v>
      </c>
      <c r="F236" s="20">
        <v>1</v>
      </c>
      <c r="G236" s="20" t="s">
        <v>411</v>
      </c>
      <c r="H236" s="20" t="s">
        <v>409</v>
      </c>
      <c r="I236" s="21" t="s">
        <v>791</v>
      </c>
      <c r="J236" s="21"/>
      <c r="K236" s="21"/>
      <c r="L236" s="21" t="s">
        <v>792</v>
      </c>
      <c r="M236" s="21" t="s">
        <v>62</v>
      </c>
      <c r="N236" s="21" t="s">
        <v>130</v>
      </c>
    </row>
    <row r="237" spans="1:14" ht="64.05" customHeight="1">
      <c r="A237" s="20" t="s">
        <v>763</v>
      </c>
      <c r="B237" s="20" t="s">
        <v>25</v>
      </c>
      <c r="C237" s="20" t="s">
        <v>115</v>
      </c>
      <c r="D237" s="20" t="s">
        <v>116</v>
      </c>
      <c r="E237" s="20" t="s">
        <v>793</v>
      </c>
      <c r="F237" s="20">
        <v>1</v>
      </c>
      <c r="G237" s="20" t="s">
        <v>411</v>
      </c>
      <c r="H237" s="20" t="s">
        <v>409</v>
      </c>
      <c r="I237" s="21" t="s">
        <v>791</v>
      </c>
      <c r="J237" s="21"/>
      <c r="K237" s="21"/>
      <c r="L237" s="21" t="s">
        <v>794</v>
      </c>
      <c r="M237" s="21" t="s">
        <v>62</v>
      </c>
      <c r="N237" s="21" t="s">
        <v>130</v>
      </c>
    </row>
    <row r="238" spans="1:14" ht="64.05" customHeight="1">
      <c r="A238" s="20" t="s">
        <v>763</v>
      </c>
      <c r="B238" s="20" t="s">
        <v>25</v>
      </c>
      <c r="C238" s="20" t="s">
        <v>131</v>
      </c>
      <c r="D238" s="20" t="s">
        <v>132</v>
      </c>
      <c r="E238" s="20" t="s">
        <v>795</v>
      </c>
      <c r="F238" s="20">
        <v>1</v>
      </c>
      <c r="G238" s="20" t="s">
        <v>604</v>
      </c>
      <c r="H238" s="20" t="s">
        <v>796</v>
      </c>
      <c r="I238" s="21" t="s">
        <v>797</v>
      </c>
      <c r="J238" s="21"/>
      <c r="K238" s="21"/>
      <c r="L238" s="21" t="s">
        <v>798</v>
      </c>
      <c r="M238" s="21" t="s">
        <v>73</v>
      </c>
      <c r="N238" s="21"/>
    </row>
    <row r="239" spans="1:14" ht="64.05" customHeight="1">
      <c r="A239" s="20" t="s">
        <v>763</v>
      </c>
      <c r="B239" s="20" t="s">
        <v>25</v>
      </c>
      <c r="C239" s="20" t="s">
        <v>131</v>
      </c>
      <c r="D239" s="20" t="s">
        <v>132</v>
      </c>
      <c r="E239" s="20" t="s">
        <v>799</v>
      </c>
      <c r="F239" s="20">
        <v>1</v>
      </c>
      <c r="G239" s="20" t="s">
        <v>604</v>
      </c>
      <c r="H239" s="20" t="s">
        <v>796</v>
      </c>
      <c r="I239" s="21" t="s">
        <v>800</v>
      </c>
      <c r="J239" s="21"/>
      <c r="K239" s="21"/>
      <c r="L239" s="21" t="s">
        <v>798</v>
      </c>
      <c r="M239" s="21" t="s">
        <v>73</v>
      </c>
      <c r="N239" s="21"/>
    </row>
    <row r="240" spans="1:14" ht="64.05" customHeight="1">
      <c r="A240" s="20" t="s">
        <v>763</v>
      </c>
      <c r="B240" s="20" t="s">
        <v>24</v>
      </c>
      <c r="C240" s="20" t="s">
        <v>426</v>
      </c>
      <c r="D240" s="20" t="s">
        <v>427</v>
      </c>
      <c r="E240" s="20" t="s">
        <v>801</v>
      </c>
      <c r="F240" s="20">
        <v>1</v>
      </c>
      <c r="G240" s="20" t="s">
        <v>183</v>
      </c>
      <c r="H240" s="20" t="s">
        <v>698</v>
      </c>
      <c r="I240" s="21" t="s">
        <v>802</v>
      </c>
      <c r="J240" s="21"/>
      <c r="K240" s="21" t="s">
        <v>803</v>
      </c>
      <c r="L240" s="21" t="s">
        <v>804</v>
      </c>
      <c r="M240" s="21" t="s">
        <v>73</v>
      </c>
      <c r="N240" s="21"/>
    </row>
    <row r="241" spans="1:14" ht="64.05" customHeight="1">
      <c r="A241" s="20" t="s">
        <v>763</v>
      </c>
      <c r="B241" s="20" t="s">
        <v>24</v>
      </c>
      <c r="C241" s="20" t="s">
        <v>426</v>
      </c>
      <c r="D241" s="20" t="s">
        <v>427</v>
      </c>
      <c r="E241" s="20" t="s">
        <v>805</v>
      </c>
      <c r="F241" s="20">
        <v>1</v>
      </c>
      <c r="G241" s="20"/>
      <c r="H241" s="20" t="s">
        <v>698</v>
      </c>
      <c r="I241" s="21" t="s">
        <v>806</v>
      </c>
      <c r="J241" s="21"/>
      <c r="K241" s="21"/>
      <c r="L241" s="21" t="s">
        <v>807</v>
      </c>
      <c r="M241" s="21" t="s">
        <v>62</v>
      </c>
      <c r="N241" s="21" t="s">
        <v>520</v>
      </c>
    </row>
    <row r="242" spans="1:14" ht="64.05" customHeight="1">
      <c r="A242" s="20" t="s">
        <v>763</v>
      </c>
      <c r="B242" s="20" t="s">
        <v>24</v>
      </c>
      <c r="C242" s="20" t="s">
        <v>426</v>
      </c>
      <c r="D242" s="20" t="s">
        <v>427</v>
      </c>
      <c r="E242" s="20" t="s">
        <v>808</v>
      </c>
      <c r="F242" s="20">
        <v>1</v>
      </c>
      <c r="G242" s="20" t="s">
        <v>183</v>
      </c>
      <c r="H242" s="20" t="s">
        <v>698</v>
      </c>
      <c r="I242" s="21" t="s">
        <v>809</v>
      </c>
      <c r="J242" s="21"/>
      <c r="K242" s="21" t="s">
        <v>803</v>
      </c>
      <c r="L242" s="21" t="s">
        <v>810</v>
      </c>
      <c r="M242" s="21" t="s">
        <v>62</v>
      </c>
      <c r="N242" s="21" t="s">
        <v>811</v>
      </c>
    </row>
    <row r="243" spans="1:14" ht="64.05" customHeight="1">
      <c r="A243" s="20" t="s">
        <v>763</v>
      </c>
      <c r="B243" s="20" t="s">
        <v>24</v>
      </c>
      <c r="C243" s="20" t="s">
        <v>426</v>
      </c>
      <c r="D243" s="20" t="s">
        <v>427</v>
      </c>
      <c r="E243" s="20" t="s">
        <v>812</v>
      </c>
      <c r="F243" s="20">
        <v>1</v>
      </c>
      <c r="G243" s="20" t="s">
        <v>183</v>
      </c>
      <c r="H243" s="20" t="s">
        <v>698</v>
      </c>
      <c r="I243" s="21" t="s">
        <v>809</v>
      </c>
      <c r="J243" s="21"/>
      <c r="K243" s="21" t="s">
        <v>803</v>
      </c>
      <c r="L243" s="21" t="s">
        <v>813</v>
      </c>
      <c r="M243" s="21" t="s">
        <v>62</v>
      </c>
      <c r="N243" s="21" t="s">
        <v>811</v>
      </c>
    </row>
    <row r="244" spans="1:14" ht="64.05" customHeight="1">
      <c r="A244" s="20" t="s">
        <v>763</v>
      </c>
      <c r="B244" s="20" t="s">
        <v>24</v>
      </c>
      <c r="C244" s="20" t="s">
        <v>426</v>
      </c>
      <c r="D244" s="20" t="s">
        <v>427</v>
      </c>
      <c r="E244" s="20" t="s">
        <v>814</v>
      </c>
      <c r="F244" s="20">
        <v>1</v>
      </c>
      <c r="G244" s="20" t="s">
        <v>183</v>
      </c>
      <c r="H244" s="20" t="s">
        <v>698</v>
      </c>
      <c r="I244" s="21" t="s">
        <v>815</v>
      </c>
      <c r="J244" s="21"/>
      <c r="K244" s="21" t="s">
        <v>803</v>
      </c>
      <c r="L244" s="21" t="s">
        <v>816</v>
      </c>
      <c r="M244" s="21" t="s">
        <v>62</v>
      </c>
      <c r="N244" s="21" t="s">
        <v>811</v>
      </c>
    </row>
    <row r="245" spans="1:14" ht="64.05" customHeight="1">
      <c r="A245" s="20" t="s">
        <v>763</v>
      </c>
      <c r="B245" s="20" t="s">
        <v>24</v>
      </c>
      <c r="C245" s="20" t="s">
        <v>431</v>
      </c>
      <c r="D245" s="20" t="s">
        <v>216</v>
      </c>
      <c r="E245" s="20" t="s">
        <v>817</v>
      </c>
      <c r="F245" s="20">
        <v>1</v>
      </c>
      <c r="G245" s="20"/>
      <c r="H245" s="20"/>
      <c r="I245" s="21" t="s">
        <v>818</v>
      </c>
      <c r="J245" s="21"/>
      <c r="K245" s="21" t="s">
        <v>819</v>
      </c>
      <c r="L245" s="21" t="s">
        <v>820</v>
      </c>
      <c r="M245" s="21" t="s">
        <v>102</v>
      </c>
      <c r="N245" s="21"/>
    </row>
    <row r="246" spans="1:14" ht="64.05" customHeight="1">
      <c r="A246" s="20" t="s">
        <v>763</v>
      </c>
      <c r="B246" s="20" t="s">
        <v>24</v>
      </c>
      <c r="C246" s="20" t="s">
        <v>136</v>
      </c>
      <c r="D246" s="20" t="s">
        <v>674</v>
      </c>
      <c r="E246" s="20" t="s">
        <v>821</v>
      </c>
      <c r="F246" s="20">
        <v>1</v>
      </c>
      <c r="G246" s="20" t="s">
        <v>139</v>
      </c>
      <c r="H246" s="20"/>
      <c r="I246" s="21" t="s">
        <v>822</v>
      </c>
      <c r="J246" s="21"/>
      <c r="K246" s="21" t="s">
        <v>637</v>
      </c>
      <c r="L246" s="21" t="s">
        <v>823</v>
      </c>
      <c r="M246" s="21" t="s">
        <v>62</v>
      </c>
      <c r="N246" s="21" t="s">
        <v>520</v>
      </c>
    </row>
    <row r="247" spans="1:14" ht="64.05" customHeight="1">
      <c r="A247" s="20" t="s">
        <v>763</v>
      </c>
      <c r="B247" s="20" t="s">
        <v>24</v>
      </c>
      <c r="C247" s="20" t="s">
        <v>443</v>
      </c>
      <c r="D247" s="20" t="s">
        <v>444</v>
      </c>
      <c r="E247" s="20" t="s">
        <v>824</v>
      </c>
      <c r="F247" s="20">
        <v>1</v>
      </c>
      <c r="G247" s="20" t="s">
        <v>825</v>
      </c>
      <c r="H247" s="20" t="s">
        <v>826</v>
      </c>
      <c r="I247" s="21" t="s">
        <v>827</v>
      </c>
      <c r="J247" s="21"/>
      <c r="K247" s="21" t="s">
        <v>828</v>
      </c>
      <c r="L247" s="21" t="s">
        <v>829</v>
      </c>
      <c r="M247" s="21" t="s">
        <v>73</v>
      </c>
      <c r="N247" s="21"/>
    </row>
    <row r="248" spans="1:14" ht="64.05" customHeight="1">
      <c r="A248" s="20" t="s">
        <v>763</v>
      </c>
      <c r="B248" s="20" t="s">
        <v>24</v>
      </c>
      <c r="C248" s="20" t="s">
        <v>443</v>
      </c>
      <c r="D248" s="20" t="s">
        <v>444</v>
      </c>
      <c r="E248" s="20" t="s">
        <v>830</v>
      </c>
      <c r="F248" s="20">
        <v>1</v>
      </c>
      <c r="G248" s="20" t="s">
        <v>183</v>
      </c>
      <c r="H248" s="20" t="s">
        <v>831</v>
      </c>
      <c r="I248" s="21" t="s">
        <v>832</v>
      </c>
      <c r="J248" s="21" t="s">
        <v>245</v>
      </c>
      <c r="K248" s="21" t="s">
        <v>833</v>
      </c>
      <c r="L248" s="21" t="s">
        <v>834</v>
      </c>
      <c r="M248" s="21" t="s">
        <v>62</v>
      </c>
      <c r="N248" s="21" t="s">
        <v>520</v>
      </c>
    </row>
    <row r="249" spans="1:14" ht="64.05" customHeight="1">
      <c r="A249" s="20" t="s">
        <v>763</v>
      </c>
      <c r="B249" s="20" t="s">
        <v>24</v>
      </c>
      <c r="C249" s="20" t="s">
        <v>443</v>
      </c>
      <c r="D249" s="20" t="s">
        <v>444</v>
      </c>
      <c r="E249" s="20" t="s">
        <v>835</v>
      </c>
      <c r="F249" s="20">
        <v>1</v>
      </c>
      <c r="G249" s="20" t="s">
        <v>836</v>
      </c>
      <c r="H249" s="20"/>
      <c r="I249" s="21" t="s">
        <v>140</v>
      </c>
      <c r="J249" s="21"/>
      <c r="K249" s="21" t="s">
        <v>837</v>
      </c>
      <c r="L249" s="21" t="s">
        <v>838</v>
      </c>
      <c r="M249" s="21" t="s">
        <v>102</v>
      </c>
      <c r="N249" s="21"/>
    </row>
    <row r="250" spans="1:14" ht="64.05" customHeight="1">
      <c r="A250" s="20" t="s">
        <v>763</v>
      </c>
      <c r="B250" s="20" t="s">
        <v>28</v>
      </c>
      <c r="C250" s="20" t="s">
        <v>146</v>
      </c>
      <c r="D250" s="20" t="s">
        <v>147</v>
      </c>
      <c r="E250" s="20" t="s">
        <v>839</v>
      </c>
      <c r="F250" s="20">
        <v>1</v>
      </c>
      <c r="G250" s="20"/>
      <c r="H250" s="20"/>
      <c r="I250" s="21" t="s">
        <v>840</v>
      </c>
      <c r="J250" s="21"/>
      <c r="K250" s="21" t="s">
        <v>687</v>
      </c>
      <c r="L250" s="21" t="s">
        <v>841</v>
      </c>
      <c r="M250" s="21" t="s">
        <v>73</v>
      </c>
      <c r="N250" s="21"/>
    </row>
    <row r="251" spans="1:14" ht="64.05" customHeight="1">
      <c r="A251" s="20" t="s">
        <v>763</v>
      </c>
      <c r="B251" s="20" t="s">
        <v>28</v>
      </c>
      <c r="C251" s="20" t="s">
        <v>146</v>
      </c>
      <c r="D251" s="20" t="s">
        <v>147</v>
      </c>
      <c r="E251" s="20" t="s">
        <v>842</v>
      </c>
      <c r="F251" s="20">
        <v>1</v>
      </c>
      <c r="G251" s="20"/>
      <c r="H251" s="20"/>
      <c r="I251" s="21" t="s">
        <v>843</v>
      </c>
      <c r="J251" s="21"/>
      <c r="K251" s="21" t="s">
        <v>687</v>
      </c>
      <c r="L251" s="21" t="s">
        <v>841</v>
      </c>
      <c r="M251" s="21" t="s">
        <v>73</v>
      </c>
      <c r="N251" s="21"/>
    </row>
    <row r="252" spans="1:14" ht="64.05" customHeight="1">
      <c r="A252" s="20" t="s">
        <v>763</v>
      </c>
      <c r="B252" s="20" t="s">
        <v>28</v>
      </c>
      <c r="C252" s="20" t="s">
        <v>146</v>
      </c>
      <c r="D252" s="20" t="s">
        <v>147</v>
      </c>
      <c r="E252" s="20" t="s">
        <v>844</v>
      </c>
      <c r="F252" s="20">
        <v>1</v>
      </c>
      <c r="G252" s="20"/>
      <c r="H252" s="20"/>
      <c r="I252" s="21" t="s">
        <v>845</v>
      </c>
      <c r="J252" s="21"/>
      <c r="K252" s="21" t="s">
        <v>687</v>
      </c>
      <c r="L252" s="21" t="s">
        <v>841</v>
      </c>
      <c r="M252" s="21" t="s">
        <v>73</v>
      </c>
      <c r="N252" s="21"/>
    </row>
    <row r="253" spans="1:14" ht="64.05" customHeight="1">
      <c r="A253" s="20" t="s">
        <v>763</v>
      </c>
      <c r="B253" s="20" t="s">
        <v>28</v>
      </c>
      <c r="C253" s="20" t="s">
        <v>167</v>
      </c>
      <c r="D253" s="20" t="s">
        <v>168</v>
      </c>
      <c r="E253" s="20" t="s">
        <v>846</v>
      </c>
      <c r="F253" s="20">
        <v>1</v>
      </c>
      <c r="G253" s="20" t="s">
        <v>454</v>
      </c>
      <c r="H253" s="20" t="s">
        <v>847</v>
      </c>
      <c r="I253" s="21" t="s">
        <v>848</v>
      </c>
      <c r="J253" s="21"/>
      <c r="K253" s="21" t="s">
        <v>849</v>
      </c>
      <c r="L253" s="21" t="s">
        <v>850</v>
      </c>
      <c r="M253" s="21" t="s">
        <v>73</v>
      </c>
      <c r="N253" s="21"/>
    </row>
    <row r="254" spans="1:14" ht="64.05" customHeight="1">
      <c r="A254" s="20" t="s">
        <v>763</v>
      </c>
      <c r="B254" s="20" t="s">
        <v>28</v>
      </c>
      <c r="C254" s="20" t="s">
        <v>167</v>
      </c>
      <c r="D254" s="20" t="s">
        <v>851</v>
      </c>
      <c r="E254" s="20" t="s">
        <v>852</v>
      </c>
      <c r="F254" s="20">
        <v>1</v>
      </c>
      <c r="G254" s="20" t="s">
        <v>454</v>
      </c>
      <c r="H254" s="20" t="s">
        <v>847</v>
      </c>
      <c r="I254" s="21" t="s">
        <v>848</v>
      </c>
      <c r="J254" s="21"/>
      <c r="K254" s="21" t="s">
        <v>849</v>
      </c>
      <c r="L254" s="21" t="s">
        <v>853</v>
      </c>
      <c r="M254" s="21" t="s">
        <v>73</v>
      </c>
      <c r="N254" s="21"/>
    </row>
    <row r="255" spans="1:14" ht="64.05" customHeight="1">
      <c r="A255" s="20" t="s">
        <v>763</v>
      </c>
      <c r="B255" s="20" t="s">
        <v>28</v>
      </c>
      <c r="C255" s="20" t="s">
        <v>167</v>
      </c>
      <c r="D255" s="20" t="s">
        <v>851</v>
      </c>
      <c r="E255" s="20" t="s">
        <v>854</v>
      </c>
      <c r="F255" s="20">
        <v>1</v>
      </c>
      <c r="G255" s="20" t="s">
        <v>454</v>
      </c>
      <c r="H255" s="20" t="s">
        <v>847</v>
      </c>
      <c r="I255" s="21" t="s">
        <v>848</v>
      </c>
      <c r="J255" s="21"/>
      <c r="K255" s="21" t="s">
        <v>849</v>
      </c>
      <c r="L255" s="21" t="s">
        <v>853</v>
      </c>
      <c r="M255" s="21" t="s">
        <v>73</v>
      </c>
      <c r="N255" s="21"/>
    </row>
    <row r="256" spans="1:14" ht="64.05" customHeight="1">
      <c r="A256" s="20" t="s">
        <v>763</v>
      </c>
      <c r="B256" s="20" t="s">
        <v>28</v>
      </c>
      <c r="C256" s="20" t="s">
        <v>167</v>
      </c>
      <c r="D256" s="20" t="s">
        <v>851</v>
      </c>
      <c r="E256" s="20" t="s">
        <v>855</v>
      </c>
      <c r="F256" s="20">
        <v>1</v>
      </c>
      <c r="G256" s="20" t="s">
        <v>454</v>
      </c>
      <c r="H256" s="20" t="s">
        <v>847</v>
      </c>
      <c r="I256" s="21" t="s">
        <v>848</v>
      </c>
      <c r="J256" s="21"/>
      <c r="K256" s="21" t="s">
        <v>849</v>
      </c>
      <c r="L256" s="21" t="s">
        <v>853</v>
      </c>
      <c r="M256" s="21" t="s">
        <v>73</v>
      </c>
      <c r="N256" s="21"/>
    </row>
    <row r="257" spans="1:14" ht="64.05" customHeight="1">
      <c r="A257" s="20" t="s">
        <v>763</v>
      </c>
      <c r="B257" s="20" t="s">
        <v>28</v>
      </c>
      <c r="C257" s="20" t="s">
        <v>167</v>
      </c>
      <c r="D257" s="20" t="s">
        <v>851</v>
      </c>
      <c r="E257" s="20" t="s">
        <v>856</v>
      </c>
      <c r="F257" s="20">
        <v>1</v>
      </c>
      <c r="G257" s="20" t="s">
        <v>454</v>
      </c>
      <c r="H257" s="20" t="s">
        <v>847</v>
      </c>
      <c r="I257" s="21" t="s">
        <v>848</v>
      </c>
      <c r="J257" s="21"/>
      <c r="K257" s="21" t="s">
        <v>849</v>
      </c>
      <c r="L257" s="21" t="s">
        <v>857</v>
      </c>
      <c r="M257" s="21" t="s">
        <v>62</v>
      </c>
      <c r="N257" s="21" t="s">
        <v>303</v>
      </c>
    </row>
    <row r="258" spans="1:14" ht="64.05" customHeight="1">
      <c r="A258" s="20" t="s">
        <v>763</v>
      </c>
      <c r="B258" s="20" t="s">
        <v>28</v>
      </c>
      <c r="C258" s="20" t="s">
        <v>167</v>
      </c>
      <c r="D258" s="20" t="s">
        <v>851</v>
      </c>
      <c r="E258" s="20" t="s">
        <v>858</v>
      </c>
      <c r="F258" s="20">
        <v>1</v>
      </c>
      <c r="G258" s="20" t="s">
        <v>454</v>
      </c>
      <c r="H258" s="20" t="s">
        <v>847</v>
      </c>
      <c r="I258" s="21" t="s">
        <v>848</v>
      </c>
      <c r="J258" s="21"/>
      <c r="K258" s="21" t="s">
        <v>849</v>
      </c>
      <c r="L258" s="21" t="s">
        <v>853</v>
      </c>
      <c r="M258" s="21" t="s">
        <v>73</v>
      </c>
      <c r="N258" s="21"/>
    </row>
    <row r="259" spans="1:14" ht="64.05" customHeight="1">
      <c r="A259" s="20" t="s">
        <v>763</v>
      </c>
      <c r="B259" s="20" t="s">
        <v>28</v>
      </c>
      <c r="C259" s="20" t="s">
        <v>167</v>
      </c>
      <c r="D259" s="20" t="s">
        <v>851</v>
      </c>
      <c r="E259" s="20" t="s">
        <v>859</v>
      </c>
      <c r="F259" s="20">
        <v>1</v>
      </c>
      <c r="G259" s="20" t="s">
        <v>454</v>
      </c>
      <c r="H259" s="20" t="s">
        <v>847</v>
      </c>
      <c r="I259" s="21" t="s">
        <v>848</v>
      </c>
      <c r="J259" s="21"/>
      <c r="K259" s="21" t="s">
        <v>849</v>
      </c>
      <c r="L259" s="21" t="s">
        <v>853</v>
      </c>
      <c r="M259" s="21" t="s">
        <v>73</v>
      </c>
      <c r="N259" s="21"/>
    </row>
    <row r="260" spans="1:14" ht="64.05" customHeight="1">
      <c r="A260" s="20" t="s">
        <v>763</v>
      </c>
      <c r="B260" s="20" t="s">
        <v>28</v>
      </c>
      <c r="C260" s="20" t="s">
        <v>167</v>
      </c>
      <c r="D260" s="20" t="s">
        <v>851</v>
      </c>
      <c r="E260" s="20" t="s">
        <v>860</v>
      </c>
      <c r="F260" s="20">
        <v>1</v>
      </c>
      <c r="G260" s="20" t="s">
        <v>454</v>
      </c>
      <c r="H260" s="20" t="s">
        <v>847</v>
      </c>
      <c r="I260" s="21" t="s">
        <v>848</v>
      </c>
      <c r="J260" s="21"/>
      <c r="K260" s="21" t="s">
        <v>849</v>
      </c>
      <c r="L260" s="21" t="s">
        <v>861</v>
      </c>
      <c r="M260" s="21" t="s">
        <v>73</v>
      </c>
      <c r="N260" s="21"/>
    </row>
    <row r="261" spans="1:14" ht="64.05" customHeight="1">
      <c r="A261" s="20" t="s">
        <v>763</v>
      </c>
      <c r="B261" s="20" t="s">
        <v>28</v>
      </c>
      <c r="C261" s="20" t="s">
        <v>167</v>
      </c>
      <c r="D261" s="20" t="s">
        <v>851</v>
      </c>
      <c r="E261" s="20" t="s">
        <v>862</v>
      </c>
      <c r="F261" s="20">
        <v>1</v>
      </c>
      <c r="G261" s="20" t="s">
        <v>454</v>
      </c>
      <c r="H261" s="20" t="s">
        <v>847</v>
      </c>
      <c r="I261" s="21" t="s">
        <v>848</v>
      </c>
      <c r="J261" s="21"/>
      <c r="K261" s="21" t="s">
        <v>849</v>
      </c>
      <c r="L261" s="21" t="s">
        <v>853</v>
      </c>
      <c r="M261" s="21" t="s">
        <v>73</v>
      </c>
      <c r="N261" s="21"/>
    </row>
    <row r="262" spans="1:14" ht="64.05" customHeight="1">
      <c r="A262" s="20" t="s">
        <v>763</v>
      </c>
      <c r="B262" s="20" t="s">
        <v>28</v>
      </c>
      <c r="C262" s="20" t="s">
        <v>167</v>
      </c>
      <c r="D262" s="20" t="s">
        <v>851</v>
      </c>
      <c r="E262" s="20" t="s">
        <v>863</v>
      </c>
      <c r="F262" s="20">
        <v>1</v>
      </c>
      <c r="G262" s="20" t="s">
        <v>454</v>
      </c>
      <c r="H262" s="20" t="s">
        <v>847</v>
      </c>
      <c r="I262" s="21" t="s">
        <v>848</v>
      </c>
      <c r="J262" s="21"/>
      <c r="K262" s="21" t="s">
        <v>849</v>
      </c>
      <c r="L262" s="21" t="s">
        <v>853</v>
      </c>
      <c r="M262" s="21" t="s">
        <v>73</v>
      </c>
      <c r="N262" s="21"/>
    </row>
    <row r="263" spans="1:14" ht="64.05" customHeight="1">
      <c r="A263" s="20" t="s">
        <v>763</v>
      </c>
      <c r="B263" s="20" t="s">
        <v>28</v>
      </c>
      <c r="C263" s="20" t="s">
        <v>167</v>
      </c>
      <c r="D263" s="20" t="s">
        <v>168</v>
      </c>
      <c r="E263" s="20" t="s">
        <v>864</v>
      </c>
      <c r="F263" s="20">
        <v>1</v>
      </c>
      <c r="G263" s="20" t="s">
        <v>92</v>
      </c>
      <c r="H263" s="20"/>
      <c r="I263" s="21" t="s">
        <v>865</v>
      </c>
      <c r="J263" s="21"/>
      <c r="K263" s="21" t="s">
        <v>866</v>
      </c>
      <c r="L263" s="21" t="s">
        <v>867</v>
      </c>
      <c r="M263" s="21" t="s">
        <v>73</v>
      </c>
      <c r="N263" s="21"/>
    </row>
    <row r="264" spans="1:14" ht="64.05" customHeight="1">
      <c r="A264" s="20" t="s">
        <v>763</v>
      </c>
      <c r="B264" s="20" t="s">
        <v>28</v>
      </c>
      <c r="C264" s="20" t="s">
        <v>167</v>
      </c>
      <c r="D264" s="20" t="s">
        <v>168</v>
      </c>
      <c r="E264" s="20" t="s">
        <v>868</v>
      </c>
      <c r="F264" s="20">
        <v>1</v>
      </c>
      <c r="G264" s="20" t="s">
        <v>92</v>
      </c>
      <c r="H264" s="20"/>
      <c r="I264" s="21" t="s">
        <v>462</v>
      </c>
      <c r="J264" s="21"/>
      <c r="K264" s="21" t="s">
        <v>866</v>
      </c>
      <c r="L264" s="21" t="s">
        <v>867</v>
      </c>
      <c r="M264" s="21" t="s">
        <v>73</v>
      </c>
      <c r="N264" s="21"/>
    </row>
    <row r="265" spans="1:14" ht="64.05" customHeight="1">
      <c r="A265" s="20" t="s">
        <v>763</v>
      </c>
      <c r="B265" s="20" t="s">
        <v>28</v>
      </c>
      <c r="C265" s="20" t="s">
        <v>167</v>
      </c>
      <c r="D265" s="20" t="s">
        <v>168</v>
      </c>
      <c r="E265" s="20" t="s">
        <v>869</v>
      </c>
      <c r="F265" s="20">
        <v>1</v>
      </c>
      <c r="G265" s="20" t="s">
        <v>92</v>
      </c>
      <c r="H265" s="20"/>
      <c r="I265" s="21" t="s">
        <v>870</v>
      </c>
      <c r="J265" s="21"/>
      <c r="K265" s="21" t="s">
        <v>866</v>
      </c>
      <c r="L265" s="21" t="s">
        <v>867</v>
      </c>
      <c r="M265" s="21" t="s">
        <v>73</v>
      </c>
      <c r="N265" s="21"/>
    </row>
    <row r="266" spans="1:14" ht="64.05" customHeight="1">
      <c r="A266" s="20" t="s">
        <v>763</v>
      </c>
      <c r="B266" s="20" t="s">
        <v>30</v>
      </c>
      <c r="C266" s="20" t="s">
        <v>188</v>
      </c>
      <c r="D266" s="20" t="s">
        <v>189</v>
      </c>
      <c r="E266" s="20" t="s">
        <v>871</v>
      </c>
      <c r="F266" s="20">
        <v>1</v>
      </c>
      <c r="G266" s="20" t="s">
        <v>481</v>
      </c>
      <c r="H266" s="20" t="s">
        <v>872</v>
      </c>
      <c r="I266" s="21" t="s">
        <v>873</v>
      </c>
      <c r="J266" s="21"/>
      <c r="K266" s="21" t="s">
        <v>109</v>
      </c>
      <c r="L266" s="21" t="s">
        <v>874</v>
      </c>
      <c r="M266" s="21" t="s">
        <v>73</v>
      </c>
      <c r="N266" s="21"/>
    </row>
    <row r="267" spans="1:14" ht="64.05" customHeight="1">
      <c r="A267" s="20" t="s">
        <v>763</v>
      </c>
      <c r="B267" s="20" t="s">
        <v>26</v>
      </c>
      <c r="C267" s="20" t="s">
        <v>196</v>
      </c>
      <c r="D267" s="20" t="s">
        <v>197</v>
      </c>
      <c r="E267" s="20" t="s">
        <v>875</v>
      </c>
      <c r="F267" s="20">
        <v>1</v>
      </c>
      <c r="G267" s="20" t="s">
        <v>139</v>
      </c>
      <c r="H267" s="20"/>
      <c r="I267" s="21" t="s">
        <v>876</v>
      </c>
      <c r="J267" s="21"/>
      <c r="K267" s="21" t="s">
        <v>687</v>
      </c>
      <c r="L267" s="21" t="s">
        <v>877</v>
      </c>
      <c r="M267" s="21" t="s">
        <v>62</v>
      </c>
      <c r="N267" s="21" t="s">
        <v>520</v>
      </c>
    </row>
    <row r="268" spans="1:14" ht="64.05" customHeight="1">
      <c r="A268" s="20" t="s">
        <v>763</v>
      </c>
      <c r="B268" s="20" t="s">
        <v>26</v>
      </c>
      <c r="C268" s="20" t="s">
        <v>196</v>
      </c>
      <c r="D268" s="20" t="s">
        <v>197</v>
      </c>
      <c r="E268" s="20" t="s">
        <v>878</v>
      </c>
      <c r="F268" s="20">
        <v>1</v>
      </c>
      <c r="G268" s="20" t="s">
        <v>139</v>
      </c>
      <c r="H268" s="20"/>
      <c r="I268" s="21" t="s">
        <v>879</v>
      </c>
      <c r="J268" s="21"/>
      <c r="K268" s="21" t="s">
        <v>880</v>
      </c>
      <c r="L268" s="21" t="s">
        <v>881</v>
      </c>
      <c r="M268" s="21" t="s">
        <v>62</v>
      </c>
      <c r="N268" s="21" t="s">
        <v>520</v>
      </c>
    </row>
    <row r="269" spans="1:14" ht="64.05" customHeight="1">
      <c r="A269" s="20" t="s">
        <v>763</v>
      </c>
      <c r="B269" s="20" t="s">
        <v>21</v>
      </c>
      <c r="C269" s="20" t="s">
        <v>215</v>
      </c>
      <c r="D269" s="20" t="s">
        <v>216</v>
      </c>
      <c r="E269" s="20" t="s">
        <v>882</v>
      </c>
      <c r="F269" s="20">
        <v>1</v>
      </c>
      <c r="G269" s="20" t="s">
        <v>883</v>
      </c>
      <c r="H269" s="20" t="s">
        <v>884</v>
      </c>
      <c r="I269" s="21" t="s">
        <v>885</v>
      </c>
      <c r="J269" s="21"/>
      <c r="K269" s="21" t="s">
        <v>886</v>
      </c>
      <c r="L269" s="21" t="s">
        <v>887</v>
      </c>
      <c r="M269" s="21" t="s">
        <v>62</v>
      </c>
      <c r="N269" s="21" t="s">
        <v>303</v>
      </c>
    </row>
    <row r="270" spans="1:14" ht="64.05" customHeight="1">
      <c r="A270" s="20" t="s">
        <v>763</v>
      </c>
      <c r="B270" s="20" t="s">
        <v>21</v>
      </c>
      <c r="C270" s="20" t="s">
        <v>239</v>
      </c>
      <c r="D270" s="20" t="s">
        <v>147</v>
      </c>
      <c r="E270" s="20" t="s">
        <v>888</v>
      </c>
      <c r="F270" s="20">
        <v>1</v>
      </c>
      <c r="G270" s="20" t="s">
        <v>752</v>
      </c>
      <c r="H270" s="20" t="s">
        <v>889</v>
      </c>
      <c r="I270" s="21" t="s">
        <v>890</v>
      </c>
      <c r="J270" s="21"/>
      <c r="K270" s="21" t="s">
        <v>78</v>
      </c>
      <c r="L270" s="21" t="s">
        <v>891</v>
      </c>
      <c r="M270" s="21" t="s">
        <v>73</v>
      </c>
      <c r="N270" s="21"/>
    </row>
    <row r="271" spans="1:14" ht="64.05" customHeight="1">
      <c r="A271" s="20" t="s">
        <v>763</v>
      </c>
      <c r="B271" s="20" t="s">
        <v>21</v>
      </c>
      <c r="C271" s="20" t="s">
        <v>239</v>
      </c>
      <c r="D271" s="20" t="s">
        <v>147</v>
      </c>
      <c r="E271" s="20" t="s">
        <v>892</v>
      </c>
      <c r="F271" s="20">
        <v>1</v>
      </c>
      <c r="G271" s="20"/>
      <c r="H271" s="20"/>
      <c r="I271" s="21" t="s">
        <v>893</v>
      </c>
      <c r="J271" s="21"/>
      <c r="K271" s="21"/>
      <c r="L271" s="21" t="s">
        <v>894</v>
      </c>
      <c r="M271" s="21" t="s">
        <v>73</v>
      </c>
      <c r="N271" s="21"/>
    </row>
    <row r="272" spans="1:14" ht="64.05" customHeight="1">
      <c r="A272" s="20" t="s">
        <v>763</v>
      </c>
      <c r="B272" s="20" t="s">
        <v>21</v>
      </c>
      <c r="C272" s="20" t="s">
        <v>239</v>
      </c>
      <c r="D272" s="20" t="s">
        <v>147</v>
      </c>
      <c r="E272" s="20" t="s">
        <v>895</v>
      </c>
      <c r="F272" s="20">
        <v>1</v>
      </c>
      <c r="G272" s="20" t="s">
        <v>249</v>
      </c>
      <c r="H272" s="20" t="s">
        <v>312</v>
      </c>
      <c r="I272" s="21" t="s">
        <v>896</v>
      </c>
      <c r="J272" s="21"/>
      <c r="K272" s="21" t="s">
        <v>78</v>
      </c>
      <c r="L272" s="21" t="s">
        <v>798</v>
      </c>
      <c r="M272" s="21" t="s">
        <v>73</v>
      </c>
      <c r="N272" s="21"/>
    </row>
    <row r="273" spans="1:14" ht="64.05" customHeight="1">
      <c r="A273" s="20" t="s">
        <v>763</v>
      </c>
      <c r="B273" s="20" t="s">
        <v>21</v>
      </c>
      <c r="C273" s="20" t="s">
        <v>239</v>
      </c>
      <c r="D273" s="20" t="s">
        <v>147</v>
      </c>
      <c r="E273" s="20" t="s">
        <v>897</v>
      </c>
      <c r="F273" s="20">
        <v>1</v>
      </c>
      <c r="G273" s="20" t="s">
        <v>249</v>
      </c>
      <c r="H273" s="20" t="s">
        <v>312</v>
      </c>
      <c r="I273" s="21" t="s">
        <v>896</v>
      </c>
      <c r="J273" s="21"/>
      <c r="K273" s="21" t="s">
        <v>78</v>
      </c>
      <c r="L273" s="21" t="s">
        <v>798</v>
      </c>
      <c r="M273" s="21" t="s">
        <v>73</v>
      </c>
      <c r="N273" s="21"/>
    </row>
    <row r="274" spans="1:14" ht="64.05" customHeight="1">
      <c r="A274" s="20" t="s">
        <v>763</v>
      </c>
      <c r="B274" s="20" t="s">
        <v>21</v>
      </c>
      <c r="C274" s="20" t="s">
        <v>239</v>
      </c>
      <c r="D274" s="20" t="s">
        <v>147</v>
      </c>
      <c r="E274" s="20" t="s">
        <v>898</v>
      </c>
      <c r="F274" s="20">
        <v>1</v>
      </c>
      <c r="G274" s="20" t="s">
        <v>249</v>
      </c>
      <c r="H274" s="20" t="s">
        <v>312</v>
      </c>
      <c r="I274" s="21" t="s">
        <v>896</v>
      </c>
      <c r="J274" s="21"/>
      <c r="K274" s="21" t="s">
        <v>78</v>
      </c>
      <c r="L274" s="21" t="s">
        <v>798</v>
      </c>
      <c r="M274" s="21" t="s">
        <v>73</v>
      </c>
      <c r="N274" s="21"/>
    </row>
    <row r="275" spans="1:14" ht="64.05" customHeight="1">
      <c r="A275" s="20" t="s">
        <v>763</v>
      </c>
      <c r="B275" s="20" t="s">
        <v>21</v>
      </c>
      <c r="C275" s="20" t="s">
        <v>239</v>
      </c>
      <c r="D275" s="20" t="s">
        <v>147</v>
      </c>
      <c r="E275" s="20" t="s">
        <v>899</v>
      </c>
      <c r="F275" s="20">
        <v>1</v>
      </c>
      <c r="G275" s="20" t="s">
        <v>249</v>
      </c>
      <c r="H275" s="20" t="s">
        <v>312</v>
      </c>
      <c r="I275" s="21" t="s">
        <v>896</v>
      </c>
      <c r="J275" s="21"/>
      <c r="K275" s="21" t="s">
        <v>78</v>
      </c>
      <c r="L275" s="21" t="s">
        <v>798</v>
      </c>
      <c r="M275" s="21" t="s">
        <v>73</v>
      </c>
      <c r="N275" s="21"/>
    </row>
    <row r="276" spans="1:14" ht="64.05" customHeight="1">
      <c r="A276" s="20" t="s">
        <v>763</v>
      </c>
      <c r="B276" s="20" t="s">
        <v>21</v>
      </c>
      <c r="C276" s="20" t="s">
        <v>239</v>
      </c>
      <c r="D276" s="20" t="s">
        <v>147</v>
      </c>
      <c r="E276" s="20" t="s">
        <v>900</v>
      </c>
      <c r="F276" s="20">
        <v>1</v>
      </c>
      <c r="G276" s="20" t="s">
        <v>901</v>
      </c>
      <c r="H276" s="20" t="s">
        <v>488</v>
      </c>
      <c r="I276" s="21" t="s">
        <v>902</v>
      </c>
      <c r="J276" s="21" t="s">
        <v>245</v>
      </c>
      <c r="K276" s="21" t="s">
        <v>903</v>
      </c>
      <c r="L276" s="21" t="s">
        <v>904</v>
      </c>
      <c r="M276" s="21" t="s">
        <v>73</v>
      </c>
      <c r="N276" s="21"/>
    </row>
    <row r="277" spans="1:14" ht="64.05" customHeight="1">
      <c r="A277" s="20" t="s">
        <v>763</v>
      </c>
      <c r="B277" s="20" t="s">
        <v>21</v>
      </c>
      <c r="C277" s="20" t="s">
        <v>905</v>
      </c>
      <c r="D277" s="20" t="s">
        <v>906</v>
      </c>
      <c r="E277" s="20" t="s">
        <v>907</v>
      </c>
      <c r="F277" s="20">
        <v>1</v>
      </c>
      <c r="G277" s="20" t="s">
        <v>92</v>
      </c>
      <c r="H277" s="20"/>
      <c r="I277" s="21" t="s">
        <v>908</v>
      </c>
      <c r="J277" s="21"/>
      <c r="K277" s="21" t="s">
        <v>909</v>
      </c>
      <c r="L277" s="21" t="s">
        <v>910</v>
      </c>
      <c r="M277" s="21" t="s">
        <v>73</v>
      </c>
      <c r="N277" s="21"/>
    </row>
    <row r="278" spans="1:14" ht="64.05" customHeight="1">
      <c r="A278" s="20" t="s">
        <v>763</v>
      </c>
      <c r="B278" s="20" t="s">
        <v>21</v>
      </c>
      <c r="C278" s="20" t="s">
        <v>905</v>
      </c>
      <c r="D278" s="20" t="s">
        <v>906</v>
      </c>
      <c r="E278" s="20" t="s">
        <v>911</v>
      </c>
      <c r="F278" s="20">
        <v>1</v>
      </c>
      <c r="G278" s="20" t="s">
        <v>92</v>
      </c>
      <c r="H278" s="20"/>
      <c r="I278" s="21" t="s">
        <v>912</v>
      </c>
      <c r="J278" s="21"/>
      <c r="K278" s="21" t="s">
        <v>909</v>
      </c>
      <c r="L278" s="21" t="s">
        <v>910</v>
      </c>
      <c r="M278" s="21" t="s">
        <v>73</v>
      </c>
      <c r="N278" s="21"/>
    </row>
    <row r="279" spans="1:14" ht="64.05" customHeight="1">
      <c r="A279" s="20" t="s">
        <v>763</v>
      </c>
      <c r="B279" s="20" t="s">
        <v>21</v>
      </c>
      <c r="C279" s="20" t="s">
        <v>905</v>
      </c>
      <c r="D279" s="20" t="s">
        <v>906</v>
      </c>
      <c r="E279" s="20" t="s">
        <v>913</v>
      </c>
      <c r="F279" s="20">
        <v>1</v>
      </c>
      <c r="G279" s="20" t="s">
        <v>92</v>
      </c>
      <c r="H279" s="20"/>
      <c r="I279" s="21" t="s">
        <v>914</v>
      </c>
      <c r="J279" s="21"/>
      <c r="K279" s="21" t="s">
        <v>909</v>
      </c>
      <c r="L279" s="21" t="s">
        <v>910</v>
      </c>
      <c r="M279" s="21" t="s">
        <v>73</v>
      </c>
      <c r="N279" s="21"/>
    </row>
    <row r="280" spans="1:14" ht="64.05" customHeight="1">
      <c r="A280" s="20" t="s">
        <v>763</v>
      </c>
      <c r="B280" s="20" t="s">
        <v>21</v>
      </c>
      <c r="C280" s="20" t="s">
        <v>905</v>
      </c>
      <c r="D280" s="20" t="s">
        <v>906</v>
      </c>
      <c r="E280" s="20" t="s">
        <v>915</v>
      </c>
      <c r="F280" s="20">
        <v>1</v>
      </c>
      <c r="G280" s="20" t="s">
        <v>92</v>
      </c>
      <c r="H280" s="20"/>
      <c r="I280" s="21" t="s">
        <v>916</v>
      </c>
      <c r="J280" s="21"/>
      <c r="K280" s="21" t="s">
        <v>917</v>
      </c>
      <c r="L280" s="21" t="s">
        <v>910</v>
      </c>
      <c r="M280" s="21" t="s">
        <v>73</v>
      </c>
      <c r="N280" s="21"/>
    </row>
    <row r="281" spans="1:14" ht="64.05" customHeight="1">
      <c r="A281" s="20" t="s">
        <v>763</v>
      </c>
      <c r="B281" s="20" t="s">
        <v>21</v>
      </c>
      <c r="C281" s="20" t="s">
        <v>905</v>
      </c>
      <c r="D281" s="20" t="s">
        <v>906</v>
      </c>
      <c r="E281" s="20" t="s">
        <v>918</v>
      </c>
      <c r="F281" s="20">
        <v>1</v>
      </c>
      <c r="G281" s="20" t="s">
        <v>919</v>
      </c>
      <c r="H281" s="20" t="s">
        <v>920</v>
      </c>
      <c r="I281" s="21" t="s">
        <v>921</v>
      </c>
      <c r="J281" s="21" t="s">
        <v>245</v>
      </c>
      <c r="K281" s="21" t="s">
        <v>922</v>
      </c>
      <c r="L281" s="21" t="s">
        <v>923</v>
      </c>
      <c r="M281" s="21" t="s">
        <v>62</v>
      </c>
      <c r="N281" s="21" t="s">
        <v>520</v>
      </c>
    </row>
    <row r="282" spans="1:14" ht="64.05" customHeight="1">
      <c r="A282" s="20" t="s">
        <v>763</v>
      </c>
      <c r="B282" s="20" t="s">
        <v>21</v>
      </c>
      <c r="C282" s="20" t="s">
        <v>905</v>
      </c>
      <c r="D282" s="20" t="s">
        <v>906</v>
      </c>
      <c r="E282" s="20" t="s">
        <v>924</v>
      </c>
      <c r="F282" s="20">
        <v>1</v>
      </c>
      <c r="G282" s="20" t="s">
        <v>919</v>
      </c>
      <c r="H282" s="20" t="s">
        <v>920</v>
      </c>
      <c r="I282" s="21" t="s">
        <v>921</v>
      </c>
      <c r="J282" s="21" t="s">
        <v>245</v>
      </c>
      <c r="K282" s="21" t="s">
        <v>922</v>
      </c>
      <c r="L282" s="21" t="s">
        <v>925</v>
      </c>
      <c r="M282" s="21" t="s">
        <v>62</v>
      </c>
      <c r="N282" s="21" t="s">
        <v>520</v>
      </c>
    </row>
    <row r="283" spans="1:14" ht="64.05" customHeight="1">
      <c r="A283" s="20" t="s">
        <v>763</v>
      </c>
      <c r="B283" s="20" t="s">
        <v>21</v>
      </c>
      <c r="C283" s="20" t="s">
        <v>262</v>
      </c>
      <c r="D283" s="20" t="s">
        <v>263</v>
      </c>
      <c r="E283" s="20" t="s">
        <v>926</v>
      </c>
      <c r="F283" s="20">
        <v>1</v>
      </c>
      <c r="G283" s="20" t="s">
        <v>927</v>
      </c>
      <c r="H283" s="20" t="s">
        <v>928</v>
      </c>
      <c r="I283" s="21" t="s">
        <v>929</v>
      </c>
      <c r="J283" s="21"/>
      <c r="K283" s="21" t="s">
        <v>457</v>
      </c>
      <c r="L283" s="21" t="s">
        <v>930</v>
      </c>
      <c r="M283" s="21" t="s">
        <v>73</v>
      </c>
      <c r="N283" s="21"/>
    </row>
    <row r="284" spans="1:14" ht="64.05" customHeight="1">
      <c r="A284" s="20" t="s">
        <v>763</v>
      </c>
      <c r="B284" s="20" t="s">
        <v>21</v>
      </c>
      <c r="C284" s="20" t="s">
        <v>270</v>
      </c>
      <c r="D284" s="20" t="s">
        <v>271</v>
      </c>
      <c r="E284" s="20" t="s">
        <v>931</v>
      </c>
      <c r="F284" s="20">
        <v>1</v>
      </c>
      <c r="G284" s="20" t="s">
        <v>932</v>
      </c>
      <c r="H284" s="20" t="s">
        <v>933</v>
      </c>
      <c r="I284" s="21" t="s">
        <v>934</v>
      </c>
      <c r="J284" s="21"/>
      <c r="K284" s="21" t="s">
        <v>78</v>
      </c>
      <c r="L284" s="21" t="s">
        <v>935</v>
      </c>
      <c r="M284" s="21" t="s">
        <v>73</v>
      </c>
      <c r="N284" s="21"/>
    </row>
    <row r="285" spans="1:14" ht="64.05" customHeight="1">
      <c r="A285" s="20" t="s">
        <v>763</v>
      </c>
      <c r="B285" s="20" t="s">
        <v>21</v>
      </c>
      <c r="C285" s="20" t="s">
        <v>270</v>
      </c>
      <c r="D285" s="20" t="s">
        <v>271</v>
      </c>
      <c r="E285" s="20" t="s">
        <v>936</v>
      </c>
      <c r="F285" s="20">
        <v>1</v>
      </c>
      <c r="G285" s="20" t="s">
        <v>937</v>
      </c>
      <c r="H285" s="20" t="s">
        <v>938</v>
      </c>
      <c r="I285" s="21" t="s">
        <v>939</v>
      </c>
      <c r="J285" s="21"/>
      <c r="K285" s="21" t="s">
        <v>940</v>
      </c>
      <c r="L285" s="21" t="s">
        <v>941</v>
      </c>
      <c r="M285" s="21" t="s">
        <v>73</v>
      </c>
      <c r="N285" s="21"/>
    </row>
    <row r="286" spans="1:14" ht="64.05" customHeight="1">
      <c r="A286" s="20" t="s">
        <v>763</v>
      </c>
      <c r="B286" s="20" t="s">
        <v>21</v>
      </c>
      <c r="C286" s="20" t="s">
        <v>239</v>
      </c>
      <c r="D286" s="20" t="s">
        <v>147</v>
      </c>
      <c r="E286" s="20" t="s">
        <v>888</v>
      </c>
      <c r="F286" s="20">
        <v>1</v>
      </c>
      <c r="G286" s="20" t="s">
        <v>752</v>
      </c>
      <c r="H286" s="20" t="s">
        <v>312</v>
      </c>
      <c r="I286" s="21" t="s">
        <v>896</v>
      </c>
      <c r="J286" s="21"/>
      <c r="K286" s="21" t="s">
        <v>78</v>
      </c>
      <c r="L286" s="21" t="s">
        <v>798</v>
      </c>
      <c r="M286" s="21" t="s">
        <v>73</v>
      </c>
      <c r="N286" s="21"/>
    </row>
    <row r="287" spans="1:14" ht="64.05" customHeight="1">
      <c r="A287" s="20" t="s">
        <v>942</v>
      </c>
      <c r="B287" s="20" t="s">
        <v>20</v>
      </c>
      <c r="C287" s="20" t="s">
        <v>55</v>
      </c>
      <c r="D287" s="20" t="s">
        <v>56</v>
      </c>
      <c r="E287" s="20" t="s">
        <v>943</v>
      </c>
      <c r="F287" s="20">
        <v>1</v>
      </c>
      <c r="G287" s="20" t="s">
        <v>296</v>
      </c>
      <c r="H287" s="20" t="s">
        <v>944</v>
      </c>
      <c r="I287" s="21" t="s">
        <v>112</v>
      </c>
      <c r="J287" s="21"/>
      <c r="K287" s="21"/>
      <c r="L287" s="21" t="s">
        <v>945</v>
      </c>
      <c r="M287" s="21" t="s">
        <v>62</v>
      </c>
      <c r="N287" s="21" t="s">
        <v>63</v>
      </c>
    </row>
    <row r="288" spans="1:14" ht="64.05" customHeight="1">
      <c r="A288" s="20" t="s">
        <v>942</v>
      </c>
      <c r="B288" s="20" t="s">
        <v>20</v>
      </c>
      <c r="C288" s="20" t="s">
        <v>55</v>
      </c>
      <c r="D288" s="20" t="s">
        <v>56</v>
      </c>
      <c r="E288" s="20" t="s">
        <v>946</v>
      </c>
      <c r="F288" s="20">
        <v>1</v>
      </c>
      <c r="G288" s="20" t="s">
        <v>947</v>
      </c>
      <c r="H288" s="20" t="s">
        <v>948</v>
      </c>
      <c r="I288" s="21" t="s">
        <v>949</v>
      </c>
      <c r="J288" s="21"/>
      <c r="K288" s="21" t="s">
        <v>406</v>
      </c>
      <c r="L288" s="21" t="s">
        <v>950</v>
      </c>
      <c r="M288" s="21" t="s">
        <v>62</v>
      </c>
      <c r="N288" s="21" t="s">
        <v>951</v>
      </c>
    </row>
    <row r="289" spans="1:14" ht="64.05" customHeight="1">
      <c r="A289" s="20" t="s">
        <v>942</v>
      </c>
      <c r="B289" s="20" t="s">
        <v>20</v>
      </c>
      <c r="C289" s="20" t="s">
        <v>55</v>
      </c>
      <c r="D289" s="20" t="s">
        <v>56</v>
      </c>
      <c r="E289" s="20" t="s">
        <v>952</v>
      </c>
      <c r="F289" s="20">
        <v>1</v>
      </c>
      <c r="G289" s="20" t="s">
        <v>947</v>
      </c>
      <c r="H289" s="20" t="s">
        <v>948</v>
      </c>
      <c r="I289" s="21" t="s">
        <v>949</v>
      </c>
      <c r="J289" s="21"/>
      <c r="K289" s="21" t="s">
        <v>406</v>
      </c>
      <c r="L289" s="21" t="s">
        <v>950</v>
      </c>
      <c r="M289" s="21" t="s">
        <v>62</v>
      </c>
      <c r="N289" s="21" t="s">
        <v>951</v>
      </c>
    </row>
    <row r="290" spans="1:14" ht="64.05" customHeight="1">
      <c r="A290" s="20" t="s">
        <v>942</v>
      </c>
      <c r="B290" s="20" t="s">
        <v>20</v>
      </c>
      <c r="C290" s="20" t="s">
        <v>55</v>
      </c>
      <c r="D290" s="20" t="s">
        <v>56</v>
      </c>
      <c r="E290" s="20" t="s">
        <v>953</v>
      </c>
      <c r="F290" s="20">
        <v>1</v>
      </c>
      <c r="G290" s="20" t="s">
        <v>947</v>
      </c>
      <c r="H290" s="20" t="s">
        <v>948</v>
      </c>
      <c r="I290" s="21" t="s">
        <v>949</v>
      </c>
      <c r="J290" s="21"/>
      <c r="K290" s="21" t="s">
        <v>406</v>
      </c>
      <c r="L290" s="21" t="s">
        <v>950</v>
      </c>
      <c r="M290" s="21" t="s">
        <v>62</v>
      </c>
      <c r="N290" s="21" t="s">
        <v>951</v>
      </c>
    </row>
    <row r="291" spans="1:14" ht="64.05" customHeight="1">
      <c r="A291" s="20" t="s">
        <v>942</v>
      </c>
      <c r="B291" s="20" t="s">
        <v>20</v>
      </c>
      <c r="C291" s="20" t="s">
        <v>55</v>
      </c>
      <c r="D291" s="20" t="s">
        <v>56</v>
      </c>
      <c r="E291" s="20" t="s">
        <v>954</v>
      </c>
      <c r="F291" s="20">
        <v>1</v>
      </c>
      <c r="G291" s="20" t="s">
        <v>92</v>
      </c>
      <c r="H291" s="20"/>
      <c r="I291" s="21" t="s">
        <v>955</v>
      </c>
      <c r="J291" s="21"/>
      <c r="K291" s="21" t="s">
        <v>406</v>
      </c>
      <c r="L291" s="21" t="s">
        <v>956</v>
      </c>
      <c r="M291" s="21" t="s">
        <v>62</v>
      </c>
      <c r="N291" s="21" t="s">
        <v>957</v>
      </c>
    </row>
    <row r="292" spans="1:14" ht="64.05" customHeight="1">
      <c r="A292" s="20" t="s">
        <v>942</v>
      </c>
      <c r="B292" s="20" t="s">
        <v>20</v>
      </c>
      <c r="C292" s="20" t="s">
        <v>65</v>
      </c>
      <c r="D292" s="20" t="s">
        <v>66</v>
      </c>
      <c r="E292" s="20" t="s">
        <v>958</v>
      </c>
      <c r="F292" s="20">
        <v>1</v>
      </c>
      <c r="G292" s="20" t="s">
        <v>83</v>
      </c>
      <c r="H292" s="20" t="s">
        <v>959</v>
      </c>
      <c r="I292" s="21"/>
      <c r="J292" s="21"/>
      <c r="K292" s="21" t="s">
        <v>960</v>
      </c>
      <c r="L292" s="21" t="s">
        <v>961</v>
      </c>
      <c r="M292" s="21" t="s">
        <v>102</v>
      </c>
      <c r="N292" s="21"/>
    </row>
    <row r="293" spans="1:14" ht="64.05" customHeight="1">
      <c r="A293" s="20" t="s">
        <v>942</v>
      </c>
      <c r="B293" s="20" t="s">
        <v>20</v>
      </c>
      <c r="C293" s="20" t="s">
        <v>65</v>
      </c>
      <c r="D293" s="20" t="s">
        <v>66</v>
      </c>
      <c r="E293" s="20" t="s">
        <v>962</v>
      </c>
      <c r="F293" s="20">
        <v>1</v>
      </c>
      <c r="G293" s="20" t="s">
        <v>83</v>
      </c>
      <c r="H293" s="20" t="s">
        <v>959</v>
      </c>
      <c r="I293" s="21"/>
      <c r="J293" s="21"/>
      <c r="K293" s="21" t="s">
        <v>960</v>
      </c>
      <c r="L293" s="21" t="s">
        <v>961</v>
      </c>
      <c r="M293" s="21" t="s">
        <v>102</v>
      </c>
      <c r="N293" s="21"/>
    </row>
    <row r="294" spans="1:14" ht="64.05" customHeight="1">
      <c r="A294" s="20" t="s">
        <v>942</v>
      </c>
      <c r="B294" s="20" t="s">
        <v>20</v>
      </c>
      <c r="C294" s="20" t="s">
        <v>65</v>
      </c>
      <c r="D294" s="20" t="s">
        <v>66</v>
      </c>
      <c r="E294" s="20" t="s">
        <v>963</v>
      </c>
      <c r="F294" s="20">
        <v>1</v>
      </c>
      <c r="G294" s="20" t="s">
        <v>83</v>
      </c>
      <c r="H294" s="20" t="s">
        <v>959</v>
      </c>
      <c r="I294" s="21"/>
      <c r="J294" s="21"/>
      <c r="K294" s="21" t="s">
        <v>960</v>
      </c>
      <c r="L294" s="21" t="s">
        <v>961</v>
      </c>
      <c r="M294" s="21" t="s">
        <v>102</v>
      </c>
      <c r="N294" s="21"/>
    </row>
    <row r="295" spans="1:14" ht="64.05" customHeight="1">
      <c r="A295" s="20" t="s">
        <v>942</v>
      </c>
      <c r="B295" s="20" t="s">
        <v>20</v>
      </c>
      <c r="C295" s="20" t="s">
        <v>65</v>
      </c>
      <c r="D295" s="20" t="s">
        <v>66</v>
      </c>
      <c r="E295" s="20" t="s">
        <v>964</v>
      </c>
      <c r="F295" s="20">
        <v>1</v>
      </c>
      <c r="G295" s="20" t="s">
        <v>83</v>
      </c>
      <c r="H295" s="20" t="s">
        <v>959</v>
      </c>
      <c r="I295" s="21"/>
      <c r="J295" s="21"/>
      <c r="K295" s="21" t="s">
        <v>960</v>
      </c>
      <c r="L295" s="21" t="s">
        <v>961</v>
      </c>
      <c r="M295" s="21" t="s">
        <v>102</v>
      </c>
      <c r="N295" s="21"/>
    </row>
    <row r="296" spans="1:14" ht="64.05" customHeight="1">
      <c r="A296" s="20" t="s">
        <v>942</v>
      </c>
      <c r="B296" s="20" t="s">
        <v>20</v>
      </c>
      <c r="C296" s="20" t="s">
        <v>65</v>
      </c>
      <c r="D296" s="20" t="s">
        <v>66</v>
      </c>
      <c r="E296" s="20" t="s">
        <v>965</v>
      </c>
      <c r="F296" s="20">
        <v>1</v>
      </c>
      <c r="G296" s="20" t="s">
        <v>83</v>
      </c>
      <c r="H296" s="20" t="s">
        <v>959</v>
      </c>
      <c r="I296" s="21"/>
      <c r="J296" s="21"/>
      <c r="K296" s="21" t="s">
        <v>960</v>
      </c>
      <c r="L296" s="21" t="s">
        <v>966</v>
      </c>
      <c r="M296" s="21" t="s">
        <v>62</v>
      </c>
      <c r="N296" s="21" t="s">
        <v>811</v>
      </c>
    </row>
    <row r="297" spans="1:14" ht="64.05" customHeight="1">
      <c r="A297" s="20" t="s">
        <v>942</v>
      </c>
      <c r="B297" s="20" t="s">
        <v>20</v>
      </c>
      <c r="C297" s="20" t="s">
        <v>65</v>
      </c>
      <c r="D297" s="20" t="s">
        <v>66</v>
      </c>
      <c r="E297" s="20" t="s">
        <v>967</v>
      </c>
      <c r="F297" s="20">
        <v>1</v>
      </c>
      <c r="G297" s="20" t="s">
        <v>83</v>
      </c>
      <c r="H297" s="20" t="s">
        <v>959</v>
      </c>
      <c r="I297" s="21"/>
      <c r="J297" s="21"/>
      <c r="K297" s="21" t="s">
        <v>960</v>
      </c>
      <c r="L297" s="21" t="s">
        <v>966</v>
      </c>
      <c r="M297" s="21" t="s">
        <v>62</v>
      </c>
      <c r="N297" s="21" t="s">
        <v>811</v>
      </c>
    </row>
    <row r="298" spans="1:14" ht="64.05" customHeight="1">
      <c r="A298" s="20" t="s">
        <v>942</v>
      </c>
      <c r="B298" s="20" t="s">
        <v>20</v>
      </c>
      <c r="C298" s="20" t="s">
        <v>65</v>
      </c>
      <c r="D298" s="20" t="s">
        <v>66</v>
      </c>
      <c r="E298" s="20" t="s">
        <v>968</v>
      </c>
      <c r="F298" s="20">
        <v>1</v>
      </c>
      <c r="G298" s="20" t="s">
        <v>969</v>
      </c>
      <c r="H298" s="20" t="s">
        <v>970</v>
      </c>
      <c r="I298" s="21" t="s">
        <v>406</v>
      </c>
      <c r="J298" s="21"/>
      <c r="K298" s="21" t="s">
        <v>406</v>
      </c>
      <c r="L298" s="21" t="s">
        <v>971</v>
      </c>
      <c r="M298" s="21" t="s">
        <v>102</v>
      </c>
      <c r="N298" s="21"/>
    </row>
    <row r="299" spans="1:14" ht="64.05" customHeight="1">
      <c r="A299" s="20" t="s">
        <v>942</v>
      </c>
      <c r="B299" s="20" t="s">
        <v>23</v>
      </c>
      <c r="C299" s="20" t="s">
        <v>103</v>
      </c>
      <c r="D299" s="20" t="s">
        <v>104</v>
      </c>
      <c r="E299" s="20" t="s">
        <v>972</v>
      </c>
      <c r="F299" s="20">
        <v>1</v>
      </c>
      <c r="G299" s="20" t="s">
        <v>973</v>
      </c>
      <c r="H299" s="20" t="s">
        <v>974</v>
      </c>
      <c r="I299" s="21" t="s">
        <v>975</v>
      </c>
      <c r="J299" s="21"/>
      <c r="K299" s="21"/>
      <c r="L299" s="21" t="s">
        <v>976</v>
      </c>
      <c r="M299" s="21" t="s">
        <v>73</v>
      </c>
      <c r="N299" s="21"/>
    </row>
    <row r="300" spans="1:14" ht="64.05" customHeight="1">
      <c r="A300" s="20" t="s">
        <v>942</v>
      </c>
      <c r="B300" s="20" t="s">
        <v>23</v>
      </c>
      <c r="C300" s="20" t="s">
        <v>103</v>
      </c>
      <c r="D300" s="20" t="s">
        <v>104</v>
      </c>
      <c r="E300" s="20" t="s">
        <v>977</v>
      </c>
      <c r="F300" s="20">
        <v>1</v>
      </c>
      <c r="G300" s="20" t="s">
        <v>139</v>
      </c>
      <c r="H300" s="20"/>
      <c r="I300" s="21" t="s">
        <v>978</v>
      </c>
      <c r="J300" s="21"/>
      <c r="K300" s="21" t="s">
        <v>109</v>
      </c>
      <c r="L300" s="21" t="s">
        <v>979</v>
      </c>
      <c r="M300" s="21" t="s">
        <v>73</v>
      </c>
      <c r="N300" s="21"/>
    </row>
    <row r="301" spans="1:14" ht="64.05" customHeight="1">
      <c r="A301" s="20" t="s">
        <v>942</v>
      </c>
      <c r="B301" s="20" t="s">
        <v>25</v>
      </c>
      <c r="C301" s="20" t="s">
        <v>115</v>
      </c>
      <c r="D301" s="20" t="s">
        <v>116</v>
      </c>
      <c r="E301" s="20" t="s">
        <v>980</v>
      </c>
      <c r="F301" s="20">
        <v>1</v>
      </c>
      <c r="G301" s="20" t="s">
        <v>981</v>
      </c>
      <c r="H301" s="20" t="s">
        <v>409</v>
      </c>
      <c r="I301" s="21" t="s">
        <v>982</v>
      </c>
      <c r="J301" s="21"/>
      <c r="K301" s="21"/>
      <c r="L301" s="21" t="s">
        <v>983</v>
      </c>
      <c r="M301" s="21" t="s">
        <v>73</v>
      </c>
      <c r="N301" s="21"/>
    </row>
    <row r="302" spans="1:14" ht="64.05" customHeight="1">
      <c r="A302" s="20" t="s">
        <v>942</v>
      </c>
      <c r="B302" s="20" t="s">
        <v>25</v>
      </c>
      <c r="C302" s="20" t="s">
        <v>115</v>
      </c>
      <c r="D302" s="20" t="s">
        <v>116</v>
      </c>
      <c r="E302" s="20" t="s">
        <v>984</v>
      </c>
      <c r="F302" s="20">
        <v>1</v>
      </c>
      <c r="G302" s="20" t="s">
        <v>981</v>
      </c>
      <c r="H302" s="20" t="s">
        <v>409</v>
      </c>
      <c r="I302" s="21" t="s">
        <v>985</v>
      </c>
      <c r="J302" s="21"/>
      <c r="K302" s="21"/>
      <c r="L302" s="21" t="s">
        <v>983</v>
      </c>
      <c r="M302" s="21" t="s">
        <v>73</v>
      </c>
      <c r="N302" s="21"/>
    </row>
    <row r="303" spans="1:14" ht="64.05" customHeight="1">
      <c r="A303" s="20" t="s">
        <v>942</v>
      </c>
      <c r="B303" s="20" t="s">
        <v>24</v>
      </c>
      <c r="C303" s="20" t="s">
        <v>426</v>
      </c>
      <c r="D303" s="20" t="s">
        <v>427</v>
      </c>
      <c r="E303" s="20" t="s">
        <v>986</v>
      </c>
      <c r="F303" s="20">
        <v>1</v>
      </c>
      <c r="G303" s="20" t="s">
        <v>987</v>
      </c>
      <c r="H303" s="20" t="s">
        <v>988</v>
      </c>
      <c r="I303" s="21" t="s">
        <v>989</v>
      </c>
      <c r="J303" s="21"/>
      <c r="K303" s="21"/>
      <c r="L303" s="21" t="s">
        <v>990</v>
      </c>
      <c r="M303" s="21" t="s">
        <v>62</v>
      </c>
      <c r="N303" s="21" t="s">
        <v>130</v>
      </c>
    </row>
    <row r="304" spans="1:14" ht="64.05" customHeight="1">
      <c r="A304" s="20" t="s">
        <v>942</v>
      </c>
      <c r="B304" s="20" t="s">
        <v>24</v>
      </c>
      <c r="C304" s="20" t="s">
        <v>426</v>
      </c>
      <c r="D304" s="20" t="s">
        <v>427</v>
      </c>
      <c r="E304" s="20" t="s">
        <v>991</v>
      </c>
      <c r="F304" s="20">
        <v>1</v>
      </c>
      <c r="G304" s="20" t="s">
        <v>139</v>
      </c>
      <c r="H304" s="20"/>
      <c r="I304" s="21" t="s">
        <v>992</v>
      </c>
      <c r="J304" s="21"/>
      <c r="K304" s="21" t="s">
        <v>109</v>
      </c>
      <c r="L304" s="21" t="s">
        <v>993</v>
      </c>
      <c r="M304" s="21" t="s">
        <v>62</v>
      </c>
      <c r="N304" s="21" t="s">
        <v>520</v>
      </c>
    </row>
    <row r="305" spans="1:14" ht="64.05" customHeight="1">
      <c r="A305" s="20" t="s">
        <v>942</v>
      </c>
      <c r="B305" s="20" t="s">
        <v>24</v>
      </c>
      <c r="C305" s="20" t="s">
        <v>426</v>
      </c>
      <c r="D305" s="20" t="s">
        <v>427</v>
      </c>
      <c r="E305" s="20" t="s">
        <v>994</v>
      </c>
      <c r="F305" s="20">
        <v>1</v>
      </c>
      <c r="G305" s="20" t="s">
        <v>139</v>
      </c>
      <c r="H305" s="20"/>
      <c r="I305" s="21" t="s">
        <v>995</v>
      </c>
      <c r="J305" s="21"/>
      <c r="K305" s="21"/>
      <c r="L305" s="21" t="s">
        <v>996</v>
      </c>
      <c r="M305" s="21" t="s">
        <v>62</v>
      </c>
      <c r="N305" s="21" t="s">
        <v>520</v>
      </c>
    </row>
    <row r="306" spans="1:14" ht="64.05" customHeight="1">
      <c r="A306" s="20" t="s">
        <v>942</v>
      </c>
      <c r="B306" s="20" t="s">
        <v>24</v>
      </c>
      <c r="C306" s="20" t="s">
        <v>431</v>
      </c>
      <c r="D306" s="20" t="s">
        <v>216</v>
      </c>
      <c r="E306" s="20" t="s">
        <v>997</v>
      </c>
      <c r="F306" s="20">
        <v>1</v>
      </c>
      <c r="G306" s="20" t="s">
        <v>139</v>
      </c>
      <c r="H306" s="20"/>
      <c r="I306" s="21" t="s">
        <v>998</v>
      </c>
      <c r="J306" s="21"/>
      <c r="K306" s="21"/>
      <c r="L306" s="21" t="s">
        <v>999</v>
      </c>
      <c r="M306" s="21" t="s">
        <v>73</v>
      </c>
      <c r="N306" s="21"/>
    </row>
    <row r="307" spans="1:14" ht="64.05" customHeight="1">
      <c r="A307" s="20" t="s">
        <v>942</v>
      </c>
      <c r="B307" s="20" t="s">
        <v>24</v>
      </c>
      <c r="C307" s="20" t="s">
        <v>431</v>
      </c>
      <c r="D307" s="20" t="s">
        <v>216</v>
      </c>
      <c r="E307" s="20" t="s">
        <v>1000</v>
      </c>
      <c r="F307" s="20">
        <v>1</v>
      </c>
      <c r="G307" s="20" t="s">
        <v>92</v>
      </c>
      <c r="H307" s="20"/>
      <c r="I307" s="21" t="s">
        <v>1001</v>
      </c>
      <c r="J307" s="21"/>
      <c r="K307" s="21"/>
      <c r="L307" s="21" t="s">
        <v>999</v>
      </c>
      <c r="M307" s="21" t="s">
        <v>73</v>
      </c>
      <c r="N307" s="21"/>
    </row>
    <row r="308" spans="1:14" ht="64.05" customHeight="1">
      <c r="A308" s="20" t="s">
        <v>942</v>
      </c>
      <c r="B308" s="20" t="s">
        <v>24</v>
      </c>
      <c r="C308" s="20" t="s">
        <v>431</v>
      </c>
      <c r="D308" s="20" t="s">
        <v>216</v>
      </c>
      <c r="E308" s="20" t="s">
        <v>1002</v>
      </c>
      <c r="F308" s="20">
        <v>1</v>
      </c>
      <c r="G308" s="20" t="s">
        <v>92</v>
      </c>
      <c r="H308" s="20"/>
      <c r="I308" s="21" t="s">
        <v>1003</v>
      </c>
      <c r="J308" s="21"/>
      <c r="K308" s="21"/>
      <c r="L308" s="21" t="s">
        <v>999</v>
      </c>
      <c r="M308" s="21" t="s">
        <v>73</v>
      </c>
      <c r="N308" s="21"/>
    </row>
    <row r="309" spans="1:14" ht="64.05" customHeight="1">
      <c r="A309" s="20" t="s">
        <v>942</v>
      </c>
      <c r="B309" s="20" t="s">
        <v>24</v>
      </c>
      <c r="C309" s="20" t="s">
        <v>431</v>
      </c>
      <c r="D309" s="20" t="s">
        <v>216</v>
      </c>
      <c r="E309" s="20" t="s">
        <v>1004</v>
      </c>
      <c r="F309" s="20">
        <v>1</v>
      </c>
      <c r="G309" s="20" t="s">
        <v>139</v>
      </c>
      <c r="H309" s="20"/>
      <c r="I309" s="21" t="s">
        <v>1005</v>
      </c>
      <c r="J309" s="21"/>
      <c r="K309" s="21"/>
      <c r="L309" s="21" t="s">
        <v>1006</v>
      </c>
      <c r="M309" s="21" t="s">
        <v>73</v>
      </c>
      <c r="N309" s="21"/>
    </row>
    <row r="310" spans="1:14" ht="64.05" customHeight="1">
      <c r="A310" s="20" t="s">
        <v>942</v>
      </c>
      <c r="B310" s="20" t="s">
        <v>24</v>
      </c>
      <c r="C310" s="20" t="s">
        <v>431</v>
      </c>
      <c r="D310" s="20" t="s">
        <v>216</v>
      </c>
      <c r="E310" s="20" t="s">
        <v>1007</v>
      </c>
      <c r="F310" s="20">
        <v>1</v>
      </c>
      <c r="G310" s="20" t="s">
        <v>1008</v>
      </c>
      <c r="H310" s="20" t="s">
        <v>1009</v>
      </c>
      <c r="I310" s="21" t="s">
        <v>1010</v>
      </c>
      <c r="J310" s="21"/>
      <c r="K310" s="21" t="s">
        <v>1011</v>
      </c>
      <c r="L310" s="21" t="s">
        <v>1012</v>
      </c>
      <c r="M310" s="21" t="s">
        <v>62</v>
      </c>
      <c r="N310" s="21" t="s">
        <v>130</v>
      </c>
    </row>
    <row r="311" spans="1:14" ht="64.05" customHeight="1">
      <c r="A311" s="20" t="s">
        <v>942</v>
      </c>
      <c r="B311" s="20" t="s">
        <v>24</v>
      </c>
      <c r="C311" s="20" t="s">
        <v>431</v>
      </c>
      <c r="D311" s="20" t="s">
        <v>216</v>
      </c>
      <c r="E311" s="20" t="s">
        <v>1013</v>
      </c>
      <c r="F311" s="20">
        <v>1</v>
      </c>
      <c r="G311" s="20" t="s">
        <v>1008</v>
      </c>
      <c r="H311" s="20" t="s">
        <v>1009</v>
      </c>
      <c r="I311" s="21" t="s">
        <v>1010</v>
      </c>
      <c r="J311" s="21"/>
      <c r="K311" s="21" t="s">
        <v>1011</v>
      </c>
      <c r="L311" s="21" t="s">
        <v>1012</v>
      </c>
      <c r="M311" s="21" t="s">
        <v>62</v>
      </c>
      <c r="N311" s="21" t="s">
        <v>130</v>
      </c>
    </row>
    <row r="312" spans="1:14" ht="64.05" customHeight="1">
      <c r="A312" s="20" t="s">
        <v>942</v>
      </c>
      <c r="B312" s="20" t="s">
        <v>24</v>
      </c>
      <c r="C312" s="20" t="s">
        <v>431</v>
      </c>
      <c r="D312" s="20" t="s">
        <v>216</v>
      </c>
      <c r="E312" s="20" t="s">
        <v>1014</v>
      </c>
      <c r="F312" s="20">
        <v>1</v>
      </c>
      <c r="G312" s="20" t="s">
        <v>1008</v>
      </c>
      <c r="H312" s="20" t="s">
        <v>1009</v>
      </c>
      <c r="I312" s="21" t="s">
        <v>1010</v>
      </c>
      <c r="J312" s="21"/>
      <c r="K312" s="21" t="s">
        <v>1011</v>
      </c>
      <c r="L312" s="21" t="s">
        <v>1015</v>
      </c>
      <c r="M312" s="21" t="s">
        <v>62</v>
      </c>
      <c r="N312" s="21" t="s">
        <v>130</v>
      </c>
    </row>
    <row r="313" spans="1:14" ht="64.05" customHeight="1">
      <c r="A313" s="20" t="s">
        <v>942</v>
      </c>
      <c r="B313" s="20" t="s">
        <v>24</v>
      </c>
      <c r="C313" s="20" t="s">
        <v>431</v>
      </c>
      <c r="D313" s="20" t="s">
        <v>216</v>
      </c>
      <c r="E313" s="20" t="s">
        <v>1016</v>
      </c>
      <c r="F313" s="20">
        <v>1</v>
      </c>
      <c r="G313" s="20" t="s">
        <v>1008</v>
      </c>
      <c r="H313" s="20" t="s">
        <v>1009</v>
      </c>
      <c r="I313" s="21" t="s">
        <v>1017</v>
      </c>
      <c r="J313" s="21"/>
      <c r="K313" s="21" t="s">
        <v>1011</v>
      </c>
      <c r="L313" s="21" t="s">
        <v>1018</v>
      </c>
      <c r="M313" s="21" t="s">
        <v>62</v>
      </c>
      <c r="N313" s="21" t="s">
        <v>130</v>
      </c>
    </row>
    <row r="314" spans="1:14" ht="64.05" customHeight="1">
      <c r="A314" s="20" t="s">
        <v>942</v>
      </c>
      <c r="B314" s="20" t="s">
        <v>24</v>
      </c>
      <c r="C314" s="20" t="s">
        <v>431</v>
      </c>
      <c r="D314" s="20" t="s">
        <v>216</v>
      </c>
      <c r="E314" s="20" t="s">
        <v>1019</v>
      </c>
      <c r="F314" s="20">
        <v>1</v>
      </c>
      <c r="G314" s="20" t="s">
        <v>1020</v>
      </c>
      <c r="H314" s="20" t="s">
        <v>988</v>
      </c>
      <c r="I314" s="21" t="s">
        <v>1021</v>
      </c>
      <c r="J314" s="21"/>
      <c r="K314" s="21" t="s">
        <v>1011</v>
      </c>
      <c r="L314" s="21" t="s">
        <v>1022</v>
      </c>
      <c r="M314" s="21" t="s">
        <v>62</v>
      </c>
      <c r="N314" s="21" t="s">
        <v>130</v>
      </c>
    </row>
    <row r="315" spans="1:14" ht="64.05" customHeight="1">
      <c r="A315" s="20" t="s">
        <v>942</v>
      </c>
      <c r="B315" s="20" t="s">
        <v>24</v>
      </c>
      <c r="C315" s="20" t="s">
        <v>436</v>
      </c>
      <c r="D315" s="20" t="s">
        <v>437</v>
      </c>
      <c r="E315" s="20" t="s">
        <v>1023</v>
      </c>
      <c r="F315" s="20">
        <v>1</v>
      </c>
      <c r="G315" s="20" t="s">
        <v>139</v>
      </c>
      <c r="H315" s="20"/>
      <c r="I315" s="21" t="s">
        <v>112</v>
      </c>
      <c r="J315" s="21"/>
      <c r="K315" s="21" t="s">
        <v>109</v>
      </c>
      <c r="L315" s="21" t="s">
        <v>1024</v>
      </c>
      <c r="M315" s="21" t="s">
        <v>62</v>
      </c>
      <c r="N315" s="21" t="s">
        <v>520</v>
      </c>
    </row>
    <row r="316" spans="1:14" ht="64.05" customHeight="1">
      <c r="A316" s="20" t="s">
        <v>942</v>
      </c>
      <c r="B316" s="20" t="s">
        <v>24</v>
      </c>
      <c r="C316" s="20" t="s">
        <v>436</v>
      </c>
      <c r="D316" s="20" t="s">
        <v>437</v>
      </c>
      <c r="E316" s="20" t="s">
        <v>1025</v>
      </c>
      <c r="F316" s="20">
        <v>1</v>
      </c>
      <c r="G316" s="20" t="s">
        <v>139</v>
      </c>
      <c r="H316" s="20"/>
      <c r="I316" s="21" t="s">
        <v>112</v>
      </c>
      <c r="J316" s="21"/>
      <c r="K316" s="21" t="s">
        <v>109</v>
      </c>
      <c r="L316" s="21" t="s">
        <v>1024</v>
      </c>
      <c r="M316" s="21" t="s">
        <v>62</v>
      </c>
      <c r="N316" s="21" t="s">
        <v>520</v>
      </c>
    </row>
    <row r="317" spans="1:14" ht="64.05" customHeight="1">
      <c r="A317" s="20" t="s">
        <v>942</v>
      </c>
      <c r="B317" s="20" t="s">
        <v>24</v>
      </c>
      <c r="C317" s="20" t="s">
        <v>136</v>
      </c>
      <c r="D317" s="20" t="s">
        <v>137</v>
      </c>
      <c r="E317" s="20" t="s">
        <v>1026</v>
      </c>
      <c r="F317" s="20">
        <v>1</v>
      </c>
      <c r="G317" s="20" t="s">
        <v>1027</v>
      </c>
      <c r="H317" s="20"/>
      <c r="I317" s="21" t="s">
        <v>406</v>
      </c>
      <c r="J317" s="21"/>
      <c r="K317" s="21"/>
      <c r="L317" s="21" t="s">
        <v>1028</v>
      </c>
      <c r="M317" s="21" t="s">
        <v>62</v>
      </c>
      <c r="N317" s="21" t="s">
        <v>130</v>
      </c>
    </row>
    <row r="318" spans="1:14" ht="64.05" customHeight="1">
      <c r="A318" s="20" t="s">
        <v>942</v>
      </c>
      <c r="B318" s="20" t="s">
        <v>24</v>
      </c>
      <c r="C318" s="20" t="s">
        <v>136</v>
      </c>
      <c r="D318" s="20" t="s">
        <v>137</v>
      </c>
      <c r="E318" s="20" t="s">
        <v>1029</v>
      </c>
      <c r="F318" s="20">
        <v>1</v>
      </c>
      <c r="G318" s="20" t="s">
        <v>1027</v>
      </c>
      <c r="H318" s="20" t="s">
        <v>1030</v>
      </c>
      <c r="I318" s="21"/>
      <c r="J318" s="21"/>
      <c r="K318" s="21"/>
      <c r="L318" s="21" t="s">
        <v>1031</v>
      </c>
      <c r="M318" s="21" t="s">
        <v>62</v>
      </c>
      <c r="N318" s="21" t="s">
        <v>130</v>
      </c>
    </row>
    <row r="319" spans="1:14" ht="64.05" customHeight="1">
      <c r="A319" s="20" t="s">
        <v>942</v>
      </c>
      <c r="B319" s="20" t="s">
        <v>24</v>
      </c>
      <c r="C319" s="20" t="s">
        <v>136</v>
      </c>
      <c r="D319" s="20" t="s">
        <v>137</v>
      </c>
      <c r="E319" s="20" t="s">
        <v>1032</v>
      </c>
      <c r="F319" s="20">
        <v>1</v>
      </c>
      <c r="G319" s="20" t="s">
        <v>1027</v>
      </c>
      <c r="H319" s="20" t="s">
        <v>1030</v>
      </c>
      <c r="I319" s="21"/>
      <c r="J319" s="21"/>
      <c r="K319" s="21"/>
      <c r="L319" s="21" t="s">
        <v>1033</v>
      </c>
      <c r="M319" s="21" t="s">
        <v>62</v>
      </c>
      <c r="N319" s="21" t="s">
        <v>130</v>
      </c>
    </row>
    <row r="320" spans="1:14" ht="64.05" customHeight="1">
      <c r="A320" s="20" t="s">
        <v>942</v>
      </c>
      <c r="B320" s="20" t="s">
        <v>24</v>
      </c>
      <c r="C320" s="20" t="s">
        <v>136</v>
      </c>
      <c r="D320" s="20" t="s">
        <v>137</v>
      </c>
      <c r="E320" s="20" t="s">
        <v>1034</v>
      </c>
      <c r="F320" s="20">
        <v>1</v>
      </c>
      <c r="G320" s="20" t="s">
        <v>1027</v>
      </c>
      <c r="H320" s="20" t="s">
        <v>1030</v>
      </c>
      <c r="I320" s="21"/>
      <c r="J320" s="21"/>
      <c r="K320" s="21"/>
      <c r="L320" s="21" t="s">
        <v>1035</v>
      </c>
      <c r="M320" s="21" t="s">
        <v>62</v>
      </c>
      <c r="N320" s="21" t="s">
        <v>130</v>
      </c>
    </row>
    <row r="321" spans="1:14" ht="64.05" customHeight="1">
      <c r="A321" s="20" t="s">
        <v>942</v>
      </c>
      <c r="B321" s="20" t="s">
        <v>24</v>
      </c>
      <c r="C321" s="20" t="s">
        <v>136</v>
      </c>
      <c r="D321" s="20" t="s">
        <v>137</v>
      </c>
      <c r="E321" s="20" t="s">
        <v>1036</v>
      </c>
      <c r="F321" s="20">
        <v>1</v>
      </c>
      <c r="G321" s="20" t="s">
        <v>1027</v>
      </c>
      <c r="H321" s="20" t="s">
        <v>1030</v>
      </c>
      <c r="I321" s="21"/>
      <c r="J321" s="21"/>
      <c r="K321" s="21"/>
      <c r="L321" s="21" t="s">
        <v>1035</v>
      </c>
      <c r="M321" s="21" t="s">
        <v>62</v>
      </c>
      <c r="N321" s="21" t="s">
        <v>130</v>
      </c>
    </row>
    <row r="322" spans="1:14" ht="64.05" customHeight="1">
      <c r="A322" s="20" t="s">
        <v>942</v>
      </c>
      <c r="B322" s="20" t="s">
        <v>24</v>
      </c>
      <c r="C322" s="20" t="s">
        <v>136</v>
      </c>
      <c r="D322" s="20" t="s">
        <v>137</v>
      </c>
      <c r="E322" s="20" t="s">
        <v>1037</v>
      </c>
      <c r="F322" s="20">
        <v>1</v>
      </c>
      <c r="G322" s="20" t="s">
        <v>1027</v>
      </c>
      <c r="H322" s="20" t="s">
        <v>1030</v>
      </c>
      <c r="I322" s="21"/>
      <c r="J322" s="21"/>
      <c r="K322" s="21"/>
      <c r="L322" s="21" t="s">
        <v>1035</v>
      </c>
      <c r="M322" s="21" t="s">
        <v>62</v>
      </c>
      <c r="N322" s="21" t="s">
        <v>130</v>
      </c>
    </row>
    <row r="323" spans="1:14" ht="64.05" customHeight="1">
      <c r="A323" s="20" t="s">
        <v>942</v>
      </c>
      <c r="B323" s="20" t="s">
        <v>24</v>
      </c>
      <c r="C323" s="20" t="s">
        <v>136</v>
      </c>
      <c r="D323" s="20" t="s">
        <v>137</v>
      </c>
      <c r="E323" s="20" t="s">
        <v>1038</v>
      </c>
      <c r="F323" s="20">
        <v>1</v>
      </c>
      <c r="G323" s="20" t="s">
        <v>1027</v>
      </c>
      <c r="H323" s="20" t="s">
        <v>1030</v>
      </c>
      <c r="I323" s="21"/>
      <c r="J323" s="21"/>
      <c r="K323" s="21"/>
      <c r="L323" s="21" t="s">
        <v>1031</v>
      </c>
      <c r="M323" s="21" t="s">
        <v>62</v>
      </c>
      <c r="N323" s="21" t="s">
        <v>130</v>
      </c>
    </row>
    <row r="324" spans="1:14" ht="64.05" customHeight="1">
      <c r="A324" s="20" t="s">
        <v>942</v>
      </c>
      <c r="B324" s="20" t="s">
        <v>24</v>
      </c>
      <c r="C324" s="20" t="s">
        <v>136</v>
      </c>
      <c r="D324" s="20" t="s">
        <v>137</v>
      </c>
      <c r="E324" s="20" t="s">
        <v>1039</v>
      </c>
      <c r="F324" s="20">
        <v>1</v>
      </c>
      <c r="G324" s="20" t="s">
        <v>92</v>
      </c>
      <c r="H324" s="20"/>
      <c r="I324" s="21"/>
      <c r="J324" s="21"/>
      <c r="K324" s="21"/>
      <c r="L324" s="21" t="s">
        <v>1040</v>
      </c>
      <c r="M324" s="21" t="s">
        <v>102</v>
      </c>
      <c r="N324" s="21"/>
    </row>
    <row r="325" spans="1:14" ht="64.05" customHeight="1">
      <c r="A325" s="20" t="s">
        <v>942</v>
      </c>
      <c r="B325" s="20" t="s">
        <v>24</v>
      </c>
      <c r="C325" s="20" t="s">
        <v>136</v>
      </c>
      <c r="D325" s="20" t="s">
        <v>137</v>
      </c>
      <c r="E325" s="20" t="s">
        <v>1041</v>
      </c>
      <c r="F325" s="20">
        <v>1</v>
      </c>
      <c r="G325" s="20" t="s">
        <v>1027</v>
      </c>
      <c r="H325" s="20" t="s">
        <v>1030</v>
      </c>
      <c r="I325" s="21" t="s">
        <v>406</v>
      </c>
      <c r="J325" s="21"/>
      <c r="K325" s="21"/>
      <c r="L325" s="21" t="s">
        <v>1042</v>
      </c>
      <c r="M325" s="21" t="s">
        <v>62</v>
      </c>
      <c r="N325" s="21" t="s">
        <v>130</v>
      </c>
    </row>
    <row r="326" spans="1:14" ht="64.05" customHeight="1">
      <c r="A326" s="20" t="s">
        <v>942</v>
      </c>
      <c r="B326" s="20" t="s">
        <v>28</v>
      </c>
      <c r="C326" s="20" t="s">
        <v>448</v>
      </c>
      <c r="D326" s="20" t="s">
        <v>449</v>
      </c>
      <c r="E326" s="20" t="s">
        <v>1043</v>
      </c>
      <c r="F326" s="20">
        <v>1</v>
      </c>
      <c r="G326" s="20" t="s">
        <v>92</v>
      </c>
      <c r="H326" s="20"/>
      <c r="I326" s="21" t="s">
        <v>1044</v>
      </c>
      <c r="J326" s="21"/>
      <c r="K326" s="21" t="s">
        <v>109</v>
      </c>
      <c r="L326" s="21" t="s">
        <v>1045</v>
      </c>
      <c r="M326" s="21" t="s">
        <v>73</v>
      </c>
      <c r="N326" s="21"/>
    </row>
    <row r="327" spans="1:14" ht="64.05" customHeight="1">
      <c r="A327" s="20" t="s">
        <v>942</v>
      </c>
      <c r="B327" s="20" t="s">
        <v>28</v>
      </c>
      <c r="C327" s="20" t="s">
        <v>146</v>
      </c>
      <c r="D327" s="20" t="s">
        <v>147</v>
      </c>
      <c r="E327" s="20" t="s">
        <v>1046</v>
      </c>
      <c r="F327" s="20">
        <v>1</v>
      </c>
      <c r="G327" s="20" t="s">
        <v>1047</v>
      </c>
      <c r="H327" s="20" t="s">
        <v>1048</v>
      </c>
      <c r="I327" s="21" t="s">
        <v>1049</v>
      </c>
      <c r="J327" s="21"/>
      <c r="K327" s="21" t="s">
        <v>687</v>
      </c>
      <c r="L327" s="21" t="s">
        <v>1050</v>
      </c>
      <c r="M327" s="21" t="s">
        <v>73</v>
      </c>
      <c r="N327" s="21"/>
    </row>
    <row r="328" spans="1:14" ht="64.05" customHeight="1">
      <c r="A328" s="20" t="s">
        <v>942</v>
      </c>
      <c r="B328" s="20" t="s">
        <v>28</v>
      </c>
      <c r="C328" s="20" t="s">
        <v>146</v>
      </c>
      <c r="D328" s="20" t="s">
        <v>147</v>
      </c>
      <c r="E328" s="20" t="s">
        <v>1051</v>
      </c>
      <c r="F328" s="20">
        <v>1</v>
      </c>
      <c r="G328" s="20" t="s">
        <v>249</v>
      </c>
      <c r="H328" s="20" t="s">
        <v>1052</v>
      </c>
      <c r="I328" s="21" t="s">
        <v>1053</v>
      </c>
      <c r="J328" s="21"/>
      <c r="K328" s="21" t="s">
        <v>78</v>
      </c>
      <c r="L328" s="21" t="s">
        <v>1054</v>
      </c>
      <c r="M328" s="21" t="s">
        <v>73</v>
      </c>
      <c r="N328" s="21"/>
    </row>
    <row r="329" spans="1:14" ht="64.05" customHeight="1">
      <c r="A329" s="20" t="s">
        <v>942</v>
      </c>
      <c r="B329" s="20" t="s">
        <v>28</v>
      </c>
      <c r="C329" s="20" t="s">
        <v>146</v>
      </c>
      <c r="D329" s="20" t="s">
        <v>147</v>
      </c>
      <c r="E329" s="20" t="s">
        <v>1055</v>
      </c>
      <c r="F329" s="20">
        <v>1</v>
      </c>
      <c r="G329" s="20" t="s">
        <v>249</v>
      </c>
      <c r="H329" s="20" t="s">
        <v>1052</v>
      </c>
      <c r="I329" s="21" t="s">
        <v>1053</v>
      </c>
      <c r="J329" s="21"/>
      <c r="K329" s="21" t="s">
        <v>78</v>
      </c>
      <c r="L329" s="21" t="s">
        <v>1054</v>
      </c>
      <c r="M329" s="21" t="s">
        <v>73</v>
      </c>
      <c r="N329" s="21"/>
    </row>
    <row r="330" spans="1:14" ht="64.05" customHeight="1">
      <c r="A330" s="20" t="s">
        <v>942</v>
      </c>
      <c r="B330" s="20" t="s">
        <v>28</v>
      </c>
      <c r="C330" s="20" t="s">
        <v>146</v>
      </c>
      <c r="D330" s="20" t="s">
        <v>147</v>
      </c>
      <c r="E330" s="20" t="s">
        <v>1056</v>
      </c>
      <c r="F330" s="20">
        <v>1</v>
      </c>
      <c r="G330" s="20" t="s">
        <v>249</v>
      </c>
      <c r="H330" s="20" t="s">
        <v>1052</v>
      </c>
      <c r="I330" s="21" t="s">
        <v>1053</v>
      </c>
      <c r="J330" s="21"/>
      <c r="K330" s="21" t="s">
        <v>78</v>
      </c>
      <c r="L330" s="21" t="s">
        <v>1054</v>
      </c>
      <c r="M330" s="21" t="s">
        <v>73</v>
      </c>
      <c r="N330" s="21"/>
    </row>
    <row r="331" spans="1:14" ht="64.05" customHeight="1">
      <c r="A331" s="20" t="s">
        <v>942</v>
      </c>
      <c r="B331" s="20" t="s">
        <v>28</v>
      </c>
      <c r="C331" s="20" t="s">
        <v>146</v>
      </c>
      <c r="D331" s="20" t="s">
        <v>147</v>
      </c>
      <c r="E331" s="20" t="s">
        <v>1057</v>
      </c>
      <c r="F331" s="20">
        <v>1</v>
      </c>
      <c r="G331" s="20" t="s">
        <v>249</v>
      </c>
      <c r="H331" s="20" t="s">
        <v>1058</v>
      </c>
      <c r="I331" s="21" t="s">
        <v>1053</v>
      </c>
      <c r="J331" s="21"/>
      <c r="K331" s="21" t="s">
        <v>78</v>
      </c>
      <c r="L331" s="21" t="s">
        <v>1054</v>
      </c>
      <c r="M331" s="21" t="s">
        <v>73</v>
      </c>
      <c r="N331" s="21"/>
    </row>
    <row r="332" spans="1:14" ht="64.05" customHeight="1">
      <c r="A332" s="20" t="s">
        <v>942</v>
      </c>
      <c r="B332" s="20" t="s">
        <v>28</v>
      </c>
      <c r="C332" s="20" t="s">
        <v>146</v>
      </c>
      <c r="D332" s="20" t="s">
        <v>147</v>
      </c>
      <c r="E332" s="20" t="s">
        <v>1059</v>
      </c>
      <c r="F332" s="20">
        <v>1</v>
      </c>
      <c r="G332" s="20"/>
      <c r="H332" s="20"/>
      <c r="I332" s="21" t="s">
        <v>141</v>
      </c>
      <c r="J332" s="21"/>
      <c r="K332" s="21"/>
      <c r="L332" s="21" t="s">
        <v>1060</v>
      </c>
      <c r="M332" s="21" t="s">
        <v>102</v>
      </c>
      <c r="N332" s="21"/>
    </row>
    <row r="333" spans="1:14" ht="64.05" customHeight="1">
      <c r="A333" s="20" t="s">
        <v>942</v>
      </c>
      <c r="B333" s="20" t="s">
        <v>28</v>
      </c>
      <c r="C333" s="20" t="s">
        <v>167</v>
      </c>
      <c r="D333" s="20" t="s">
        <v>168</v>
      </c>
      <c r="E333" s="20" t="s">
        <v>1061</v>
      </c>
      <c r="F333" s="20">
        <v>1</v>
      </c>
      <c r="G333" s="20" t="s">
        <v>1062</v>
      </c>
      <c r="H333" s="20" t="s">
        <v>1030</v>
      </c>
      <c r="I333" s="21" t="s">
        <v>1063</v>
      </c>
      <c r="J333" s="21"/>
      <c r="K333" s="21" t="s">
        <v>109</v>
      </c>
      <c r="L333" s="21" t="s">
        <v>1064</v>
      </c>
      <c r="M333" s="21" t="s">
        <v>102</v>
      </c>
      <c r="N333" s="21"/>
    </row>
    <row r="334" spans="1:14" ht="64.05" customHeight="1">
      <c r="A334" s="20" t="s">
        <v>942</v>
      </c>
      <c r="B334" s="20" t="s">
        <v>28</v>
      </c>
      <c r="C334" s="20" t="s">
        <v>167</v>
      </c>
      <c r="D334" s="20" t="s">
        <v>168</v>
      </c>
      <c r="E334" s="20" t="s">
        <v>1065</v>
      </c>
      <c r="F334" s="20">
        <v>1</v>
      </c>
      <c r="G334" s="20" t="s">
        <v>1066</v>
      </c>
      <c r="H334" s="20" t="s">
        <v>1067</v>
      </c>
      <c r="I334" s="21" t="s">
        <v>1063</v>
      </c>
      <c r="J334" s="21"/>
      <c r="K334" s="21" t="s">
        <v>109</v>
      </c>
      <c r="L334" s="21" t="s">
        <v>1064</v>
      </c>
      <c r="M334" s="21" t="s">
        <v>102</v>
      </c>
      <c r="N334" s="21"/>
    </row>
    <row r="335" spans="1:14" ht="64.05" customHeight="1">
      <c r="A335" s="20" t="s">
        <v>942</v>
      </c>
      <c r="B335" s="20" t="s">
        <v>28</v>
      </c>
      <c r="C335" s="20" t="s">
        <v>167</v>
      </c>
      <c r="D335" s="20" t="s">
        <v>168</v>
      </c>
      <c r="E335" s="20" t="s">
        <v>1068</v>
      </c>
      <c r="F335" s="20">
        <v>1</v>
      </c>
      <c r="G335" s="20" t="s">
        <v>1066</v>
      </c>
      <c r="H335" s="20" t="s">
        <v>1067</v>
      </c>
      <c r="I335" s="21" t="s">
        <v>1063</v>
      </c>
      <c r="J335" s="21"/>
      <c r="K335" s="21" t="s">
        <v>109</v>
      </c>
      <c r="L335" s="21" t="s">
        <v>1064</v>
      </c>
      <c r="M335" s="21" t="s">
        <v>102</v>
      </c>
      <c r="N335" s="21"/>
    </row>
    <row r="336" spans="1:14" ht="64.05" customHeight="1">
      <c r="A336" s="20" t="s">
        <v>942</v>
      </c>
      <c r="B336" s="20" t="s">
        <v>27</v>
      </c>
      <c r="C336" s="20" t="s">
        <v>1069</v>
      </c>
      <c r="D336" s="20" t="s">
        <v>1070</v>
      </c>
      <c r="E336" s="20" t="s">
        <v>1071</v>
      </c>
      <c r="F336" s="20">
        <v>1</v>
      </c>
      <c r="G336" s="20" t="s">
        <v>92</v>
      </c>
      <c r="H336" s="20"/>
      <c r="I336" s="21" t="s">
        <v>1072</v>
      </c>
      <c r="J336" s="21"/>
      <c r="K336" s="21" t="s">
        <v>109</v>
      </c>
      <c r="L336" s="21" t="s">
        <v>1073</v>
      </c>
      <c r="M336" s="21" t="s">
        <v>102</v>
      </c>
      <c r="N336" s="21"/>
    </row>
    <row r="337" spans="1:14" ht="64.05" customHeight="1">
      <c r="A337" s="20" t="s">
        <v>942</v>
      </c>
      <c r="B337" s="20" t="s">
        <v>26</v>
      </c>
      <c r="C337" s="20" t="s">
        <v>196</v>
      </c>
      <c r="D337" s="20" t="s">
        <v>197</v>
      </c>
      <c r="E337" s="20" t="s">
        <v>1074</v>
      </c>
      <c r="F337" s="20">
        <v>1</v>
      </c>
      <c r="G337" s="20" t="s">
        <v>1075</v>
      </c>
      <c r="H337" s="20" t="s">
        <v>1076</v>
      </c>
      <c r="I337" s="21" t="s">
        <v>112</v>
      </c>
      <c r="J337" s="21"/>
      <c r="K337" s="21" t="s">
        <v>109</v>
      </c>
      <c r="L337" s="21" t="s">
        <v>1077</v>
      </c>
      <c r="M337" s="21" t="s">
        <v>102</v>
      </c>
      <c r="N337" s="21"/>
    </row>
    <row r="338" spans="1:14" ht="64.05" customHeight="1">
      <c r="A338" s="20" t="s">
        <v>942</v>
      </c>
      <c r="B338" s="20" t="s">
        <v>26</v>
      </c>
      <c r="C338" s="20" t="s">
        <v>196</v>
      </c>
      <c r="D338" s="20" t="s">
        <v>147</v>
      </c>
      <c r="E338" s="20" t="s">
        <v>1078</v>
      </c>
      <c r="F338" s="20">
        <v>1</v>
      </c>
      <c r="G338" s="20" t="s">
        <v>92</v>
      </c>
      <c r="H338" s="20"/>
      <c r="I338" s="21" t="s">
        <v>141</v>
      </c>
      <c r="J338" s="21"/>
      <c r="K338" s="21" t="s">
        <v>406</v>
      </c>
      <c r="L338" s="21" t="s">
        <v>1079</v>
      </c>
      <c r="M338" s="21" t="s">
        <v>102</v>
      </c>
      <c r="N338" s="21"/>
    </row>
    <row r="339" spans="1:14" ht="64.05" customHeight="1">
      <c r="A339" s="20" t="s">
        <v>942</v>
      </c>
      <c r="B339" s="20" t="s">
        <v>26</v>
      </c>
      <c r="C339" s="20" t="s">
        <v>196</v>
      </c>
      <c r="D339" s="20" t="s">
        <v>147</v>
      </c>
      <c r="E339" s="20" t="s">
        <v>1080</v>
      </c>
      <c r="F339" s="20">
        <v>1</v>
      </c>
      <c r="G339" s="20" t="s">
        <v>1081</v>
      </c>
      <c r="H339" s="20" t="s">
        <v>1082</v>
      </c>
      <c r="I339" s="21" t="s">
        <v>141</v>
      </c>
      <c r="J339" s="21"/>
      <c r="K339" s="21" t="s">
        <v>406</v>
      </c>
      <c r="L339" s="21" t="s">
        <v>1083</v>
      </c>
      <c r="M339" s="21" t="s">
        <v>62</v>
      </c>
      <c r="N339" s="21" t="s">
        <v>63</v>
      </c>
    </row>
    <row r="340" spans="1:14" ht="64.05" customHeight="1">
      <c r="A340" s="20" t="s">
        <v>942</v>
      </c>
      <c r="B340" s="20" t="s">
        <v>29</v>
      </c>
      <c r="C340" s="20" t="s">
        <v>1084</v>
      </c>
      <c r="D340" s="20" t="s">
        <v>1085</v>
      </c>
      <c r="E340" s="20" t="s">
        <v>1086</v>
      </c>
      <c r="F340" s="20">
        <v>1</v>
      </c>
      <c r="G340" s="20" t="s">
        <v>1066</v>
      </c>
      <c r="H340" s="20" t="s">
        <v>1067</v>
      </c>
      <c r="I340" s="21"/>
      <c r="J340" s="21"/>
      <c r="K340" s="21" t="s">
        <v>408</v>
      </c>
      <c r="L340" s="21" t="s">
        <v>1087</v>
      </c>
      <c r="M340" s="21" t="s">
        <v>62</v>
      </c>
      <c r="N340" s="21" t="s">
        <v>1088</v>
      </c>
    </row>
    <row r="341" spans="1:14" ht="64.05" customHeight="1">
      <c r="A341" s="20" t="s">
        <v>942</v>
      </c>
      <c r="B341" s="20" t="s">
        <v>29</v>
      </c>
      <c r="C341" s="20" t="s">
        <v>1084</v>
      </c>
      <c r="D341" s="20" t="s">
        <v>1085</v>
      </c>
      <c r="E341" s="20" t="s">
        <v>1089</v>
      </c>
      <c r="F341" s="20">
        <v>1</v>
      </c>
      <c r="G341" s="20" t="s">
        <v>1066</v>
      </c>
      <c r="H341" s="20" t="s">
        <v>1067</v>
      </c>
      <c r="I341" s="21" t="s">
        <v>1090</v>
      </c>
      <c r="J341" s="21" t="s">
        <v>99</v>
      </c>
      <c r="K341" s="21" t="s">
        <v>109</v>
      </c>
      <c r="L341" s="21" t="s">
        <v>1091</v>
      </c>
      <c r="M341" s="21" t="s">
        <v>102</v>
      </c>
      <c r="N341" s="21"/>
    </row>
    <row r="342" spans="1:14" ht="64.05" customHeight="1">
      <c r="A342" s="20" t="s">
        <v>942</v>
      </c>
      <c r="B342" s="20" t="s">
        <v>29</v>
      </c>
      <c r="C342" s="20" t="s">
        <v>1084</v>
      </c>
      <c r="D342" s="20" t="s">
        <v>1085</v>
      </c>
      <c r="E342" s="20" t="s">
        <v>1092</v>
      </c>
      <c r="F342" s="20">
        <v>1</v>
      </c>
      <c r="G342" s="20" t="s">
        <v>1066</v>
      </c>
      <c r="H342" s="20" t="s">
        <v>1067</v>
      </c>
      <c r="I342" s="21" t="s">
        <v>1090</v>
      </c>
      <c r="J342" s="21" t="s">
        <v>99</v>
      </c>
      <c r="K342" s="21" t="s">
        <v>109</v>
      </c>
      <c r="L342" s="21" t="s">
        <v>1091</v>
      </c>
      <c r="M342" s="21" t="s">
        <v>102</v>
      </c>
      <c r="N342" s="21"/>
    </row>
    <row r="343" spans="1:14" ht="64.05" customHeight="1">
      <c r="A343" s="20" t="s">
        <v>942</v>
      </c>
      <c r="B343" s="20" t="s">
        <v>29</v>
      </c>
      <c r="C343" s="20" t="s">
        <v>1084</v>
      </c>
      <c r="D343" s="20" t="s">
        <v>1085</v>
      </c>
      <c r="E343" s="20" t="s">
        <v>1093</v>
      </c>
      <c r="F343" s="20">
        <v>1</v>
      </c>
      <c r="G343" s="20" t="s">
        <v>92</v>
      </c>
      <c r="H343" s="20"/>
      <c r="I343" s="21" t="s">
        <v>1094</v>
      </c>
      <c r="J343" s="21"/>
      <c r="K343" s="21"/>
      <c r="L343" s="21" t="s">
        <v>1095</v>
      </c>
      <c r="M343" s="21" t="s">
        <v>62</v>
      </c>
      <c r="N343" s="21" t="s">
        <v>63</v>
      </c>
    </row>
    <row r="344" spans="1:14" ht="64.05" customHeight="1">
      <c r="A344" s="20" t="s">
        <v>942</v>
      </c>
      <c r="B344" s="20" t="s">
        <v>21</v>
      </c>
      <c r="C344" s="20" t="s">
        <v>207</v>
      </c>
      <c r="D344" s="20" t="s">
        <v>258</v>
      </c>
      <c r="E344" s="20" t="s">
        <v>1096</v>
      </c>
      <c r="F344" s="20">
        <v>1</v>
      </c>
      <c r="G344" s="20" t="s">
        <v>139</v>
      </c>
      <c r="H344" s="20"/>
      <c r="I344" s="21" t="s">
        <v>1097</v>
      </c>
      <c r="J344" s="21"/>
      <c r="K344" s="21" t="s">
        <v>1098</v>
      </c>
      <c r="L344" s="21" t="s">
        <v>1099</v>
      </c>
      <c r="M344" s="21" t="s">
        <v>73</v>
      </c>
      <c r="N344" s="21"/>
    </row>
    <row r="345" spans="1:14" ht="64.05" customHeight="1">
      <c r="A345" s="20" t="s">
        <v>942</v>
      </c>
      <c r="B345" s="20" t="s">
        <v>21</v>
      </c>
      <c r="C345" s="20" t="s">
        <v>215</v>
      </c>
      <c r="D345" s="20" t="s">
        <v>216</v>
      </c>
      <c r="E345" s="20" t="s">
        <v>1100</v>
      </c>
      <c r="F345" s="20">
        <v>1</v>
      </c>
      <c r="G345" s="20" t="s">
        <v>139</v>
      </c>
      <c r="H345" s="20"/>
      <c r="I345" s="21" t="s">
        <v>1101</v>
      </c>
      <c r="J345" s="21"/>
      <c r="K345" s="21"/>
      <c r="L345" s="21" t="s">
        <v>1102</v>
      </c>
      <c r="M345" s="21" t="s">
        <v>62</v>
      </c>
      <c r="N345" s="21" t="s">
        <v>161</v>
      </c>
    </row>
    <row r="346" spans="1:14" ht="64.05" customHeight="1">
      <c r="A346" s="20" t="s">
        <v>942</v>
      </c>
      <c r="B346" s="20" t="s">
        <v>21</v>
      </c>
      <c r="C346" s="20" t="s">
        <v>215</v>
      </c>
      <c r="D346" s="20" t="s">
        <v>216</v>
      </c>
      <c r="E346" s="20" t="s">
        <v>1103</v>
      </c>
      <c r="F346" s="20">
        <v>1</v>
      </c>
      <c r="G346" s="20" t="s">
        <v>139</v>
      </c>
      <c r="H346" s="20"/>
      <c r="I346" s="21" t="s">
        <v>1101</v>
      </c>
      <c r="J346" s="21"/>
      <c r="K346" s="21"/>
      <c r="L346" s="21" t="s">
        <v>1102</v>
      </c>
      <c r="M346" s="21" t="s">
        <v>62</v>
      </c>
      <c r="N346" s="21" t="s">
        <v>161</v>
      </c>
    </row>
    <row r="347" spans="1:14" ht="64.05" customHeight="1">
      <c r="A347" s="20" t="s">
        <v>942</v>
      </c>
      <c r="B347" s="20" t="s">
        <v>21</v>
      </c>
      <c r="C347" s="20" t="s">
        <v>215</v>
      </c>
      <c r="D347" s="20" t="s">
        <v>216</v>
      </c>
      <c r="E347" s="20" t="s">
        <v>1104</v>
      </c>
      <c r="F347" s="20">
        <v>1</v>
      </c>
      <c r="G347" s="20" t="s">
        <v>1105</v>
      </c>
      <c r="H347" s="20" t="s">
        <v>211</v>
      </c>
      <c r="I347" s="21" t="s">
        <v>1106</v>
      </c>
      <c r="J347" s="21"/>
      <c r="K347" s="21"/>
      <c r="L347" s="21" t="s">
        <v>1107</v>
      </c>
      <c r="M347" s="21" t="s">
        <v>62</v>
      </c>
      <c r="N347" s="21" t="s">
        <v>130</v>
      </c>
    </row>
    <row r="348" spans="1:14" ht="64.05" customHeight="1">
      <c r="A348" s="20" t="s">
        <v>942</v>
      </c>
      <c r="B348" s="20" t="s">
        <v>21</v>
      </c>
      <c r="C348" s="20" t="s">
        <v>228</v>
      </c>
      <c r="D348" s="20" t="s">
        <v>229</v>
      </c>
      <c r="E348" s="20" t="s">
        <v>1108</v>
      </c>
      <c r="F348" s="20">
        <v>1</v>
      </c>
      <c r="G348" s="20" t="s">
        <v>1109</v>
      </c>
      <c r="H348" s="20" t="s">
        <v>1110</v>
      </c>
      <c r="I348" s="21" t="s">
        <v>1111</v>
      </c>
      <c r="J348" s="21"/>
      <c r="K348" s="21"/>
      <c r="L348" s="21" t="s">
        <v>1112</v>
      </c>
      <c r="M348" s="21" t="s">
        <v>73</v>
      </c>
      <c r="N348" s="21"/>
    </row>
    <row r="349" spans="1:14" ht="64.05" customHeight="1">
      <c r="A349" s="20" t="s">
        <v>942</v>
      </c>
      <c r="B349" s="20" t="s">
        <v>21</v>
      </c>
      <c r="C349" s="20" t="s">
        <v>228</v>
      </c>
      <c r="D349" s="20" t="s">
        <v>229</v>
      </c>
      <c r="E349" s="20" t="s">
        <v>1113</v>
      </c>
      <c r="F349" s="20">
        <v>1</v>
      </c>
      <c r="G349" s="20" t="s">
        <v>659</v>
      </c>
      <c r="H349" s="20" t="s">
        <v>533</v>
      </c>
      <c r="I349" s="21" t="s">
        <v>1114</v>
      </c>
      <c r="J349" s="21"/>
      <c r="K349" s="21"/>
      <c r="L349" s="21" t="s">
        <v>1115</v>
      </c>
      <c r="M349" s="21" t="s">
        <v>73</v>
      </c>
      <c r="N349" s="21"/>
    </row>
    <row r="350" spans="1:14" ht="64.05" customHeight="1">
      <c r="A350" s="20" t="s">
        <v>942</v>
      </c>
      <c r="B350" s="20" t="s">
        <v>21</v>
      </c>
      <c r="C350" s="20" t="s">
        <v>228</v>
      </c>
      <c r="D350" s="20" t="s">
        <v>229</v>
      </c>
      <c r="E350" s="20" t="s">
        <v>1116</v>
      </c>
      <c r="F350" s="20">
        <v>1</v>
      </c>
      <c r="G350" s="20" t="s">
        <v>1117</v>
      </c>
      <c r="H350" s="20" t="s">
        <v>1118</v>
      </c>
      <c r="I350" s="21" t="s">
        <v>1119</v>
      </c>
      <c r="J350" s="21"/>
      <c r="K350" s="21" t="s">
        <v>109</v>
      </c>
      <c r="L350" s="21" t="s">
        <v>1120</v>
      </c>
      <c r="M350" s="21" t="s">
        <v>62</v>
      </c>
      <c r="N350" s="21" t="s">
        <v>63</v>
      </c>
    </row>
    <row r="351" spans="1:14" ht="64.05" customHeight="1">
      <c r="A351" s="20" t="s">
        <v>942</v>
      </c>
      <c r="B351" s="20" t="s">
        <v>21</v>
      </c>
      <c r="C351" s="20" t="s">
        <v>228</v>
      </c>
      <c r="D351" s="20" t="s">
        <v>229</v>
      </c>
      <c r="E351" s="20" t="s">
        <v>1121</v>
      </c>
      <c r="F351" s="20">
        <v>1</v>
      </c>
      <c r="G351" s="20" t="s">
        <v>1122</v>
      </c>
      <c r="H351" s="20" t="s">
        <v>1118</v>
      </c>
      <c r="I351" s="21" t="s">
        <v>1123</v>
      </c>
      <c r="J351" s="21"/>
      <c r="K351" s="21" t="s">
        <v>109</v>
      </c>
      <c r="L351" s="21" t="s">
        <v>1124</v>
      </c>
      <c r="M351" s="21" t="s">
        <v>62</v>
      </c>
      <c r="N351" s="21" t="s">
        <v>130</v>
      </c>
    </row>
    <row r="352" spans="1:14" ht="64.05" customHeight="1">
      <c r="A352" s="20" t="s">
        <v>942</v>
      </c>
      <c r="B352" s="20" t="s">
        <v>21</v>
      </c>
      <c r="C352" s="20" t="s">
        <v>228</v>
      </c>
      <c r="D352" s="20" t="s">
        <v>229</v>
      </c>
      <c r="E352" s="20" t="s">
        <v>1125</v>
      </c>
      <c r="F352" s="20">
        <v>1</v>
      </c>
      <c r="G352" s="20" t="s">
        <v>1126</v>
      </c>
      <c r="H352" s="20" t="s">
        <v>1127</v>
      </c>
      <c r="I352" s="21" t="s">
        <v>1128</v>
      </c>
      <c r="J352" s="21"/>
      <c r="K352" s="21"/>
      <c r="L352" s="21" t="s">
        <v>1129</v>
      </c>
      <c r="M352" s="21" t="s">
        <v>62</v>
      </c>
      <c r="N352" s="21" t="s">
        <v>130</v>
      </c>
    </row>
    <row r="353" spans="1:14" ht="64.05" customHeight="1">
      <c r="A353" s="20" t="s">
        <v>942</v>
      </c>
      <c r="B353" s="20" t="s">
        <v>21</v>
      </c>
      <c r="C353" s="20" t="s">
        <v>228</v>
      </c>
      <c r="D353" s="20" t="s">
        <v>229</v>
      </c>
      <c r="E353" s="20" t="s">
        <v>1130</v>
      </c>
      <c r="F353" s="20">
        <v>1</v>
      </c>
      <c r="G353" s="20" t="s">
        <v>1122</v>
      </c>
      <c r="H353" s="20" t="s">
        <v>1118</v>
      </c>
      <c r="I353" s="21" t="s">
        <v>1131</v>
      </c>
      <c r="J353" s="21"/>
      <c r="K353" s="21"/>
      <c r="L353" s="21" t="s">
        <v>1132</v>
      </c>
      <c r="M353" s="21" t="s">
        <v>62</v>
      </c>
      <c r="N353" s="21" t="s">
        <v>187</v>
      </c>
    </row>
    <row r="354" spans="1:14" ht="64.05" customHeight="1">
      <c r="A354" s="20" t="s">
        <v>942</v>
      </c>
      <c r="B354" s="20" t="s">
        <v>21</v>
      </c>
      <c r="C354" s="20" t="s">
        <v>1133</v>
      </c>
      <c r="D354" s="20" t="s">
        <v>437</v>
      </c>
      <c r="E354" s="20" t="s">
        <v>1134</v>
      </c>
      <c r="F354" s="20">
        <v>1</v>
      </c>
      <c r="G354" s="20" t="s">
        <v>1135</v>
      </c>
      <c r="H354" s="20" t="s">
        <v>1136</v>
      </c>
      <c r="I354" s="21" t="s">
        <v>1137</v>
      </c>
      <c r="J354" s="21"/>
      <c r="K354" s="21" t="s">
        <v>78</v>
      </c>
      <c r="L354" s="21" t="s">
        <v>1138</v>
      </c>
      <c r="M354" s="21" t="s">
        <v>73</v>
      </c>
      <c r="N354" s="21"/>
    </row>
    <row r="355" spans="1:14" ht="64.05" customHeight="1">
      <c r="A355" s="20" t="s">
        <v>942</v>
      </c>
      <c r="B355" s="20" t="s">
        <v>21</v>
      </c>
      <c r="C355" s="20" t="s">
        <v>1133</v>
      </c>
      <c r="D355" s="20" t="s">
        <v>437</v>
      </c>
      <c r="E355" s="20" t="s">
        <v>1139</v>
      </c>
      <c r="F355" s="20">
        <v>1</v>
      </c>
      <c r="G355" s="20"/>
      <c r="H355" s="20"/>
      <c r="I355" s="21" t="s">
        <v>1140</v>
      </c>
      <c r="J355" s="21"/>
      <c r="K355" s="21" t="s">
        <v>1141</v>
      </c>
      <c r="L355" s="21" t="s">
        <v>1142</v>
      </c>
      <c r="M355" s="21" t="s">
        <v>62</v>
      </c>
      <c r="N355" s="21" t="s">
        <v>957</v>
      </c>
    </row>
    <row r="356" spans="1:14" ht="64.05" customHeight="1">
      <c r="A356" s="20" t="s">
        <v>942</v>
      </c>
      <c r="B356" s="20" t="s">
        <v>21</v>
      </c>
      <c r="C356" s="20" t="s">
        <v>1133</v>
      </c>
      <c r="D356" s="20" t="s">
        <v>437</v>
      </c>
      <c r="E356" s="20" t="s">
        <v>1143</v>
      </c>
      <c r="F356" s="20">
        <v>1</v>
      </c>
      <c r="G356" s="20"/>
      <c r="H356" s="20"/>
      <c r="I356" s="21" t="s">
        <v>141</v>
      </c>
      <c r="J356" s="21" t="s">
        <v>99</v>
      </c>
      <c r="K356" s="21"/>
      <c r="L356" s="21" t="s">
        <v>1060</v>
      </c>
      <c r="M356" s="21" t="s">
        <v>102</v>
      </c>
      <c r="N356" s="21"/>
    </row>
    <row r="357" spans="1:14" ht="64.05" customHeight="1">
      <c r="A357" s="20" t="s">
        <v>942</v>
      </c>
      <c r="B357" s="20" t="s">
        <v>21</v>
      </c>
      <c r="C357" s="20" t="s">
        <v>1133</v>
      </c>
      <c r="D357" s="20" t="s">
        <v>437</v>
      </c>
      <c r="E357" s="20" t="s">
        <v>1144</v>
      </c>
      <c r="F357" s="20">
        <v>1</v>
      </c>
      <c r="G357" s="20"/>
      <c r="H357" s="20"/>
      <c r="I357" s="21" t="s">
        <v>141</v>
      </c>
      <c r="J357" s="21" t="s">
        <v>99</v>
      </c>
      <c r="K357" s="21"/>
      <c r="L357" s="21" t="s">
        <v>1060</v>
      </c>
      <c r="M357" s="21" t="s">
        <v>102</v>
      </c>
      <c r="N357" s="21"/>
    </row>
    <row r="358" spans="1:14" ht="64.05" customHeight="1">
      <c r="A358" s="20" t="s">
        <v>1145</v>
      </c>
      <c r="B358" s="20" t="s">
        <v>22</v>
      </c>
      <c r="C358" s="20" t="s">
        <v>779</v>
      </c>
      <c r="D358" s="20" t="s">
        <v>780</v>
      </c>
      <c r="E358" s="20" t="s">
        <v>1146</v>
      </c>
      <c r="F358" s="20">
        <v>1</v>
      </c>
      <c r="G358" s="20" t="s">
        <v>92</v>
      </c>
      <c r="H358" s="20"/>
      <c r="I358" s="21" t="s">
        <v>1147</v>
      </c>
      <c r="J358" s="21"/>
      <c r="K358" s="21"/>
      <c r="L358" s="21" t="s">
        <v>1148</v>
      </c>
      <c r="M358" s="21" t="s">
        <v>102</v>
      </c>
      <c r="N358" s="21"/>
    </row>
    <row r="359" spans="1:14" ht="64.05" customHeight="1">
      <c r="A359" s="20" t="s">
        <v>1145</v>
      </c>
      <c r="B359" s="20" t="s">
        <v>22</v>
      </c>
      <c r="C359" s="20" t="s">
        <v>1149</v>
      </c>
      <c r="D359" s="20" t="s">
        <v>1150</v>
      </c>
      <c r="E359" s="20" t="s">
        <v>1151</v>
      </c>
      <c r="F359" s="20">
        <v>1</v>
      </c>
      <c r="G359" s="20" t="s">
        <v>149</v>
      </c>
      <c r="H359" s="20" t="s">
        <v>1152</v>
      </c>
      <c r="I359" s="21" t="s">
        <v>112</v>
      </c>
      <c r="J359" s="21"/>
      <c r="K359" s="21" t="s">
        <v>109</v>
      </c>
      <c r="L359" s="21" t="s">
        <v>1153</v>
      </c>
      <c r="M359" s="21" t="s">
        <v>62</v>
      </c>
      <c r="N359" s="21" t="s">
        <v>811</v>
      </c>
    </row>
    <row r="360" spans="1:14" ht="64.05" customHeight="1">
      <c r="A360" s="20" t="s">
        <v>1145</v>
      </c>
      <c r="B360" s="20" t="s">
        <v>22</v>
      </c>
      <c r="C360" s="20" t="s">
        <v>1154</v>
      </c>
      <c r="D360" s="20" t="s">
        <v>1155</v>
      </c>
      <c r="E360" s="20" t="s">
        <v>1156</v>
      </c>
      <c r="F360" s="20">
        <v>1</v>
      </c>
      <c r="G360" s="20" t="s">
        <v>508</v>
      </c>
      <c r="H360" s="20" t="s">
        <v>1157</v>
      </c>
      <c r="I360" s="21" t="s">
        <v>1158</v>
      </c>
      <c r="J360" s="21"/>
      <c r="K360" s="21"/>
      <c r="L360" s="21" t="s">
        <v>1159</v>
      </c>
      <c r="M360" s="21" t="s">
        <v>73</v>
      </c>
      <c r="N360" s="21"/>
    </row>
    <row r="361" spans="1:14" ht="64.05" customHeight="1">
      <c r="A361" s="20" t="s">
        <v>1145</v>
      </c>
      <c r="B361" s="20" t="s">
        <v>22</v>
      </c>
      <c r="C361" s="20" t="s">
        <v>370</v>
      </c>
      <c r="D361" s="20" t="s">
        <v>371</v>
      </c>
      <c r="E361" s="20" t="s">
        <v>1160</v>
      </c>
      <c r="F361" s="20">
        <v>1</v>
      </c>
      <c r="G361" s="20" t="s">
        <v>1161</v>
      </c>
      <c r="H361" s="20" t="s">
        <v>1162</v>
      </c>
      <c r="I361" s="21" t="s">
        <v>119</v>
      </c>
      <c r="J361" s="21"/>
      <c r="K361" s="21" t="s">
        <v>109</v>
      </c>
      <c r="L361" s="21" t="s">
        <v>1163</v>
      </c>
      <c r="M361" s="21" t="s">
        <v>62</v>
      </c>
      <c r="N361" s="21" t="s">
        <v>130</v>
      </c>
    </row>
    <row r="362" spans="1:14" ht="64.05" customHeight="1">
      <c r="A362" s="20" t="s">
        <v>1145</v>
      </c>
      <c r="B362" s="20" t="s">
        <v>25</v>
      </c>
      <c r="C362" s="20" t="s">
        <v>115</v>
      </c>
      <c r="D362" s="20" t="s">
        <v>116</v>
      </c>
      <c r="E362" s="20" t="s">
        <v>1164</v>
      </c>
      <c r="F362" s="20">
        <v>1</v>
      </c>
      <c r="G362" s="20" t="s">
        <v>92</v>
      </c>
      <c r="H362" s="20"/>
      <c r="I362" s="21"/>
      <c r="J362" s="21" t="s">
        <v>99</v>
      </c>
      <c r="K362" s="21"/>
      <c r="L362" s="21" t="s">
        <v>1165</v>
      </c>
      <c r="M362" s="21" t="s">
        <v>102</v>
      </c>
      <c r="N362" s="21"/>
    </row>
    <row r="363" spans="1:14" ht="64.05" customHeight="1">
      <c r="A363" s="20" t="s">
        <v>1145</v>
      </c>
      <c r="B363" s="20" t="s">
        <v>25</v>
      </c>
      <c r="C363" s="20" t="s">
        <v>115</v>
      </c>
      <c r="D363" s="20" t="s">
        <v>116</v>
      </c>
      <c r="E363" s="20" t="s">
        <v>1166</v>
      </c>
      <c r="F363" s="20">
        <v>1</v>
      </c>
      <c r="G363" s="20" t="s">
        <v>92</v>
      </c>
      <c r="H363" s="20"/>
      <c r="I363" s="21"/>
      <c r="J363" s="21" t="s">
        <v>99</v>
      </c>
      <c r="K363" s="21"/>
      <c r="L363" s="21" t="s">
        <v>1165</v>
      </c>
      <c r="M363" s="21" t="s">
        <v>102</v>
      </c>
      <c r="N363" s="21"/>
    </row>
    <row r="364" spans="1:14" ht="64.05" customHeight="1">
      <c r="A364" s="20" t="s">
        <v>1145</v>
      </c>
      <c r="B364" s="20" t="s">
        <v>25</v>
      </c>
      <c r="C364" s="20" t="s">
        <v>115</v>
      </c>
      <c r="D364" s="20" t="s">
        <v>116</v>
      </c>
      <c r="E364" s="20" t="s">
        <v>1167</v>
      </c>
      <c r="F364" s="20">
        <v>1</v>
      </c>
      <c r="G364" s="20" t="s">
        <v>92</v>
      </c>
      <c r="H364" s="20"/>
      <c r="I364" s="21"/>
      <c r="J364" s="21" t="s">
        <v>99</v>
      </c>
      <c r="K364" s="21"/>
      <c r="L364" s="21" t="s">
        <v>1165</v>
      </c>
      <c r="M364" s="21" t="s">
        <v>102</v>
      </c>
      <c r="N364" s="21"/>
    </row>
    <row r="365" spans="1:14" ht="64.05" customHeight="1">
      <c r="A365" s="20" t="s">
        <v>1145</v>
      </c>
      <c r="B365" s="20" t="s">
        <v>25</v>
      </c>
      <c r="C365" s="20" t="s">
        <v>115</v>
      </c>
      <c r="D365" s="20" t="s">
        <v>116</v>
      </c>
      <c r="E365" s="20" t="s">
        <v>1168</v>
      </c>
      <c r="F365" s="20">
        <v>1</v>
      </c>
      <c r="G365" s="20" t="s">
        <v>92</v>
      </c>
      <c r="H365" s="20"/>
      <c r="I365" s="21"/>
      <c r="J365" s="21" t="s">
        <v>99</v>
      </c>
      <c r="K365" s="21"/>
      <c r="L365" s="21" t="s">
        <v>1165</v>
      </c>
      <c r="M365" s="21" t="s">
        <v>102</v>
      </c>
      <c r="N365" s="21"/>
    </row>
    <row r="366" spans="1:14" ht="64.05" customHeight="1">
      <c r="A366" s="20" t="s">
        <v>1145</v>
      </c>
      <c r="B366" s="20" t="s">
        <v>25</v>
      </c>
      <c r="C366" s="20" t="s">
        <v>115</v>
      </c>
      <c r="D366" s="20" t="s">
        <v>116</v>
      </c>
      <c r="E366" s="20" t="s">
        <v>1169</v>
      </c>
      <c r="F366" s="20">
        <v>1</v>
      </c>
      <c r="G366" s="20" t="s">
        <v>92</v>
      </c>
      <c r="H366" s="20"/>
      <c r="I366" s="21"/>
      <c r="J366" s="21" t="s">
        <v>99</v>
      </c>
      <c r="K366" s="21"/>
      <c r="L366" s="21" t="s">
        <v>1165</v>
      </c>
      <c r="M366" s="21" t="s">
        <v>102</v>
      </c>
      <c r="N366" s="21"/>
    </row>
    <row r="367" spans="1:14" ht="64.05" customHeight="1">
      <c r="A367" s="20" t="s">
        <v>1145</v>
      </c>
      <c r="B367" s="20" t="s">
        <v>25</v>
      </c>
      <c r="C367" s="20" t="s">
        <v>115</v>
      </c>
      <c r="D367" s="20" t="s">
        <v>116</v>
      </c>
      <c r="E367" s="20" t="s">
        <v>1170</v>
      </c>
      <c r="F367" s="20">
        <v>1</v>
      </c>
      <c r="G367" s="20" t="s">
        <v>92</v>
      </c>
      <c r="H367" s="20"/>
      <c r="I367" s="21"/>
      <c r="J367" s="21" t="s">
        <v>99</v>
      </c>
      <c r="K367" s="21"/>
      <c r="L367" s="21" t="s">
        <v>1165</v>
      </c>
      <c r="M367" s="21" t="s">
        <v>102</v>
      </c>
      <c r="N367" s="21"/>
    </row>
    <row r="368" spans="1:14" ht="64.05" customHeight="1">
      <c r="A368" s="20" t="s">
        <v>1145</v>
      </c>
      <c r="B368" s="20" t="s">
        <v>25</v>
      </c>
      <c r="C368" s="20" t="s">
        <v>115</v>
      </c>
      <c r="D368" s="20" t="s">
        <v>116</v>
      </c>
      <c r="E368" s="20" t="s">
        <v>1171</v>
      </c>
      <c r="F368" s="20">
        <v>1</v>
      </c>
      <c r="G368" s="20" t="s">
        <v>92</v>
      </c>
      <c r="H368" s="20"/>
      <c r="I368" s="21"/>
      <c r="J368" s="21" t="s">
        <v>99</v>
      </c>
      <c r="K368" s="21"/>
      <c r="L368" s="21" t="s">
        <v>1165</v>
      </c>
      <c r="M368" s="21" t="s">
        <v>102</v>
      </c>
      <c r="N368" s="21"/>
    </row>
    <row r="369" spans="1:14" ht="64.05" customHeight="1">
      <c r="A369" s="20" t="s">
        <v>1145</v>
      </c>
      <c r="B369" s="20" t="s">
        <v>25</v>
      </c>
      <c r="C369" s="20" t="s">
        <v>115</v>
      </c>
      <c r="D369" s="20" t="s">
        <v>116</v>
      </c>
      <c r="E369" s="20" t="s">
        <v>1172</v>
      </c>
      <c r="F369" s="20">
        <v>1</v>
      </c>
      <c r="G369" s="20" t="s">
        <v>92</v>
      </c>
      <c r="H369" s="20"/>
      <c r="I369" s="21"/>
      <c r="J369" s="21" t="s">
        <v>99</v>
      </c>
      <c r="K369" s="21"/>
      <c r="L369" s="21" t="s">
        <v>1165</v>
      </c>
      <c r="M369" s="21" t="s">
        <v>102</v>
      </c>
      <c r="N369" s="21"/>
    </row>
    <row r="370" spans="1:14" ht="64.05" customHeight="1">
      <c r="A370" s="20" t="s">
        <v>1145</v>
      </c>
      <c r="B370" s="20" t="s">
        <v>25</v>
      </c>
      <c r="C370" s="20" t="s">
        <v>115</v>
      </c>
      <c r="D370" s="20" t="s">
        <v>116</v>
      </c>
      <c r="E370" s="20" t="s">
        <v>1173</v>
      </c>
      <c r="F370" s="20">
        <v>1</v>
      </c>
      <c r="G370" s="20" t="s">
        <v>92</v>
      </c>
      <c r="H370" s="20"/>
      <c r="I370" s="21"/>
      <c r="J370" s="21" t="s">
        <v>99</v>
      </c>
      <c r="K370" s="21"/>
      <c r="L370" s="21" t="s">
        <v>1165</v>
      </c>
      <c r="M370" s="21" t="s">
        <v>102</v>
      </c>
      <c r="N370" s="21"/>
    </row>
    <row r="371" spans="1:14" ht="64.05" customHeight="1">
      <c r="A371" s="20" t="s">
        <v>1145</v>
      </c>
      <c r="B371" s="20" t="s">
        <v>24</v>
      </c>
      <c r="C371" s="20" t="s">
        <v>619</v>
      </c>
      <c r="D371" s="20" t="s">
        <v>116</v>
      </c>
      <c r="E371" s="20" t="s">
        <v>1174</v>
      </c>
      <c r="F371" s="20">
        <v>1</v>
      </c>
      <c r="G371" s="20" t="s">
        <v>139</v>
      </c>
      <c r="H371" s="20"/>
      <c r="I371" s="21" t="s">
        <v>1175</v>
      </c>
      <c r="J371" s="21"/>
      <c r="K371" s="21"/>
      <c r="L371" s="21" t="s">
        <v>1176</v>
      </c>
      <c r="M371" s="21" t="s">
        <v>62</v>
      </c>
      <c r="N371" s="21" t="s">
        <v>520</v>
      </c>
    </row>
    <row r="372" spans="1:14" ht="64.05" customHeight="1">
      <c r="A372" s="20" t="s">
        <v>1145</v>
      </c>
      <c r="B372" s="20" t="s">
        <v>24</v>
      </c>
      <c r="C372" s="20" t="s">
        <v>619</v>
      </c>
      <c r="D372" s="20" t="s">
        <v>116</v>
      </c>
      <c r="E372" s="20" t="s">
        <v>1177</v>
      </c>
      <c r="F372" s="20">
        <v>1</v>
      </c>
      <c r="G372" s="20" t="s">
        <v>92</v>
      </c>
      <c r="H372" s="20"/>
      <c r="I372" s="21"/>
      <c r="J372" s="21"/>
      <c r="K372" s="21"/>
      <c r="L372" s="21" t="s">
        <v>1178</v>
      </c>
      <c r="M372" s="21" t="s">
        <v>102</v>
      </c>
      <c r="N372" s="21"/>
    </row>
    <row r="373" spans="1:14" ht="64.05" customHeight="1">
      <c r="A373" s="20" t="s">
        <v>1145</v>
      </c>
      <c r="B373" s="20" t="s">
        <v>24</v>
      </c>
      <c r="C373" s="20" t="s">
        <v>431</v>
      </c>
      <c r="D373" s="20" t="s">
        <v>216</v>
      </c>
      <c r="E373" s="20" t="s">
        <v>1179</v>
      </c>
      <c r="F373" s="20">
        <v>1</v>
      </c>
      <c r="G373" s="20"/>
      <c r="H373" s="20"/>
      <c r="I373" s="21" t="s">
        <v>1180</v>
      </c>
      <c r="J373" s="21"/>
      <c r="K373" s="21" t="s">
        <v>1181</v>
      </c>
      <c r="L373" s="21" t="s">
        <v>1182</v>
      </c>
      <c r="M373" s="21" t="s">
        <v>62</v>
      </c>
      <c r="N373" s="21" t="s">
        <v>719</v>
      </c>
    </row>
    <row r="374" spans="1:14" ht="64.05" customHeight="1">
      <c r="A374" s="20" t="s">
        <v>1145</v>
      </c>
      <c r="B374" s="20" t="s">
        <v>24</v>
      </c>
      <c r="C374" s="20" t="s">
        <v>431</v>
      </c>
      <c r="D374" s="20" t="s">
        <v>216</v>
      </c>
      <c r="E374" s="20" t="s">
        <v>1183</v>
      </c>
      <c r="F374" s="20">
        <v>1</v>
      </c>
      <c r="G374" s="20"/>
      <c r="H374" s="20"/>
      <c r="I374" s="21" t="s">
        <v>1180</v>
      </c>
      <c r="J374" s="21"/>
      <c r="K374" s="21" t="s">
        <v>1181</v>
      </c>
      <c r="L374" s="21" t="s">
        <v>1184</v>
      </c>
      <c r="M374" s="21" t="s">
        <v>62</v>
      </c>
      <c r="N374" s="21" t="s">
        <v>719</v>
      </c>
    </row>
    <row r="375" spans="1:14" ht="64.05" customHeight="1">
      <c r="A375" s="20" t="s">
        <v>1145</v>
      </c>
      <c r="B375" s="20" t="s">
        <v>24</v>
      </c>
      <c r="C375" s="20" t="s">
        <v>431</v>
      </c>
      <c r="D375" s="20" t="s">
        <v>216</v>
      </c>
      <c r="E375" s="20" t="s">
        <v>1185</v>
      </c>
      <c r="F375" s="20">
        <v>1</v>
      </c>
      <c r="G375" s="20"/>
      <c r="H375" s="20"/>
      <c r="I375" s="21" t="s">
        <v>1186</v>
      </c>
      <c r="J375" s="21"/>
      <c r="K375" s="21" t="s">
        <v>1187</v>
      </c>
      <c r="L375" s="21" t="s">
        <v>1188</v>
      </c>
      <c r="M375" s="21" t="s">
        <v>62</v>
      </c>
      <c r="N375" s="21" t="s">
        <v>719</v>
      </c>
    </row>
    <row r="376" spans="1:14" ht="64.05" customHeight="1">
      <c r="A376" s="20" t="s">
        <v>1145</v>
      </c>
      <c r="B376" s="20" t="s">
        <v>24</v>
      </c>
      <c r="C376" s="20" t="s">
        <v>431</v>
      </c>
      <c r="D376" s="20" t="s">
        <v>216</v>
      </c>
      <c r="E376" s="20" t="s">
        <v>1189</v>
      </c>
      <c r="F376" s="20">
        <v>1</v>
      </c>
      <c r="G376" s="20"/>
      <c r="H376" s="20"/>
      <c r="I376" s="21" t="s">
        <v>1186</v>
      </c>
      <c r="J376" s="21"/>
      <c r="K376" s="21" t="s">
        <v>1187</v>
      </c>
      <c r="L376" s="21" t="s">
        <v>1190</v>
      </c>
      <c r="M376" s="21" t="s">
        <v>62</v>
      </c>
      <c r="N376" s="21" t="s">
        <v>719</v>
      </c>
    </row>
    <row r="377" spans="1:14" ht="64.05" customHeight="1">
      <c r="A377" s="20" t="s">
        <v>1145</v>
      </c>
      <c r="B377" s="20" t="s">
        <v>24</v>
      </c>
      <c r="C377" s="20" t="s">
        <v>431</v>
      </c>
      <c r="D377" s="20" t="s">
        <v>216</v>
      </c>
      <c r="E377" s="20" t="s">
        <v>1191</v>
      </c>
      <c r="F377" s="20">
        <v>1</v>
      </c>
      <c r="G377" s="20" t="s">
        <v>92</v>
      </c>
      <c r="H377" s="20"/>
      <c r="I377" s="21" t="s">
        <v>1192</v>
      </c>
      <c r="J377" s="21"/>
      <c r="K377" s="21" t="s">
        <v>109</v>
      </c>
      <c r="L377" s="21" t="s">
        <v>1193</v>
      </c>
      <c r="M377" s="21" t="s">
        <v>102</v>
      </c>
      <c r="N377" s="21"/>
    </row>
    <row r="378" spans="1:14" ht="64.05" customHeight="1">
      <c r="A378" s="20" t="s">
        <v>1145</v>
      </c>
      <c r="B378" s="20" t="s">
        <v>24</v>
      </c>
      <c r="C378" s="20" t="s">
        <v>436</v>
      </c>
      <c r="D378" s="20" t="s">
        <v>437</v>
      </c>
      <c r="E378" s="20" t="s">
        <v>1194</v>
      </c>
      <c r="F378" s="20">
        <v>1</v>
      </c>
      <c r="G378" s="20" t="s">
        <v>139</v>
      </c>
      <c r="H378" s="20"/>
      <c r="I378" s="21" t="s">
        <v>1195</v>
      </c>
      <c r="J378" s="21"/>
      <c r="K378" s="21" t="s">
        <v>320</v>
      </c>
      <c r="L378" s="21" t="s">
        <v>1196</v>
      </c>
      <c r="M378" s="21" t="s">
        <v>62</v>
      </c>
      <c r="N378" s="21" t="s">
        <v>520</v>
      </c>
    </row>
    <row r="379" spans="1:14" ht="64.05" customHeight="1">
      <c r="A379" s="20" t="s">
        <v>1145</v>
      </c>
      <c r="B379" s="20" t="s">
        <v>24</v>
      </c>
      <c r="C379" s="20" t="s">
        <v>443</v>
      </c>
      <c r="D379" s="20" t="s">
        <v>444</v>
      </c>
      <c r="E379" s="20" t="s">
        <v>1197</v>
      </c>
      <c r="F379" s="20">
        <v>1</v>
      </c>
      <c r="G379" s="20" t="s">
        <v>139</v>
      </c>
      <c r="H379" s="20"/>
      <c r="I379" s="21" t="s">
        <v>406</v>
      </c>
      <c r="J379" s="21"/>
      <c r="K379" s="21" t="s">
        <v>406</v>
      </c>
      <c r="L379" s="21" t="s">
        <v>1198</v>
      </c>
      <c r="M379" s="21" t="s">
        <v>62</v>
      </c>
      <c r="N379" s="21" t="s">
        <v>520</v>
      </c>
    </row>
    <row r="380" spans="1:14" ht="64.05" customHeight="1">
      <c r="A380" s="20" t="s">
        <v>1145</v>
      </c>
      <c r="B380" s="20" t="s">
        <v>24</v>
      </c>
      <c r="C380" s="20" t="s">
        <v>443</v>
      </c>
      <c r="D380" s="20" t="s">
        <v>444</v>
      </c>
      <c r="E380" s="20" t="s">
        <v>1199</v>
      </c>
      <c r="F380" s="20">
        <v>1</v>
      </c>
      <c r="G380" s="20" t="s">
        <v>139</v>
      </c>
      <c r="H380" s="20"/>
      <c r="I380" s="21" t="s">
        <v>406</v>
      </c>
      <c r="J380" s="21"/>
      <c r="K380" s="21" t="s">
        <v>406</v>
      </c>
      <c r="L380" s="21" t="s">
        <v>1198</v>
      </c>
      <c r="M380" s="21" t="s">
        <v>62</v>
      </c>
      <c r="N380" s="21" t="s">
        <v>520</v>
      </c>
    </row>
    <row r="381" spans="1:14" ht="64.05" customHeight="1">
      <c r="A381" s="20" t="s">
        <v>1145</v>
      </c>
      <c r="B381" s="20" t="s">
        <v>24</v>
      </c>
      <c r="C381" s="20" t="s">
        <v>443</v>
      </c>
      <c r="D381" s="20" t="s">
        <v>444</v>
      </c>
      <c r="E381" s="20" t="s">
        <v>1200</v>
      </c>
      <c r="F381" s="20">
        <v>1</v>
      </c>
      <c r="G381" s="20" t="s">
        <v>139</v>
      </c>
      <c r="H381" s="20"/>
      <c r="I381" s="21" t="s">
        <v>406</v>
      </c>
      <c r="J381" s="21"/>
      <c r="K381" s="21" t="s">
        <v>406</v>
      </c>
      <c r="L381" s="21" t="s">
        <v>1201</v>
      </c>
      <c r="M381" s="21" t="s">
        <v>62</v>
      </c>
      <c r="N381" s="21" t="s">
        <v>520</v>
      </c>
    </row>
    <row r="382" spans="1:14" ht="64.05" customHeight="1">
      <c r="A382" s="20" t="s">
        <v>1145</v>
      </c>
      <c r="B382" s="20" t="s">
        <v>24</v>
      </c>
      <c r="C382" s="20" t="s">
        <v>443</v>
      </c>
      <c r="D382" s="20" t="s">
        <v>444</v>
      </c>
      <c r="E382" s="20" t="s">
        <v>1202</v>
      </c>
      <c r="F382" s="20">
        <v>1</v>
      </c>
      <c r="G382" s="20" t="s">
        <v>139</v>
      </c>
      <c r="H382" s="20"/>
      <c r="I382" s="21" t="s">
        <v>406</v>
      </c>
      <c r="J382" s="21"/>
      <c r="K382" s="21" t="s">
        <v>406</v>
      </c>
      <c r="L382" s="21" t="s">
        <v>1203</v>
      </c>
      <c r="M382" s="21" t="s">
        <v>62</v>
      </c>
      <c r="N382" s="21" t="s">
        <v>520</v>
      </c>
    </row>
    <row r="383" spans="1:14" ht="64.05" customHeight="1">
      <c r="A383" s="20" t="s">
        <v>1145</v>
      </c>
      <c r="B383" s="20" t="s">
        <v>28</v>
      </c>
      <c r="C383" s="20" t="s">
        <v>146</v>
      </c>
      <c r="D383" s="20" t="s">
        <v>147</v>
      </c>
      <c r="E383" s="20" t="s">
        <v>1204</v>
      </c>
      <c r="F383" s="20">
        <v>1</v>
      </c>
      <c r="G383" s="20" t="s">
        <v>1205</v>
      </c>
      <c r="H383" s="20" t="s">
        <v>1206</v>
      </c>
      <c r="I383" s="21" t="s">
        <v>1207</v>
      </c>
      <c r="J383" s="21"/>
      <c r="K383" s="21" t="s">
        <v>78</v>
      </c>
      <c r="L383" s="21" t="s">
        <v>1208</v>
      </c>
      <c r="M383" s="21" t="s">
        <v>73</v>
      </c>
      <c r="N383" s="21"/>
    </row>
    <row r="384" spans="1:14" ht="64.05" customHeight="1">
      <c r="A384" s="20" t="s">
        <v>1145</v>
      </c>
      <c r="B384" s="20" t="s">
        <v>28</v>
      </c>
      <c r="C384" s="20" t="s">
        <v>146</v>
      </c>
      <c r="D384" s="20" t="s">
        <v>147</v>
      </c>
      <c r="E384" s="20" t="s">
        <v>1209</v>
      </c>
      <c r="F384" s="20">
        <v>1</v>
      </c>
      <c r="G384" s="20" t="s">
        <v>1205</v>
      </c>
      <c r="H384" s="20" t="s">
        <v>1206</v>
      </c>
      <c r="I384" s="21" t="s">
        <v>1207</v>
      </c>
      <c r="J384" s="21"/>
      <c r="K384" s="21" t="s">
        <v>78</v>
      </c>
      <c r="L384" s="21" t="s">
        <v>1208</v>
      </c>
      <c r="M384" s="21" t="s">
        <v>73</v>
      </c>
      <c r="N384" s="21"/>
    </row>
    <row r="385" spans="1:14" ht="64.05" customHeight="1">
      <c r="A385" s="20" t="s">
        <v>1145</v>
      </c>
      <c r="B385" s="20" t="s">
        <v>28</v>
      </c>
      <c r="C385" s="20" t="s">
        <v>146</v>
      </c>
      <c r="D385" s="20" t="s">
        <v>147</v>
      </c>
      <c r="E385" s="20" t="s">
        <v>1210</v>
      </c>
      <c r="F385" s="20">
        <v>1</v>
      </c>
      <c r="G385" s="20" t="s">
        <v>149</v>
      </c>
      <c r="H385" s="20" t="s">
        <v>1152</v>
      </c>
      <c r="I385" s="21" t="s">
        <v>1211</v>
      </c>
      <c r="J385" s="21"/>
      <c r="K385" s="21" t="s">
        <v>849</v>
      </c>
      <c r="L385" s="21" t="s">
        <v>1212</v>
      </c>
      <c r="M385" s="21" t="s">
        <v>62</v>
      </c>
      <c r="N385" s="21" t="s">
        <v>303</v>
      </c>
    </row>
    <row r="386" spans="1:14" ht="64.05" customHeight="1">
      <c r="A386" s="20" t="s">
        <v>1145</v>
      </c>
      <c r="B386" s="20" t="s">
        <v>28</v>
      </c>
      <c r="C386" s="20" t="s">
        <v>146</v>
      </c>
      <c r="D386" s="20" t="s">
        <v>147</v>
      </c>
      <c r="E386" s="20" t="s">
        <v>1213</v>
      </c>
      <c r="F386" s="20">
        <v>1</v>
      </c>
      <c r="G386" s="20" t="s">
        <v>149</v>
      </c>
      <c r="H386" s="20" t="s">
        <v>1152</v>
      </c>
      <c r="I386" s="21" t="s">
        <v>1211</v>
      </c>
      <c r="J386" s="21"/>
      <c r="K386" s="21" t="s">
        <v>849</v>
      </c>
      <c r="L386" s="21" t="s">
        <v>1214</v>
      </c>
      <c r="M386" s="21" t="s">
        <v>73</v>
      </c>
      <c r="N386" s="21"/>
    </row>
    <row r="387" spans="1:14" ht="64.05" customHeight="1">
      <c r="A387" s="20" t="s">
        <v>1145</v>
      </c>
      <c r="B387" s="20" t="s">
        <v>28</v>
      </c>
      <c r="C387" s="20" t="s">
        <v>146</v>
      </c>
      <c r="D387" s="20" t="s">
        <v>147</v>
      </c>
      <c r="E387" s="20" t="s">
        <v>1215</v>
      </c>
      <c r="F387" s="20">
        <v>1</v>
      </c>
      <c r="G387" s="20" t="s">
        <v>1216</v>
      </c>
      <c r="H387" s="20" t="s">
        <v>1217</v>
      </c>
      <c r="I387" s="21" t="s">
        <v>1218</v>
      </c>
      <c r="J387" s="21"/>
      <c r="K387" s="21" t="s">
        <v>320</v>
      </c>
      <c r="L387" s="21" t="s">
        <v>1219</v>
      </c>
      <c r="M387" s="21" t="s">
        <v>62</v>
      </c>
      <c r="N387" s="21" t="s">
        <v>811</v>
      </c>
    </row>
    <row r="388" spans="1:14" ht="64.05" customHeight="1">
      <c r="A388" s="20" t="s">
        <v>1145</v>
      </c>
      <c r="B388" s="20" t="s">
        <v>28</v>
      </c>
      <c r="C388" s="20" t="s">
        <v>167</v>
      </c>
      <c r="D388" s="20" t="s">
        <v>168</v>
      </c>
      <c r="E388" s="20" t="s">
        <v>1220</v>
      </c>
      <c r="F388" s="20">
        <v>1</v>
      </c>
      <c r="G388" s="20" t="s">
        <v>1221</v>
      </c>
      <c r="H388" s="20" t="s">
        <v>1222</v>
      </c>
      <c r="I388" s="21" t="s">
        <v>1223</v>
      </c>
      <c r="J388" s="21"/>
      <c r="K388" s="21" t="s">
        <v>849</v>
      </c>
      <c r="L388" s="21" t="s">
        <v>1224</v>
      </c>
      <c r="M388" s="21" t="s">
        <v>62</v>
      </c>
      <c r="N388" s="21" t="s">
        <v>303</v>
      </c>
    </row>
    <row r="389" spans="1:14" ht="64.05" customHeight="1">
      <c r="A389" s="20" t="s">
        <v>1145</v>
      </c>
      <c r="B389" s="20" t="s">
        <v>28</v>
      </c>
      <c r="C389" s="20" t="s">
        <v>167</v>
      </c>
      <c r="D389" s="20" t="s">
        <v>168</v>
      </c>
      <c r="E389" s="20" t="s">
        <v>1225</v>
      </c>
      <c r="F389" s="20">
        <v>1</v>
      </c>
      <c r="G389" s="20" t="s">
        <v>1226</v>
      </c>
      <c r="H389" s="20" t="s">
        <v>1067</v>
      </c>
      <c r="I389" s="21" t="s">
        <v>141</v>
      </c>
      <c r="J389" s="21"/>
      <c r="K389" s="21" t="s">
        <v>406</v>
      </c>
      <c r="L389" s="21" t="s">
        <v>1227</v>
      </c>
      <c r="M389" s="21" t="s">
        <v>62</v>
      </c>
      <c r="N389" s="21" t="s">
        <v>130</v>
      </c>
    </row>
    <row r="390" spans="1:14" ht="64.05" customHeight="1">
      <c r="A390" s="20" t="s">
        <v>1145</v>
      </c>
      <c r="B390" s="20" t="s">
        <v>30</v>
      </c>
      <c r="C390" s="20" t="s">
        <v>180</v>
      </c>
      <c r="D390" s="20" t="s">
        <v>181</v>
      </c>
      <c r="E390" s="20" t="s">
        <v>1228</v>
      </c>
      <c r="F390" s="20">
        <v>1</v>
      </c>
      <c r="G390" s="20" t="s">
        <v>139</v>
      </c>
      <c r="H390" s="20"/>
      <c r="I390" s="21"/>
      <c r="J390" s="21"/>
      <c r="K390" s="21"/>
      <c r="L390" s="21" t="s">
        <v>1229</v>
      </c>
      <c r="M390" s="21" t="s">
        <v>73</v>
      </c>
      <c r="N390" s="21"/>
    </row>
    <row r="391" spans="1:14" ht="64.05" customHeight="1">
      <c r="A391" s="20" t="s">
        <v>1145</v>
      </c>
      <c r="B391" s="20" t="s">
        <v>30</v>
      </c>
      <c r="C391" s="20" t="s">
        <v>188</v>
      </c>
      <c r="D391" s="20" t="s">
        <v>189</v>
      </c>
      <c r="E391" s="20" t="s">
        <v>1230</v>
      </c>
      <c r="F391" s="20">
        <v>1</v>
      </c>
      <c r="G391" s="20" t="s">
        <v>919</v>
      </c>
      <c r="H391" s="20" t="s">
        <v>1231</v>
      </c>
      <c r="I391" s="21" t="s">
        <v>406</v>
      </c>
      <c r="J391" s="21"/>
      <c r="K391" s="21" t="s">
        <v>406</v>
      </c>
      <c r="L391" s="21" t="s">
        <v>1232</v>
      </c>
      <c r="M391" s="21" t="s">
        <v>62</v>
      </c>
      <c r="N391" s="21" t="s">
        <v>130</v>
      </c>
    </row>
    <row r="392" spans="1:14" ht="64.05" customHeight="1">
      <c r="A392" s="20" t="s">
        <v>1145</v>
      </c>
      <c r="B392" s="20" t="s">
        <v>30</v>
      </c>
      <c r="C392" s="20" t="s">
        <v>188</v>
      </c>
      <c r="D392" s="20" t="s">
        <v>189</v>
      </c>
      <c r="E392" s="20" t="s">
        <v>1233</v>
      </c>
      <c r="F392" s="20">
        <v>1</v>
      </c>
      <c r="G392" s="20" t="s">
        <v>919</v>
      </c>
      <c r="H392" s="20" t="s">
        <v>1231</v>
      </c>
      <c r="I392" s="21" t="s">
        <v>406</v>
      </c>
      <c r="J392" s="21"/>
      <c r="K392" s="21" t="s">
        <v>406</v>
      </c>
      <c r="L392" s="21" t="s">
        <v>1234</v>
      </c>
      <c r="M392" s="21" t="s">
        <v>73</v>
      </c>
      <c r="N392" s="21"/>
    </row>
    <row r="393" spans="1:14" ht="64.05" customHeight="1">
      <c r="A393" s="20" t="s">
        <v>1145</v>
      </c>
      <c r="B393" s="20" t="s">
        <v>30</v>
      </c>
      <c r="C393" s="20" t="s">
        <v>188</v>
      </c>
      <c r="D393" s="20" t="s">
        <v>189</v>
      </c>
      <c r="E393" s="20" t="s">
        <v>1235</v>
      </c>
      <c r="F393" s="20">
        <v>1</v>
      </c>
      <c r="G393" s="20" t="s">
        <v>1236</v>
      </c>
      <c r="H393" s="20" t="s">
        <v>1237</v>
      </c>
      <c r="I393" s="21" t="s">
        <v>406</v>
      </c>
      <c r="J393" s="21"/>
      <c r="K393" s="21" t="s">
        <v>406</v>
      </c>
      <c r="L393" s="21" t="s">
        <v>1238</v>
      </c>
      <c r="M393" s="21" t="s">
        <v>102</v>
      </c>
      <c r="N393" s="21"/>
    </row>
    <row r="394" spans="1:14" ht="64.05" customHeight="1">
      <c r="A394" s="20" t="s">
        <v>1145</v>
      </c>
      <c r="B394" s="20" t="s">
        <v>30</v>
      </c>
      <c r="C394" s="20" t="s">
        <v>188</v>
      </c>
      <c r="D394" s="20" t="s">
        <v>189</v>
      </c>
      <c r="E394" s="20" t="s">
        <v>1239</v>
      </c>
      <c r="F394" s="20">
        <v>1</v>
      </c>
      <c r="G394" s="20" t="s">
        <v>92</v>
      </c>
      <c r="H394" s="20"/>
      <c r="I394" s="21" t="s">
        <v>406</v>
      </c>
      <c r="J394" s="21"/>
      <c r="K394" s="21" t="s">
        <v>406</v>
      </c>
      <c r="L394" s="21" t="s">
        <v>1240</v>
      </c>
      <c r="M394" s="21" t="s">
        <v>102</v>
      </c>
      <c r="N394" s="21"/>
    </row>
    <row r="395" spans="1:14" ht="64.05" customHeight="1">
      <c r="A395" s="20" t="s">
        <v>1145</v>
      </c>
      <c r="B395" s="20" t="s">
        <v>26</v>
      </c>
      <c r="C395" s="20" t="s">
        <v>196</v>
      </c>
      <c r="D395" s="20" t="s">
        <v>197</v>
      </c>
      <c r="E395" s="20" t="s">
        <v>1241</v>
      </c>
      <c r="F395" s="20">
        <v>1</v>
      </c>
      <c r="G395" s="20" t="s">
        <v>92</v>
      </c>
      <c r="H395" s="20"/>
      <c r="I395" s="21" t="s">
        <v>141</v>
      </c>
      <c r="J395" s="21"/>
      <c r="K395" s="21" t="s">
        <v>406</v>
      </c>
      <c r="L395" s="21" t="s">
        <v>1242</v>
      </c>
      <c r="M395" s="21" t="s">
        <v>102</v>
      </c>
      <c r="N395" s="21"/>
    </row>
    <row r="396" spans="1:14" ht="64.05" customHeight="1">
      <c r="A396" s="20" t="s">
        <v>1145</v>
      </c>
      <c r="B396" s="20" t="s">
        <v>26</v>
      </c>
      <c r="C396" s="20" t="s">
        <v>196</v>
      </c>
      <c r="D396" s="20" t="s">
        <v>197</v>
      </c>
      <c r="E396" s="20" t="s">
        <v>1243</v>
      </c>
      <c r="F396" s="20">
        <v>1</v>
      </c>
      <c r="G396" s="20" t="s">
        <v>92</v>
      </c>
      <c r="H396" s="20"/>
      <c r="I396" s="21" t="s">
        <v>141</v>
      </c>
      <c r="J396" s="21"/>
      <c r="K396" s="21" t="s">
        <v>406</v>
      </c>
      <c r="L396" s="21" t="s">
        <v>1242</v>
      </c>
      <c r="M396" s="21" t="s">
        <v>102</v>
      </c>
      <c r="N396" s="21"/>
    </row>
    <row r="397" spans="1:14" ht="64.05" customHeight="1">
      <c r="A397" s="20" t="s">
        <v>1145</v>
      </c>
      <c r="B397" s="20" t="s">
        <v>26</v>
      </c>
      <c r="C397" s="20" t="s">
        <v>196</v>
      </c>
      <c r="D397" s="20" t="s">
        <v>197</v>
      </c>
      <c r="E397" s="20" t="s">
        <v>1244</v>
      </c>
      <c r="F397" s="20">
        <v>1</v>
      </c>
      <c r="G397" s="20" t="s">
        <v>92</v>
      </c>
      <c r="H397" s="20"/>
      <c r="I397" s="21" t="s">
        <v>141</v>
      </c>
      <c r="J397" s="21"/>
      <c r="K397" s="21" t="s">
        <v>406</v>
      </c>
      <c r="L397" s="21" t="s">
        <v>1242</v>
      </c>
      <c r="M397" s="21" t="s">
        <v>102</v>
      </c>
      <c r="N397" s="21"/>
    </row>
    <row r="398" spans="1:14" ht="64.05" customHeight="1">
      <c r="A398" s="20" t="s">
        <v>1145</v>
      </c>
      <c r="B398" s="20" t="s">
        <v>26</v>
      </c>
      <c r="C398" s="20" t="s">
        <v>196</v>
      </c>
      <c r="D398" s="20" t="s">
        <v>197</v>
      </c>
      <c r="E398" s="20" t="s">
        <v>1245</v>
      </c>
      <c r="F398" s="20">
        <v>1</v>
      </c>
      <c r="G398" s="20" t="s">
        <v>92</v>
      </c>
      <c r="H398" s="20"/>
      <c r="I398" s="21" t="s">
        <v>141</v>
      </c>
      <c r="J398" s="21"/>
      <c r="K398" s="21" t="s">
        <v>406</v>
      </c>
      <c r="L398" s="21" t="s">
        <v>1246</v>
      </c>
      <c r="M398" s="21" t="s">
        <v>102</v>
      </c>
      <c r="N398" s="21"/>
    </row>
    <row r="399" spans="1:14" ht="64.05" customHeight="1">
      <c r="A399" s="20" t="s">
        <v>1145</v>
      </c>
      <c r="B399" s="20" t="s">
        <v>26</v>
      </c>
      <c r="C399" s="20" t="s">
        <v>196</v>
      </c>
      <c r="D399" s="20" t="s">
        <v>197</v>
      </c>
      <c r="E399" s="20" t="s">
        <v>1247</v>
      </c>
      <c r="F399" s="20">
        <v>1</v>
      </c>
      <c r="G399" s="20" t="s">
        <v>92</v>
      </c>
      <c r="H399" s="20"/>
      <c r="I399" s="21" t="s">
        <v>141</v>
      </c>
      <c r="J399" s="21"/>
      <c r="K399" s="21" t="s">
        <v>406</v>
      </c>
      <c r="L399" s="21" t="s">
        <v>1248</v>
      </c>
      <c r="M399" s="21" t="s">
        <v>102</v>
      </c>
      <c r="N399" s="21"/>
    </row>
    <row r="400" spans="1:14" ht="64.05" customHeight="1">
      <c r="A400" s="20" t="s">
        <v>1145</v>
      </c>
      <c r="B400" s="20" t="s">
        <v>26</v>
      </c>
      <c r="C400" s="20" t="s">
        <v>196</v>
      </c>
      <c r="D400" s="20" t="s">
        <v>197</v>
      </c>
      <c r="E400" s="20" t="s">
        <v>1249</v>
      </c>
      <c r="F400" s="20">
        <v>1</v>
      </c>
      <c r="G400" s="20" t="s">
        <v>494</v>
      </c>
      <c r="H400" s="20" t="s">
        <v>1250</v>
      </c>
      <c r="I400" s="21" t="s">
        <v>1251</v>
      </c>
      <c r="J400" s="21"/>
      <c r="K400" s="21" t="s">
        <v>687</v>
      </c>
      <c r="L400" s="21" t="s">
        <v>1252</v>
      </c>
      <c r="M400" s="21" t="s">
        <v>62</v>
      </c>
      <c r="N400" s="21" t="s">
        <v>130</v>
      </c>
    </row>
    <row r="401" spans="1:14" ht="64.05" customHeight="1">
      <c r="A401" s="20" t="s">
        <v>1145</v>
      </c>
      <c r="B401" s="20" t="s">
        <v>26</v>
      </c>
      <c r="C401" s="20" t="s">
        <v>196</v>
      </c>
      <c r="D401" s="20" t="s">
        <v>197</v>
      </c>
      <c r="E401" s="20" t="s">
        <v>1253</v>
      </c>
      <c r="F401" s="20">
        <v>1</v>
      </c>
      <c r="G401" s="20" t="s">
        <v>92</v>
      </c>
      <c r="H401" s="20"/>
      <c r="I401" s="21" t="s">
        <v>1254</v>
      </c>
      <c r="J401" s="21"/>
      <c r="K401" s="21"/>
      <c r="L401" s="21" t="s">
        <v>1255</v>
      </c>
      <c r="M401" s="21" t="s">
        <v>102</v>
      </c>
      <c r="N401" s="21"/>
    </row>
    <row r="402" spans="1:14" ht="64.05" customHeight="1">
      <c r="A402" s="20" t="s">
        <v>1145</v>
      </c>
      <c r="B402" s="20" t="s">
        <v>26</v>
      </c>
      <c r="C402" s="20" t="s">
        <v>196</v>
      </c>
      <c r="D402" s="20" t="s">
        <v>197</v>
      </c>
      <c r="E402" s="20" t="s">
        <v>1256</v>
      </c>
      <c r="F402" s="20">
        <v>1</v>
      </c>
      <c r="G402" s="20" t="s">
        <v>92</v>
      </c>
      <c r="H402" s="20"/>
      <c r="I402" s="21" t="s">
        <v>141</v>
      </c>
      <c r="J402" s="21"/>
      <c r="K402" s="21" t="s">
        <v>406</v>
      </c>
      <c r="L402" s="21" t="s">
        <v>1257</v>
      </c>
      <c r="M402" s="21" t="s">
        <v>102</v>
      </c>
      <c r="N402" s="21"/>
    </row>
    <row r="403" spans="1:14" ht="64.05" customHeight="1">
      <c r="A403" s="20" t="s">
        <v>1145</v>
      </c>
      <c r="B403" s="20" t="s">
        <v>31</v>
      </c>
      <c r="C403" s="20" t="s">
        <v>491</v>
      </c>
      <c r="D403" s="20" t="s">
        <v>492</v>
      </c>
      <c r="E403" s="20" t="s">
        <v>1258</v>
      </c>
      <c r="F403" s="20">
        <v>1</v>
      </c>
      <c r="G403" s="20"/>
      <c r="H403" s="20"/>
      <c r="I403" s="21" t="s">
        <v>1259</v>
      </c>
      <c r="J403" s="21"/>
      <c r="K403" s="21" t="s">
        <v>109</v>
      </c>
      <c r="L403" s="21" t="s">
        <v>1260</v>
      </c>
      <c r="M403" s="21" t="s">
        <v>73</v>
      </c>
      <c r="N403" s="21"/>
    </row>
    <row r="404" spans="1:14" ht="64.05" customHeight="1">
      <c r="A404" s="20" t="s">
        <v>1145</v>
      </c>
      <c r="B404" s="20" t="s">
        <v>31</v>
      </c>
      <c r="C404" s="20" t="s">
        <v>491</v>
      </c>
      <c r="D404" s="20" t="s">
        <v>492</v>
      </c>
      <c r="E404" s="20" t="s">
        <v>1261</v>
      </c>
      <c r="F404" s="20">
        <v>1</v>
      </c>
      <c r="G404" s="20" t="s">
        <v>139</v>
      </c>
      <c r="H404" s="20"/>
      <c r="I404" s="21" t="s">
        <v>1262</v>
      </c>
      <c r="J404" s="21"/>
      <c r="K404" s="21" t="s">
        <v>109</v>
      </c>
      <c r="L404" s="21" t="s">
        <v>1263</v>
      </c>
      <c r="M404" s="21" t="s">
        <v>62</v>
      </c>
      <c r="N404" s="21" t="s">
        <v>520</v>
      </c>
    </row>
    <row r="405" spans="1:14" ht="64.05" customHeight="1">
      <c r="A405" s="20" t="s">
        <v>1145</v>
      </c>
      <c r="B405" s="20" t="s">
        <v>32</v>
      </c>
      <c r="C405" s="20" t="s">
        <v>200</v>
      </c>
      <c r="D405" s="20" t="s">
        <v>201</v>
      </c>
      <c r="E405" s="20" t="s">
        <v>1264</v>
      </c>
      <c r="F405" s="20">
        <v>1</v>
      </c>
      <c r="G405" s="20" t="s">
        <v>92</v>
      </c>
      <c r="H405" s="20"/>
      <c r="I405" s="21" t="s">
        <v>141</v>
      </c>
      <c r="J405" s="21"/>
      <c r="K405" s="21" t="s">
        <v>406</v>
      </c>
      <c r="L405" s="21" t="s">
        <v>1265</v>
      </c>
      <c r="M405" s="21" t="s">
        <v>102</v>
      </c>
      <c r="N405" s="21"/>
    </row>
    <row r="406" spans="1:14" ht="64.05" customHeight="1">
      <c r="A406" s="20" t="s">
        <v>1145</v>
      </c>
      <c r="B406" s="20" t="s">
        <v>21</v>
      </c>
      <c r="C406" s="20" t="s">
        <v>207</v>
      </c>
      <c r="D406" s="20" t="s">
        <v>208</v>
      </c>
      <c r="E406" s="20" t="s">
        <v>1266</v>
      </c>
      <c r="F406" s="20">
        <v>1</v>
      </c>
      <c r="G406" s="20" t="s">
        <v>1267</v>
      </c>
      <c r="H406" s="20" t="s">
        <v>1268</v>
      </c>
      <c r="I406" s="21" t="s">
        <v>1269</v>
      </c>
      <c r="J406" s="21"/>
      <c r="K406" s="21"/>
      <c r="L406" s="21" t="s">
        <v>1270</v>
      </c>
      <c r="M406" s="21" t="s">
        <v>102</v>
      </c>
      <c r="N406" s="21"/>
    </row>
    <row r="407" spans="1:14" ht="64.05" customHeight="1">
      <c r="A407" s="20" t="s">
        <v>1145</v>
      </c>
      <c r="B407" s="20" t="s">
        <v>21</v>
      </c>
      <c r="C407" s="20" t="s">
        <v>207</v>
      </c>
      <c r="D407" s="20" t="s">
        <v>208</v>
      </c>
      <c r="E407" s="20" t="s">
        <v>1271</v>
      </c>
      <c r="F407" s="20">
        <v>1</v>
      </c>
      <c r="G407" s="20" t="s">
        <v>1272</v>
      </c>
      <c r="H407" s="20" t="s">
        <v>1273</v>
      </c>
      <c r="I407" s="21" t="s">
        <v>1274</v>
      </c>
      <c r="J407" s="21"/>
      <c r="K407" s="21"/>
      <c r="L407" s="21" t="s">
        <v>1275</v>
      </c>
      <c r="M407" s="21" t="s">
        <v>73</v>
      </c>
      <c r="N407" s="21"/>
    </row>
    <row r="408" spans="1:14" ht="64.05" customHeight="1">
      <c r="A408" s="20" t="s">
        <v>1145</v>
      </c>
      <c r="B408" s="20" t="s">
        <v>21</v>
      </c>
      <c r="C408" s="20" t="s">
        <v>207</v>
      </c>
      <c r="D408" s="20" t="s">
        <v>208</v>
      </c>
      <c r="E408" s="20" t="s">
        <v>1276</v>
      </c>
      <c r="F408" s="20">
        <v>1</v>
      </c>
      <c r="G408" s="20" t="s">
        <v>92</v>
      </c>
      <c r="H408" s="20"/>
      <c r="I408" s="21" t="s">
        <v>1277</v>
      </c>
      <c r="J408" s="21"/>
      <c r="K408" s="21" t="s">
        <v>1278</v>
      </c>
      <c r="L408" s="21" t="s">
        <v>1279</v>
      </c>
      <c r="M408" s="21" t="s">
        <v>102</v>
      </c>
      <c r="N408" s="21"/>
    </row>
    <row r="409" spans="1:14" ht="64.05" customHeight="1">
      <c r="A409" s="20" t="s">
        <v>1145</v>
      </c>
      <c r="B409" s="20" t="s">
        <v>21</v>
      </c>
      <c r="C409" s="20" t="s">
        <v>215</v>
      </c>
      <c r="D409" s="20" t="s">
        <v>216</v>
      </c>
      <c r="E409" s="20" t="s">
        <v>1280</v>
      </c>
      <c r="F409" s="20">
        <v>1</v>
      </c>
      <c r="G409" s="20" t="s">
        <v>1126</v>
      </c>
      <c r="H409" s="20" t="s">
        <v>1281</v>
      </c>
      <c r="I409" s="21" t="s">
        <v>1282</v>
      </c>
      <c r="J409" s="21"/>
      <c r="K409" s="21" t="s">
        <v>803</v>
      </c>
      <c r="L409" s="21" t="s">
        <v>1283</v>
      </c>
      <c r="M409" s="21" t="s">
        <v>62</v>
      </c>
      <c r="N409" s="21" t="s">
        <v>811</v>
      </c>
    </row>
    <row r="410" spans="1:14" ht="64.05" customHeight="1">
      <c r="A410" s="20" t="s">
        <v>1145</v>
      </c>
      <c r="B410" s="20" t="s">
        <v>21</v>
      </c>
      <c r="C410" s="20" t="s">
        <v>239</v>
      </c>
      <c r="D410" s="20" t="s">
        <v>1284</v>
      </c>
      <c r="E410" s="20" t="s">
        <v>1285</v>
      </c>
      <c r="F410" s="20">
        <v>1</v>
      </c>
      <c r="G410" s="20" t="s">
        <v>1286</v>
      </c>
      <c r="H410" s="20" t="s">
        <v>1287</v>
      </c>
      <c r="I410" s="21" t="s">
        <v>1288</v>
      </c>
      <c r="J410" s="21"/>
      <c r="K410" s="21" t="s">
        <v>78</v>
      </c>
      <c r="L410" s="21" t="s">
        <v>1289</v>
      </c>
      <c r="M410" s="21" t="s">
        <v>73</v>
      </c>
      <c r="N410" s="21"/>
    </row>
    <row r="411" spans="1:14" ht="64.05" customHeight="1">
      <c r="A411" s="20" t="s">
        <v>1145</v>
      </c>
      <c r="B411" s="20" t="s">
        <v>21</v>
      </c>
      <c r="C411" s="20" t="s">
        <v>239</v>
      </c>
      <c r="D411" s="20" t="s">
        <v>1284</v>
      </c>
      <c r="E411" s="20" t="s">
        <v>1290</v>
      </c>
      <c r="F411" s="20">
        <v>1</v>
      </c>
      <c r="G411" s="20" t="s">
        <v>1291</v>
      </c>
      <c r="H411" s="20" t="s">
        <v>1292</v>
      </c>
      <c r="I411" s="21" t="s">
        <v>1293</v>
      </c>
      <c r="J411" s="21"/>
      <c r="K411" s="21" t="s">
        <v>78</v>
      </c>
      <c r="L411" s="21" t="s">
        <v>1289</v>
      </c>
      <c r="M411" s="21" t="s">
        <v>73</v>
      </c>
      <c r="N411" s="21"/>
    </row>
    <row r="412" spans="1:14" ht="64.05" customHeight="1">
      <c r="A412" s="20" t="s">
        <v>1145</v>
      </c>
      <c r="B412" s="20" t="s">
        <v>21</v>
      </c>
      <c r="C412" s="20" t="s">
        <v>239</v>
      </c>
      <c r="D412" s="20" t="s">
        <v>1284</v>
      </c>
      <c r="E412" s="20" t="s">
        <v>1294</v>
      </c>
      <c r="F412" s="20">
        <v>1</v>
      </c>
      <c r="G412" s="20" t="s">
        <v>1291</v>
      </c>
      <c r="H412" s="20" t="s">
        <v>1292</v>
      </c>
      <c r="I412" s="21" t="s">
        <v>1295</v>
      </c>
      <c r="J412" s="21"/>
      <c r="K412" s="21" t="s">
        <v>78</v>
      </c>
      <c r="L412" s="21" t="s">
        <v>1289</v>
      </c>
      <c r="M412" s="21" t="s">
        <v>73</v>
      </c>
      <c r="N412" s="21"/>
    </row>
    <row r="413" spans="1:14" ht="64.05" customHeight="1">
      <c r="A413" s="20" t="s">
        <v>1145</v>
      </c>
      <c r="B413" s="20" t="s">
        <v>21</v>
      </c>
      <c r="C413" s="20" t="s">
        <v>239</v>
      </c>
      <c r="D413" s="20" t="s">
        <v>1284</v>
      </c>
      <c r="E413" s="20" t="s">
        <v>1296</v>
      </c>
      <c r="F413" s="20">
        <v>1</v>
      </c>
      <c r="G413" s="20" t="s">
        <v>1291</v>
      </c>
      <c r="H413" s="20" t="s">
        <v>1292</v>
      </c>
      <c r="I413" s="21" t="s">
        <v>1293</v>
      </c>
      <c r="J413" s="21"/>
      <c r="K413" s="21" t="s">
        <v>78</v>
      </c>
      <c r="L413" s="21" t="s">
        <v>1289</v>
      </c>
      <c r="M413" s="21" t="s">
        <v>73</v>
      </c>
      <c r="N413" s="21"/>
    </row>
    <row r="414" spans="1:14" ht="64.05" customHeight="1">
      <c r="A414" s="20" t="s">
        <v>1145</v>
      </c>
      <c r="B414" s="20" t="s">
        <v>21</v>
      </c>
      <c r="C414" s="20" t="s">
        <v>239</v>
      </c>
      <c r="D414" s="20" t="s">
        <v>1284</v>
      </c>
      <c r="E414" s="20" t="s">
        <v>1297</v>
      </c>
      <c r="F414" s="20">
        <v>1</v>
      </c>
      <c r="G414" s="20" t="s">
        <v>1286</v>
      </c>
      <c r="H414" s="20" t="s">
        <v>1287</v>
      </c>
      <c r="I414" s="21" t="s">
        <v>141</v>
      </c>
      <c r="J414" s="21"/>
      <c r="K414" s="21" t="s">
        <v>406</v>
      </c>
      <c r="L414" s="21" t="s">
        <v>1298</v>
      </c>
      <c r="M414" s="21" t="s">
        <v>62</v>
      </c>
      <c r="N414" s="21" t="s">
        <v>130</v>
      </c>
    </row>
    <row r="415" spans="1:14" ht="64.05" customHeight="1">
      <c r="A415" s="20" t="s">
        <v>1145</v>
      </c>
      <c r="B415" s="20" t="s">
        <v>21</v>
      </c>
      <c r="C415" s="20" t="s">
        <v>270</v>
      </c>
      <c r="D415" s="20" t="s">
        <v>271</v>
      </c>
      <c r="E415" s="20" t="s">
        <v>1299</v>
      </c>
      <c r="F415" s="20">
        <v>1</v>
      </c>
      <c r="G415" s="20" t="s">
        <v>1300</v>
      </c>
      <c r="H415" s="20" t="s">
        <v>1301</v>
      </c>
      <c r="I415" s="21" t="s">
        <v>1302</v>
      </c>
      <c r="J415" s="21"/>
      <c r="K415" s="21"/>
      <c r="L415" s="21" t="s">
        <v>1303</v>
      </c>
      <c r="M415" s="21" t="s">
        <v>73</v>
      </c>
      <c r="N415" s="21"/>
    </row>
    <row r="416" spans="1:14" ht="64.05" customHeight="1">
      <c r="A416" s="20" t="s">
        <v>1145</v>
      </c>
      <c r="B416" s="20" t="s">
        <v>30</v>
      </c>
      <c r="C416" s="20" t="s">
        <v>180</v>
      </c>
      <c r="D416" s="20" t="s">
        <v>181</v>
      </c>
      <c r="E416" s="20" t="s">
        <v>1228</v>
      </c>
      <c r="F416" s="20">
        <v>1</v>
      </c>
      <c r="G416" s="20" t="s">
        <v>139</v>
      </c>
      <c r="H416" s="20"/>
      <c r="I416" s="21" t="s">
        <v>112</v>
      </c>
      <c r="J416" s="21"/>
      <c r="K416" s="21" t="s">
        <v>109</v>
      </c>
      <c r="L416" s="21" t="s">
        <v>1304</v>
      </c>
      <c r="M416" s="21" t="s">
        <v>102</v>
      </c>
      <c r="N416" s="21"/>
    </row>
    <row r="417" spans="1:14" ht="64.05" customHeight="1">
      <c r="A417" s="20" t="s">
        <v>1305</v>
      </c>
      <c r="B417" s="20" t="s">
        <v>20</v>
      </c>
      <c r="C417" s="20" t="s">
        <v>65</v>
      </c>
      <c r="D417" s="20" t="s">
        <v>66</v>
      </c>
      <c r="E417" s="20" t="s">
        <v>1306</v>
      </c>
      <c r="F417" s="20">
        <v>1</v>
      </c>
      <c r="G417" s="20" t="s">
        <v>92</v>
      </c>
      <c r="H417" s="20"/>
      <c r="I417" s="21" t="s">
        <v>140</v>
      </c>
      <c r="J417" s="21"/>
      <c r="K417" s="21" t="s">
        <v>1307</v>
      </c>
      <c r="L417" s="21" t="s">
        <v>1308</v>
      </c>
      <c r="M417" s="21" t="s">
        <v>102</v>
      </c>
      <c r="N417" s="21"/>
    </row>
    <row r="418" spans="1:14" ht="64.05" customHeight="1">
      <c r="A418" s="20" t="s">
        <v>1305</v>
      </c>
      <c r="B418" s="20" t="s">
        <v>22</v>
      </c>
      <c r="C418" s="20" t="s">
        <v>1149</v>
      </c>
      <c r="D418" s="20" t="s">
        <v>1150</v>
      </c>
      <c r="E418" s="20" t="s">
        <v>1309</v>
      </c>
      <c r="F418" s="20">
        <v>1</v>
      </c>
      <c r="G418" s="20" t="s">
        <v>1310</v>
      </c>
      <c r="H418" s="20" t="s">
        <v>1311</v>
      </c>
      <c r="I418" s="21" t="s">
        <v>140</v>
      </c>
      <c r="J418" s="21"/>
      <c r="K418" s="21" t="s">
        <v>406</v>
      </c>
      <c r="L418" s="21" t="s">
        <v>1312</v>
      </c>
      <c r="M418" s="21" t="s">
        <v>62</v>
      </c>
      <c r="N418" s="21" t="s">
        <v>63</v>
      </c>
    </row>
    <row r="419" spans="1:14" ht="64.05" customHeight="1">
      <c r="A419" s="20" t="s">
        <v>1305</v>
      </c>
      <c r="B419" s="20" t="s">
        <v>22</v>
      </c>
      <c r="C419" s="20" t="s">
        <v>1149</v>
      </c>
      <c r="D419" s="20" t="s">
        <v>1150</v>
      </c>
      <c r="E419" s="20" t="s">
        <v>1313</v>
      </c>
      <c r="F419" s="20">
        <v>1</v>
      </c>
      <c r="G419" s="20" t="s">
        <v>1310</v>
      </c>
      <c r="H419" s="20" t="s">
        <v>1311</v>
      </c>
      <c r="I419" s="21" t="s">
        <v>140</v>
      </c>
      <c r="J419" s="21"/>
      <c r="K419" s="21" t="s">
        <v>406</v>
      </c>
      <c r="L419" s="21" t="s">
        <v>1312</v>
      </c>
      <c r="M419" s="21" t="s">
        <v>62</v>
      </c>
      <c r="N419" s="21" t="s">
        <v>63</v>
      </c>
    </row>
    <row r="420" spans="1:14" ht="64.05" customHeight="1">
      <c r="A420" s="20" t="s">
        <v>1305</v>
      </c>
      <c r="B420" s="20" t="s">
        <v>22</v>
      </c>
      <c r="C420" s="20" t="s">
        <v>1149</v>
      </c>
      <c r="D420" s="20" t="s">
        <v>1150</v>
      </c>
      <c r="E420" s="20" t="s">
        <v>1314</v>
      </c>
      <c r="F420" s="20">
        <v>1</v>
      </c>
      <c r="G420" s="20" t="s">
        <v>1310</v>
      </c>
      <c r="H420" s="20" t="s">
        <v>1311</v>
      </c>
      <c r="I420" s="21" t="s">
        <v>140</v>
      </c>
      <c r="J420" s="21"/>
      <c r="K420" s="21" t="s">
        <v>406</v>
      </c>
      <c r="L420" s="21" t="s">
        <v>1312</v>
      </c>
      <c r="M420" s="21" t="s">
        <v>62</v>
      </c>
      <c r="N420" s="21" t="s">
        <v>63</v>
      </c>
    </row>
    <row r="421" spans="1:14" ht="64.05" customHeight="1">
      <c r="A421" s="20" t="s">
        <v>1305</v>
      </c>
      <c r="B421" s="20" t="s">
        <v>22</v>
      </c>
      <c r="C421" s="20" t="s">
        <v>1149</v>
      </c>
      <c r="D421" s="20" t="s">
        <v>1150</v>
      </c>
      <c r="E421" s="20" t="s">
        <v>1315</v>
      </c>
      <c r="F421" s="20">
        <v>1</v>
      </c>
      <c r="G421" s="20" t="s">
        <v>1316</v>
      </c>
      <c r="H421" s="20" t="s">
        <v>1311</v>
      </c>
      <c r="I421" s="21" t="s">
        <v>140</v>
      </c>
      <c r="J421" s="21"/>
      <c r="K421" s="21" t="s">
        <v>406</v>
      </c>
      <c r="L421" s="21" t="s">
        <v>1317</v>
      </c>
      <c r="M421" s="21" t="s">
        <v>62</v>
      </c>
      <c r="N421" s="21" t="s">
        <v>63</v>
      </c>
    </row>
    <row r="422" spans="1:14" ht="64.05" customHeight="1">
      <c r="A422" s="20" t="s">
        <v>1305</v>
      </c>
      <c r="B422" s="20" t="s">
        <v>22</v>
      </c>
      <c r="C422" s="20" t="s">
        <v>1149</v>
      </c>
      <c r="D422" s="20" t="s">
        <v>1150</v>
      </c>
      <c r="E422" s="20" t="s">
        <v>1318</v>
      </c>
      <c r="F422" s="20">
        <v>1</v>
      </c>
      <c r="G422" s="20" t="s">
        <v>1316</v>
      </c>
      <c r="H422" s="20" t="s">
        <v>1311</v>
      </c>
      <c r="I422" s="21" t="s">
        <v>140</v>
      </c>
      <c r="J422" s="21"/>
      <c r="K422" s="21" t="s">
        <v>406</v>
      </c>
      <c r="L422" s="21" t="s">
        <v>1317</v>
      </c>
      <c r="M422" s="21" t="s">
        <v>62</v>
      </c>
      <c r="N422" s="21" t="s">
        <v>63</v>
      </c>
    </row>
    <row r="423" spans="1:14" ht="64.05" customHeight="1">
      <c r="A423" s="20" t="s">
        <v>1305</v>
      </c>
      <c r="B423" s="20" t="s">
        <v>22</v>
      </c>
      <c r="C423" s="20" t="s">
        <v>1149</v>
      </c>
      <c r="D423" s="20" t="s">
        <v>1150</v>
      </c>
      <c r="E423" s="20" t="s">
        <v>1319</v>
      </c>
      <c r="F423" s="20">
        <v>1</v>
      </c>
      <c r="G423" s="20" t="s">
        <v>1320</v>
      </c>
      <c r="H423" s="20" t="s">
        <v>1311</v>
      </c>
      <c r="I423" s="21" t="s">
        <v>140</v>
      </c>
      <c r="J423" s="21"/>
      <c r="K423" s="21" t="s">
        <v>406</v>
      </c>
      <c r="L423" s="21" t="s">
        <v>1317</v>
      </c>
      <c r="M423" s="21" t="s">
        <v>62</v>
      </c>
      <c r="N423" s="21" t="s">
        <v>63</v>
      </c>
    </row>
    <row r="424" spans="1:14" ht="64.05" customHeight="1">
      <c r="A424" s="20" t="s">
        <v>1305</v>
      </c>
      <c r="B424" s="20" t="s">
        <v>22</v>
      </c>
      <c r="C424" s="20" t="s">
        <v>1149</v>
      </c>
      <c r="D424" s="20" t="s">
        <v>1150</v>
      </c>
      <c r="E424" s="20" t="s">
        <v>1321</v>
      </c>
      <c r="F424" s="20">
        <v>1</v>
      </c>
      <c r="G424" s="20" t="s">
        <v>1322</v>
      </c>
      <c r="H424" s="20" t="s">
        <v>1311</v>
      </c>
      <c r="I424" s="21" t="s">
        <v>140</v>
      </c>
      <c r="J424" s="21"/>
      <c r="K424" s="21" t="s">
        <v>406</v>
      </c>
      <c r="L424" s="21" t="s">
        <v>1317</v>
      </c>
      <c r="M424" s="21" t="s">
        <v>62</v>
      </c>
      <c r="N424" s="21" t="s">
        <v>63</v>
      </c>
    </row>
    <row r="425" spans="1:14" ht="64.05" customHeight="1">
      <c r="A425" s="20" t="s">
        <v>1305</v>
      </c>
      <c r="B425" s="20" t="s">
        <v>22</v>
      </c>
      <c r="C425" s="20" t="s">
        <v>1149</v>
      </c>
      <c r="D425" s="20" t="s">
        <v>1150</v>
      </c>
      <c r="E425" s="20" t="s">
        <v>1323</v>
      </c>
      <c r="F425" s="20">
        <v>1</v>
      </c>
      <c r="G425" s="20" t="s">
        <v>92</v>
      </c>
      <c r="H425" s="20"/>
      <c r="I425" s="21" t="s">
        <v>733</v>
      </c>
      <c r="J425" s="21"/>
      <c r="K425" s="21" t="s">
        <v>1324</v>
      </c>
      <c r="L425" s="21" t="s">
        <v>1325</v>
      </c>
      <c r="M425" s="21" t="s">
        <v>102</v>
      </c>
      <c r="N425" s="21"/>
    </row>
    <row r="426" spans="1:14" ht="64.05" customHeight="1">
      <c r="A426" s="20" t="s">
        <v>1305</v>
      </c>
      <c r="B426" s="20" t="s">
        <v>22</v>
      </c>
      <c r="C426" s="20" t="s">
        <v>1149</v>
      </c>
      <c r="D426" s="20" t="s">
        <v>1150</v>
      </c>
      <c r="E426" s="20" t="s">
        <v>1326</v>
      </c>
      <c r="F426" s="20">
        <v>1</v>
      </c>
      <c r="G426" s="20" t="s">
        <v>92</v>
      </c>
      <c r="H426" s="20"/>
      <c r="I426" s="21" t="s">
        <v>733</v>
      </c>
      <c r="J426" s="21"/>
      <c r="K426" s="21" t="s">
        <v>1327</v>
      </c>
      <c r="L426" s="21" t="s">
        <v>1328</v>
      </c>
      <c r="M426" s="21" t="s">
        <v>102</v>
      </c>
      <c r="N426" s="21"/>
    </row>
    <row r="427" spans="1:14" ht="64.05" customHeight="1">
      <c r="A427" s="20" t="s">
        <v>1305</v>
      </c>
      <c r="B427" s="20" t="s">
        <v>22</v>
      </c>
      <c r="C427" s="20" t="s">
        <v>1149</v>
      </c>
      <c r="D427" s="20" t="s">
        <v>1150</v>
      </c>
      <c r="E427" s="20" t="s">
        <v>1329</v>
      </c>
      <c r="F427" s="20">
        <v>1</v>
      </c>
      <c r="G427" s="20" t="s">
        <v>92</v>
      </c>
      <c r="H427" s="20"/>
      <c r="I427" s="21" t="s">
        <v>733</v>
      </c>
      <c r="J427" s="21"/>
      <c r="K427" s="21" t="s">
        <v>1327</v>
      </c>
      <c r="L427" s="21" t="s">
        <v>1328</v>
      </c>
      <c r="M427" s="21" t="s">
        <v>102</v>
      </c>
      <c r="N427" s="21"/>
    </row>
    <row r="428" spans="1:14" ht="64.05" customHeight="1">
      <c r="A428" s="20" t="s">
        <v>1305</v>
      </c>
      <c r="B428" s="20" t="s">
        <v>22</v>
      </c>
      <c r="C428" s="20" t="s">
        <v>1149</v>
      </c>
      <c r="D428" s="20" t="s">
        <v>1150</v>
      </c>
      <c r="E428" s="20" t="s">
        <v>1330</v>
      </c>
      <c r="F428" s="20">
        <v>1</v>
      </c>
      <c r="G428" s="20" t="s">
        <v>92</v>
      </c>
      <c r="H428" s="20"/>
      <c r="I428" s="21" t="s">
        <v>733</v>
      </c>
      <c r="J428" s="21"/>
      <c r="K428" s="21" t="s">
        <v>1327</v>
      </c>
      <c r="L428" s="21" t="s">
        <v>1328</v>
      </c>
      <c r="M428" s="21" t="s">
        <v>102</v>
      </c>
      <c r="N428" s="21"/>
    </row>
    <row r="429" spans="1:14" ht="64.05" customHeight="1">
      <c r="A429" s="20" t="s">
        <v>1305</v>
      </c>
      <c r="B429" s="20" t="s">
        <v>22</v>
      </c>
      <c r="C429" s="20" t="s">
        <v>370</v>
      </c>
      <c r="D429" s="20" t="s">
        <v>371</v>
      </c>
      <c r="E429" s="20" t="s">
        <v>1331</v>
      </c>
      <c r="F429" s="20">
        <v>1</v>
      </c>
      <c r="G429" s="20" t="s">
        <v>1332</v>
      </c>
      <c r="H429" s="20" t="s">
        <v>1333</v>
      </c>
      <c r="I429" s="21" t="s">
        <v>1334</v>
      </c>
      <c r="J429" s="21" t="s">
        <v>245</v>
      </c>
      <c r="K429" s="21"/>
      <c r="L429" s="21" t="s">
        <v>1335</v>
      </c>
      <c r="M429" s="21" t="s">
        <v>73</v>
      </c>
      <c r="N429" s="21"/>
    </row>
    <row r="430" spans="1:14" ht="64.05" customHeight="1">
      <c r="A430" s="20" t="s">
        <v>1305</v>
      </c>
      <c r="B430" s="20" t="s">
        <v>22</v>
      </c>
      <c r="C430" s="20" t="s">
        <v>370</v>
      </c>
      <c r="D430" s="20" t="s">
        <v>371</v>
      </c>
      <c r="E430" s="20" t="s">
        <v>1336</v>
      </c>
      <c r="F430" s="20">
        <v>1</v>
      </c>
      <c r="G430" s="20" t="s">
        <v>1332</v>
      </c>
      <c r="H430" s="20" t="s">
        <v>1333</v>
      </c>
      <c r="I430" s="21" t="s">
        <v>1334</v>
      </c>
      <c r="J430" s="21" t="s">
        <v>245</v>
      </c>
      <c r="K430" s="21"/>
      <c r="L430" s="21" t="s">
        <v>1337</v>
      </c>
      <c r="M430" s="21" t="s">
        <v>73</v>
      </c>
      <c r="N430" s="21"/>
    </row>
    <row r="431" spans="1:14" ht="64.05" customHeight="1">
      <c r="A431" s="20" t="s">
        <v>1305</v>
      </c>
      <c r="B431" s="20" t="s">
        <v>22</v>
      </c>
      <c r="C431" s="20" t="s">
        <v>370</v>
      </c>
      <c r="D431" s="20" t="s">
        <v>371</v>
      </c>
      <c r="E431" s="20" t="s">
        <v>1338</v>
      </c>
      <c r="F431" s="20">
        <v>1</v>
      </c>
      <c r="G431" s="20" t="s">
        <v>1332</v>
      </c>
      <c r="H431" s="20" t="s">
        <v>1333</v>
      </c>
      <c r="I431" s="21" t="s">
        <v>1339</v>
      </c>
      <c r="J431" s="21" t="s">
        <v>245</v>
      </c>
      <c r="K431" s="21"/>
      <c r="L431" s="21" t="s">
        <v>1340</v>
      </c>
      <c r="M431" s="21" t="s">
        <v>73</v>
      </c>
      <c r="N431" s="21"/>
    </row>
    <row r="432" spans="1:14" ht="64.05" customHeight="1">
      <c r="A432" s="20" t="s">
        <v>1305</v>
      </c>
      <c r="B432" s="20" t="s">
        <v>22</v>
      </c>
      <c r="C432" s="20" t="s">
        <v>370</v>
      </c>
      <c r="D432" s="20" t="s">
        <v>371</v>
      </c>
      <c r="E432" s="20" t="s">
        <v>1341</v>
      </c>
      <c r="F432" s="20">
        <v>1</v>
      </c>
      <c r="G432" s="20" t="s">
        <v>92</v>
      </c>
      <c r="H432" s="20"/>
      <c r="I432" s="21" t="s">
        <v>1342</v>
      </c>
      <c r="J432" s="21"/>
      <c r="K432" s="21" t="s">
        <v>274</v>
      </c>
      <c r="L432" s="21" t="s">
        <v>1343</v>
      </c>
      <c r="M432" s="21" t="s">
        <v>73</v>
      </c>
      <c r="N432" s="21"/>
    </row>
    <row r="433" spans="1:14" ht="64.05" customHeight="1">
      <c r="A433" s="20" t="s">
        <v>1305</v>
      </c>
      <c r="B433" s="20" t="s">
        <v>22</v>
      </c>
      <c r="C433" s="20" t="s">
        <v>370</v>
      </c>
      <c r="D433" s="20" t="s">
        <v>371</v>
      </c>
      <c r="E433" s="20" t="s">
        <v>1344</v>
      </c>
      <c r="F433" s="20">
        <v>1</v>
      </c>
      <c r="G433" s="20" t="s">
        <v>1345</v>
      </c>
      <c r="H433" s="20" t="s">
        <v>1346</v>
      </c>
      <c r="I433" s="21" t="s">
        <v>1347</v>
      </c>
      <c r="J433" s="21"/>
      <c r="K433" s="21" t="s">
        <v>109</v>
      </c>
      <c r="L433" s="21" t="s">
        <v>1348</v>
      </c>
      <c r="M433" s="21" t="s">
        <v>73</v>
      </c>
      <c r="N433" s="21"/>
    </row>
    <row r="434" spans="1:14" ht="64.05" customHeight="1">
      <c r="A434" s="20" t="s">
        <v>1305</v>
      </c>
      <c r="B434" s="20" t="s">
        <v>22</v>
      </c>
      <c r="C434" s="20" t="s">
        <v>370</v>
      </c>
      <c r="D434" s="20" t="s">
        <v>371</v>
      </c>
      <c r="E434" s="20" t="s">
        <v>1349</v>
      </c>
      <c r="F434" s="20">
        <v>1</v>
      </c>
      <c r="G434" s="20" t="s">
        <v>1345</v>
      </c>
      <c r="H434" s="20" t="s">
        <v>1346</v>
      </c>
      <c r="I434" s="21" t="s">
        <v>1347</v>
      </c>
      <c r="J434" s="21"/>
      <c r="K434" s="21" t="s">
        <v>109</v>
      </c>
      <c r="L434" s="21" t="s">
        <v>1348</v>
      </c>
      <c r="M434" s="21" t="s">
        <v>73</v>
      </c>
      <c r="N434" s="21"/>
    </row>
    <row r="435" spans="1:14" ht="64.05" customHeight="1">
      <c r="A435" s="20" t="s">
        <v>1305</v>
      </c>
      <c r="B435" s="20" t="s">
        <v>22</v>
      </c>
      <c r="C435" s="20" t="s">
        <v>370</v>
      </c>
      <c r="D435" s="20" t="s">
        <v>371</v>
      </c>
      <c r="E435" s="20" t="s">
        <v>1350</v>
      </c>
      <c r="F435" s="20">
        <v>1</v>
      </c>
      <c r="G435" s="20" t="s">
        <v>1345</v>
      </c>
      <c r="H435" s="20" t="s">
        <v>1346</v>
      </c>
      <c r="I435" s="21" t="s">
        <v>1347</v>
      </c>
      <c r="J435" s="21"/>
      <c r="K435" s="21" t="s">
        <v>109</v>
      </c>
      <c r="L435" s="21" t="s">
        <v>1348</v>
      </c>
      <c r="M435" s="21" t="s">
        <v>73</v>
      </c>
      <c r="N435" s="21"/>
    </row>
    <row r="436" spans="1:14" ht="64.05" customHeight="1">
      <c r="A436" s="20" t="s">
        <v>1305</v>
      </c>
      <c r="B436" s="20" t="s">
        <v>22</v>
      </c>
      <c r="C436" s="20" t="s">
        <v>370</v>
      </c>
      <c r="D436" s="20" t="s">
        <v>371</v>
      </c>
      <c r="E436" s="20" t="s">
        <v>1351</v>
      </c>
      <c r="F436" s="20">
        <v>1</v>
      </c>
      <c r="G436" s="20" t="s">
        <v>1345</v>
      </c>
      <c r="H436" s="20" t="s">
        <v>1346</v>
      </c>
      <c r="I436" s="21" t="s">
        <v>1347</v>
      </c>
      <c r="J436" s="21"/>
      <c r="K436" s="21" t="s">
        <v>109</v>
      </c>
      <c r="L436" s="21" t="s">
        <v>1348</v>
      </c>
      <c r="M436" s="21" t="s">
        <v>73</v>
      </c>
      <c r="N436" s="21"/>
    </row>
    <row r="437" spans="1:14" ht="64.05" customHeight="1">
      <c r="A437" s="20" t="s">
        <v>1305</v>
      </c>
      <c r="B437" s="20" t="s">
        <v>22</v>
      </c>
      <c r="C437" s="20" t="s">
        <v>370</v>
      </c>
      <c r="D437" s="20" t="s">
        <v>371</v>
      </c>
      <c r="E437" s="20" t="s">
        <v>1352</v>
      </c>
      <c r="F437" s="20">
        <v>1</v>
      </c>
      <c r="G437" s="20" t="s">
        <v>1345</v>
      </c>
      <c r="H437" s="20" t="s">
        <v>1346</v>
      </c>
      <c r="I437" s="21" t="s">
        <v>1353</v>
      </c>
      <c r="J437" s="21"/>
      <c r="K437" s="21" t="s">
        <v>109</v>
      </c>
      <c r="L437" s="21" t="s">
        <v>1348</v>
      </c>
      <c r="M437" s="21" t="s">
        <v>73</v>
      </c>
      <c r="N437" s="21"/>
    </row>
    <row r="438" spans="1:14" ht="64.05" customHeight="1">
      <c r="A438" s="20" t="s">
        <v>1305</v>
      </c>
      <c r="B438" s="20" t="s">
        <v>22</v>
      </c>
      <c r="C438" s="20" t="s">
        <v>370</v>
      </c>
      <c r="D438" s="20" t="s">
        <v>371</v>
      </c>
      <c r="E438" s="20" t="s">
        <v>1354</v>
      </c>
      <c r="F438" s="20">
        <v>1</v>
      </c>
      <c r="G438" s="20" t="s">
        <v>1345</v>
      </c>
      <c r="H438" s="20" t="s">
        <v>1346</v>
      </c>
      <c r="I438" s="21" t="s">
        <v>1347</v>
      </c>
      <c r="J438" s="21"/>
      <c r="K438" s="21" t="s">
        <v>109</v>
      </c>
      <c r="L438" s="21" t="s">
        <v>1348</v>
      </c>
      <c r="M438" s="21" t="s">
        <v>73</v>
      </c>
      <c r="N438" s="21"/>
    </row>
    <row r="439" spans="1:14" ht="64.05" customHeight="1">
      <c r="A439" s="20" t="s">
        <v>1305</v>
      </c>
      <c r="B439" s="20" t="s">
        <v>22</v>
      </c>
      <c r="C439" s="20" t="s">
        <v>370</v>
      </c>
      <c r="D439" s="20" t="s">
        <v>371</v>
      </c>
      <c r="E439" s="20" t="s">
        <v>1355</v>
      </c>
      <c r="F439" s="20">
        <v>1</v>
      </c>
      <c r="G439" s="20" t="s">
        <v>92</v>
      </c>
      <c r="H439" s="20"/>
      <c r="I439" s="21" t="s">
        <v>1356</v>
      </c>
      <c r="J439" s="21"/>
      <c r="K439" s="21" t="s">
        <v>109</v>
      </c>
      <c r="L439" s="21" t="s">
        <v>1357</v>
      </c>
      <c r="M439" s="21" t="s">
        <v>73</v>
      </c>
      <c r="N439" s="21"/>
    </row>
    <row r="440" spans="1:14" ht="64.05" customHeight="1">
      <c r="A440" s="20" t="s">
        <v>1305</v>
      </c>
      <c r="B440" s="20" t="s">
        <v>22</v>
      </c>
      <c r="C440" s="20" t="s">
        <v>370</v>
      </c>
      <c r="D440" s="20" t="s">
        <v>371</v>
      </c>
      <c r="E440" s="20" t="s">
        <v>1358</v>
      </c>
      <c r="F440" s="20">
        <v>1</v>
      </c>
      <c r="G440" s="20" t="s">
        <v>1332</v>
      </c>
      <c r="H440" s="20" t="s">
        <v>1333</v>
      </c>
      <c r="I440" s="21" t="s">
        <v>1359</v>
      </c>
      <c r="J440" s="21"/>
      <c r="K440" s="21" t="s">
        <v>109</v>
      </c>
      <c r="L440" s="21" t="s">
        <v>1360</v>
      </c>
      <c r="M440" s="21" t="s">
        <v>73</v>
      </c>
      <c r="N440" s="21"/>
    </row>
    <row r="441" spans="1:14" ht="64.05" customHeight="1">
      <c r="A441" s="20" t="s">
        <v>1305</v>
      </c>
      <c r="B441" s="20" t="s">
        <v>22</v>
      </c>
      <c r="C441" s="20" t="s">
        <v>370</v>
      </c>
      <c r="D441" s="20" t="s">
        <v>371</v>
      </c>
      <c r="E441" s="20" t="s">
        <v>1361</v>
      </c>
      <c r="F441" s="20">
        <v>1</v>
      </c>
      <c r="G441" s="20" t="s">
        <v>92</v>
      </c>
      <c r="H441" s="20"/>
      <c r="I441" s="21" t="s">
        <v>1362</v>
      </c>
      <c r="J441" s="21"/>
      <c r="K441" s="21" t="s">
        <v>866</v>
      </c>
      <c r="L441" s="21" t="s">
        <v>1363</v>
      </c>
      <c r="M441" s="21" t="s">
        <v>73</v>
      </c>
      <c r="N441" s="21"/>
    </row>
    <row r="442" spans="1:14" ht="64.05" customHeight="1">
      <c r="A442" s="20" t="s">
        <v>1305</v>
      </c>
      <c r="B442" s="20" t="s">
        <v>22</v>
      </c>
      <c r="C442" s="20" t="s">
        <v>370</v>
      </c>
      <c r="D442" s="20" t="s">
        <v>371</v>
      </c>
      <c r="E442" s="20" t="s">
        <v>1364</v>
      </c>
      <c r="F442" s="20">
        <v>1</v>
      </c>
      <c r="G442" s="20" t="s">
        <v>92</v>
      </c>
      <c r="H442" s="20"/>
      <c r="I442" s="21" t="s">
        <v>140</v>
      </c>
      <c r="J442" s="21" t="s">
        <v>99</v>
      </c>
      <c r="K442" s="21"/>
      <c r="L442" s="21" t="s">
        <v>1365</v>
      </c>
      <c r="M442" s="21" t="s">
        <v>73</v>
      </c>
      <c r="N442" s="21"/>
    </row>
    <row r="443" spans="1:14" ht="64.05" customHeight="1">
      <c r="A443" s="20" t="s">
        <v>1305</v>
      </c>
      <c r="B443" s="20" t="s">
        <v>23</v>
      </c>
      <c r="C443" s="20" t="s">
        <v>103</v>
      </c>
      <c r="D443" s="20" t="s">
        <v>104</v>
      </c>
      <c r="E443" s="20" t="s">
        <v>1366</v>
      </c>
      <c r="F443" s="20">
        <v>1</v>
      </c>
      <c r="G443" s="20"/>
      <c r="H443" s="20"/>
      <c r="I443" s="21" t="s">
        <v>1367</v>
      </c>
      <c r="J443" s="21"/>
      <c r="K443" s="21" t="s">
        <v>109</v>
      </c>
      <c r="L443" s="21" t="s">
        <v>1368</v>
      </c>
      <c r="M443" s="21" t="s">
        <v>73</v>
      </c>
      <c r="N443" s="21"/>
    </row>
    <row r="444" spans="1:14" ht="64.05" customHeight="1">
      <c r="A444" s="20" t="s">
        <v>1305</v>
      </c>
      <c r="B444" s="20" t="s">
        <v>23</v>
      </c>
      <c r="C444" s="20" t="s">
        <v>103</v>
      </c>
      <c r="D444" s="20" t="s">
        <v>104</v>
      </c>
      <c r="E444" s="20" t="s">
        <v>1369</v>
      </c>
      <c r="F444" s="20">
        <v>1</v>
      </c>
      <c r="G444" s="20"/>
      <c r="H444" s="20"/>
      <c r="I444" s="21" t="s">
        <v>1370</v>
      </c>
      <c r="J444" s="21" t="s">
        <v>446</v>
      </c>
      <c r="K444" s="21" t="s">
        <v>1371</v>
      </c>
      <c r="L444" s="21" t="s">
        <v>1372</v>
      </c>
      <c r="M444" s="21" t="s">
        <v>102</v>
      </c>
      <c r="N444" s="21"/>
    </row>
    <row r="445" spans="1:14" ht="64.05" customHeight="1">
      <c r="A445" s="20" t="s">
        <v>1305</v>
      </c>
      <c r="B445" s="20" t="s">
        <v>25</v>
      </c>
      <c r="C445" s="20" t="s">
        <v>115</v>
      </c>
      <c r="D445" s="20" t="s">
        <v>116</v>
      </c>
      <c r="E445" s="20" t="s">
        <v>1373</v>
      </c>
      <c r="F445" s="20">
        <v>1</v>
      </c>
      <c r="G445" s="20" t="s">
        <v>411</v>
      </c>
      <c r="H445" s="20" t="s">
        <v>409</v>
      </c>
      <c r="I445" s="21" t="s">
        <v>1374</v>
      </c>
      <c r="J445" s="21"/>
      <c r="K445" s="21" t="s">
        <v>109</v>
      </c>
      <c r="L445" s="21" t="s">
        <v>1375</v>
      </c>
      <c r="M445" s="21" t="s">
        <v>73</v>
      </c>
      <c r="N445" s="21"/>
    </row>
    <row r="446" spans="1:14" ht="64.05" customHeight="1">
      <c r="A446" s="20" t="s">
        <v>1305</v>
      </c>
      <c r="B446" s="20" t="s">
        <v>25</v>
      </c>
      <c r="C446" s="20" t="s">
        <v>115</v>
      </c>
      <c r="D446" s="20" t="s">
        <v>116</v>
      </c>
      <c r="E446" s="20" t="s">
        <v>1376</v>
      </c>
      <c r="F446" s="20">
        <v>1</v>
      </c>
      <c r="G446" s="20" t="s">
        <v>411</v>
      </c>
      <c r="H446" s="20" t="s">
        <v>409</v>
      </c>
      <c r="I446" s="21" t="s">
        <v>1377</v>
      </c>
      <c r="J446" s="21"/>
      <c r="K446" s="21" t="s">
        <v>109</v>
      </c>
      <c r="L446" s="21" t="s">
        <v>1378</v>
      </c>
      <c r="M446" s="21" t="s">
        <v>73</v>
      </c>
      <c r="N446" s="21"/>
    </row>
    <row r="447" spans="1:14" ht="64.05" customHeight="1">
      <c r="A447" s="20" t="s">
        <v>1305</v>
      </c>
      <c r="B447" s="20" t="s">
        <v>25</v>
      </c>
      <c r="C447" s="20" t="s">
        <v>115</v>
      </c>
      <c r="D447" s="20" t="s">
        <v>116</v>
      </c>
      <c r="E447" s="20" t="s">
        <v>1379</v>
      </c>
      <c r="F447" s="20">
        <v>1</v>
      </c>
      <c r="G447" s="20" t="s">
        <v>411</v>
      </c>
      <c r="H447" s="20" t="s">
        <v>409</v>
      </c>
      <c r="I447" s="21" t="s">
        <v>1380</v>
      </c>
      <c r="J447" s="21"/>
      <c r="K447" s="21" t="s">
        <v>109</v>
      </c>
      <c r="L447" s="21" t="s">
        <v>1381</v>
      </c>
      <c r="M447" s="21" t="s">
        <v>73</v>
      </c>
      <c r="N447" s="21"/>
    </row>
    <row r="448" spans="1:14" ht="64.05" customHeight="1">
      <c r="A448" s="20" t="s">
        <v>1305</v>
      </c>
      <c r="B448" s="20" t="s">
        <v>25</v>
      </c>
      <c r="C448" s="20" t="s">
        <v>115</v>
      </c>
      <c r="D448" s="20" t="s">
        <v>116</v>
      </c>
      <c r="E448" s="20" t="s">
        <v>1382</v>
      </c>
      <c r="F448" s="20">
        <v>1</v>
      </c>
      <c r="G448" s="20" t="s">
        <v>411</v>
      </c>
      <c r="H448" s="20" t="s">
        <v>409</v>
      </c>
      <c r="I448" s="21" t="s">
        <v>1383</v>
      </c>
      <c r="J448" s="21"/>
      <c r="K448" s="21" t="s">
        <v>109</v>
      </c>
      <c r="L448" s="21" t="s">
        <v>1384</v>
      </c>
      <c r="M448" s="21" t="s">
        <v>73</v>
      </c>
      <c r="N448" s="21"/>
    </row>
    <row r="449" spans="1:14" ht="64.05" customHeight="1">
      <c r="A449" s="20" t="s">
        <v>1305</v>
      </c>
      <c r="B449" s="20" t="s">
        <v>25</v>
      </c>
      <c r="C449" s="20" t="s">
        <v>115</v>
      </c>
      <c r="D449" s="20" t="s">
        <v>116</v>
      </c>
      <c r="E449" s="20" t="s">
        <v>1385</v>
      </c>
      <c r="F449" s="20">
        <v>1</v>
      </c>
      <c r="G449" s="20" t="s">
        <v>411</v>
      </c>
      <c r="H449" s="20" t="s">
        <v>409</v>
      </c>
      <c r="I449" s="21" t="s">
        <v>1386</v>
      </c>
      <c r="J449" s="21"/>
      <c r="K449" s="21" t="s">
        <v>109</v>
      </c>
      <c r="L449" s="21" t="s">
        <v>1387</v>
      </c>
      <c r="M449" s="21" t="s">
        <v>73</v>
      </c>
      <c r="N449" s="21"/>
    </row>
    <row r="450" spans="1:14" ht="64.05" customHeight="1">
      <c r="A450" s="20" t="s">
        <v>1305</v>
      </c>
      <c r="B450" s="20" t="s">
        <v>25</v>
      </c>
      <c r="C450" s="20" t="s">
        <v>115</v>
      </c>
      <c r="D450" s="20" t="s">
        <v>116</v>
      </c>
      <c r="E450" s="20" t="s">
        <v>1388</v>
      </c>
      <c r="F450" s="20">
        <v>1</v>
      </c>
      <c r="G450" s="20" t="s">
        <v>92</v>
      </c>
      <c r="H450" s="20"/>
      <c r="I450" s="21" t="s">
        <v>1389</v>
      </c>
      <c r="J450" s="21"/>
      <c r="K450" s="21" t="s">
        <v>109</v>
      </c>
      <c r="L450" s="21" t="s">
        <v>1390</v>
      </c>
      <c r="M450" s="21" t="s">
        <v>102</v>
      </c>
      <c r="N450" s="21"/>
    </row>
    <row r="451" spans="1:14" ht="64.05" customHeight="1">
      <c r="A451" s="20" t="s">
        <v>1305</v>
      </c>
      <c r="B451" s="20" t="s">
        <v>25</v>
      </c>
      <c r="C451" s="20" t="s">
        <v>115</v>
      </c>
      <c r="D451" s="20" t="s">
        <v>116</v>
      </c>
      <c r="E451" s="20" t="s">
        <v>1391</v>
      </c>
      <c r="F451" s="20">
        <v>1</v>
      </c>
      <c r="G451" s="20" t="s">
        <v>92</v>
      </c>
      <c r="H451" s="20"/>
      <c r="I451" s="21" t="s">
        <v>1392</v>
      </c>
      <c r="J451" s="21"/>
      <c r="K451" s="21" t="s">
        <v>109</v>
      </c>
      <c r="L451" s="21" t="s">
        <v>1390</v>
      </c>
      <c r="M451" s="21" t="s">
        <v>102</v>
      </c>
      <c r="N451" s="21"/>
    </row>
    <row r="452" spans="1:14" ht="64.05" customHeight="1">
      <c r="A452" s="20" t="s">
        <v>1305</v>
      </c>
      <c r="B452" s="20" t="s">
        <v>25</v>
      </c>
      <c r="C452" s="20" t="s">
        <v>115</v>
      </c>
      <c r="D452" s="20" t="s">
        <v>116</v>
      </c>
      <c r="E452" s="20" t="s">
        <v>1393</v>
      </c>
      <c r="F452" s="20">
        <v>1</v>
      </c>
      <c r="G452" s="20" t="s">
        <v>92</v>
      </c>
      <c r="H452" s="20"/>
      <c r="I452" s="21" t="s">
        <v>1394</v>
      </c>
      <c r="J452" s="21"/>
      <c r="K452" s="21" t="s">
        <v>109</v>
      </c>
      <c r="L452" s="21" t="s">
        <v>1390</v>
      </c>
      <c r="M452" s="21" t="s">
        <v>102</v>
      </c>
      <c r="N452" s="21"/>
    </row>
    <row r="453" spans="1:14" ht="64.05" customHeight="1">
      <c r="A453" s="20" t="s">
        <v>1305</v>
      </c>
      <c r="B453" s="20" t="s">
        <v>24</v>
      </c>
      <c r="C453" s="20" t="s">
        <v>426</v>
      </c>
      <c r="D453" s="20" t="s">
        <v>427</v>
      </c>
      <c r="E453" s="20" t="s">
        <v>1395</v>
      </c>
      <c r="F453" s="20">
        <v>1</v>
      </c>
      <c r="G453" s="20" t="s">
        <v>1396</v>
      </c>
      <c r="H453" s="20" t="s">
        <v>1397</v>
      </c>
      <c r="I453" s="21" t="s">
        <v>733</v>
      </c>
      <c r="J453" s="21"/>
      <c r="K453" s="21" t="s">
        <v>1398</v>
      </c>
      <c r="L453" s="21" t="s">
        <v>1399</v>
      </c>
      <c r="M453" s="21" t="s">
        <v>62</v>
      </c>
      <c r="N453" s="21" t="s">
        <v>130</v>
      </c>
    </row>
    <row r="454" spans="1:14" ht="64.05" customHeight="1">
      <c r="A454" s="20" t="s">
        <v>1305</v>
      </c>
      <c r="B454" s="20" t="s">
        <v>24</v>
      </c>
      <c r="C454" s="20" t="s">
        <v>426</v>
      </c>
      <c r="D454" s="20" t="s">
        <v>427</v>
      </c>
      <c r="E454" s="20" t="s">
        <v>1400</v>
      </c>
      <c r="F454" s="20">
        <v>1</v>
      </c>
      <c r="G454" s="20" t="s">
        <v>1396</v>
      </c>
      <c r="H454" s="20" t="s">
        <v>1397</v>
      </c>
      <c r="I454" s="21" t="s">
        <v>733</v>
      </c>
      <c r="J454" s="21"/>
      <c r="K454" s="21" t="s">
        <v>1398</v>
      </c>
      <c r="L454" s="21" t="s">
        <v>1401</v>
      </c>
      <c r="M454" s="21" t="s">
        <v>62</v>
      </c>
      <c r="N454" s="21" t="s">
        <v>712</v>
      </c>
    </row>
    <row r="455" spans="1:14" ht="64.05" customHeight="1">
      <c r="A455" s="20" t="s">
        <v>1305</v>
      </c>
      <c r="B455" s="20" t="s">
        <v>24</v>
      </c>
      <c r="C455" s="20" t="s">
        <v>426</v>
      </c>
      <c r="D455" s="20" t="s">
        <v>427</v>
      </c>
      <c r="E455" s="20" t="s">
        <v>1402</v>
      </c>
      <c r="F455" s="20">
        <v>1</v>
      </c>
      <c r="G455" s="20" t="s">
        <v>1396</v>
      </c>
      <c r="H455" s="20" t="s">
        <v>1397</v>
      </c>
      <c r="I455" s="21" t="s">
        <v>733</v>
      </c>
      <c r="J455" s="21"/>
      <c r="K455" s="21" t="s">
        <v>1398</v>
      </c>
      <c r="L455" s="21" t="s">
        <v>1403</v>
      </c>
      <c r="M455" s="21" t="s">
        <v>62</v>
      </c>
      <c r="N455" s="21" t="s">
        <v>712</v>
      </c>
    </row>
    <row r="456" spans="1:14" ht="64.05" customHeight="1">
      <c r="A456" s="20" t="s">
        <v>1305</v>
      </c>
      <c r="B456" s="20" t="s">
        <v>24</v>
      </c>
      <c r="C456" s="20" t="s">
        <v>426</v>
      </c>
      <c r="D456" s="20" t="s">
        <v>427</v>
      </c>
      <c r="E456" s="20" t="s">
        <v>1404</v>
      </c>
      <c r="F456" s="20">
        <v>1</v>
      </c>
      <c r="G456" s="20" t="s">
        <v>92</v>
      </c>
      <c r="H456" s="20"/>
      <c r="I456" s="21" t="s">
        <v>1405</v>
      </c>
      <c r="J456" s="21" t="s">
        <v>446</v>
      </c>
      <c r="K456" s="21" t="s">
        <v>109</v>
      </c>
      <c r="L456" s="21" t="s">
        <v>1406</v>
      </c>
      <c r="M456" s="21" t="s">
        <v>102</v>
      </c>
      <c r="N456" s="21"/>
    </row>
    <row r="457" spans="1:14" ht="64.05" customHeight="1">
      <c r="A457" s="20" t="s">
        <v>1305</v>
      </c>
      <c r="B457" s="20" t="s">
        <v>24</v>
      </c>
      <c r="C457" s="20" t="s">
        <v>436</v>
      </c>
      <c r="D457" s="20" t="s">
        <v>437</v>
      </c>
      <c r="E457" s="20" t="s">
        <v>1407</v>
      </c>
      <c r="F457" s="20">
        <v>1</v>
      </c>
      <c r="G457" s="20" t="s">
        <v>58</v>
      </c>
      <c r="H457" s="20"/>
      <c r="I457" s="21" t="s">
        <v>1408</v>
      </c>
      <c r="J457" s="21"/>
      <c r="K457" s="21" t="s">
        <v>1409</v>
      </c>
      <c r="L457" s="21" t="s">
        <v>1410</v>
      </c>
      <c r="M457" s="21" t="s">
        <v>102</v>
      </c>
      <c r="N457" s="21"/>
    </row>
    <row r="458" spans="1:14" ht="64.05" customHeight="1">
      <c r="A458" s="20" t="s">
        <v>1305</v>
      </c>
      <c r="B458" s="20" t="s">
        <v>24</v>
      </c>
      <c r="C458" s="20" t="s">
        <v>136</v>
      </c>
      <c r="D458" s="20" t="s">
        <v>674</v>
      </c>
      <c r="E458" s="20" t="s">
        <v>1411</v>
      </c>
      <c r="F458" s="20">
        <v>1</v>
      </c>
      <c r="G458" s="20" t="s">
        <v>92</v>
      </c>
      <c r="H458" s="20"/>
      <c r="I458" s="21" t="s">
        <v>140</v>
      </c>
      <c r="J458" s="21" t="s">
        <v>99</v>
      </c>
      <c r="K458" s="21" t="s">
        <v>109</v>
      </c>
      <c r="L458" s="21" t="s">
        <v>1412</v>
      </c>
      <c r="M458" s="21" t="s">
        <v>102</v>
      </c>
      <c r="N458" s="21"/>
    </row>
    <row r="459" spans="1:14" ht="64.05" customHeight="1">
      <c r="A459" s="20" t="s">
        <v>1305</v>
      </c>
      <c r="B459" s="20" t="s">
        <v>24</v>
      </c>
      <c r="C459" s="20" t="s">
        <v>443</v>
      </c>
      <c r="D459" s="20" t="s">
        <v>444</v>
      </c>
      <c r="E459" s="20" t="s">
        <v>1413</v>
      </c>
      <c r="F459" s="20">
        <v>1</v>
      </c>
      <c r="G459" s="20" t="s">
        <v>139</v>
      </c>
      <c r="H459" s="20"/>
      <c r="I459" s="21" t="s">
        <v>140</v>
      </c>
      <c r="J459" s="21"/>
      <c r="K459" s="21" t="s">
        <v>1414</v>
      </c>
      <c r="L459" s="21" t="s">
        <v>1415</v>
      </c>
      <c r="M459" s="21" t="s">
        <v>62</v>
      </c>
      <c r="N459" s="21" t="s">
        <v>63</v>
      </c>
    </row>
    <row r="460" spans="1:14" ht="64.05" customHeight="1">
      <c r="A460" s="20" t="s">
        <v>1305</v>
      </c>
      <c r="B460" s="20" t="s">
        <v>28</v>
      </c>
      <c r="C460" s="20" t="s">
        <v>167</v>
      </c>
      <c r="D460" s="20" t="s">
        <v>168</v>
      </c>
      <c r="E460" s="20" t="s">
        <v>1416</v>
      </c>
      <c r="F460" s="20">
        <v>1</v>
      </c>
      <c r="G460" s="20" t="s">
        <v>1066</v>
      </c>
      <c r="H460" s="20" t="s">
        <v>694</v>
      </c>
      <c r="I460" s="21" t="s">
        <v>406</v>
      </c>
      <c r="J460" s="21"/>
      <c r="K460" s="21" t="s">
        <v>1417</v>
      </c>
      <c r="L460" s="21" t="s">
        <v>1418</v>
      </c>
      <c r="M460" s="21" t="s">
        <v>62</v>
      </c>
      <c r="N460" s="21" t="s">
        <v>130</v>
      </c>
    </row>
    <row r="461" spans="1:14" ht="64.05" customHeight="1">
      <c r="A461" s="20" t="s">
        <v>1305</v>
      </c>
      <c r="B461" s="20" t="s">
        <v>30</v>
      </c>
      <c r="C461" s="20" t="s">
        <v>180</v>
      </c>
      <c r="D461" s="20" t="s">
        <v>1419</v>
      </c>
      <c r="E461" s="20" t="s">
        <v>1420</v>
      </c>
      <c r="F461" s="20">
        <v>1</v>
      </c>
      <c r="G461" s="20" t="s">
        <v>659</v>
      </c>
      <c r="H461" s="20" t="s">
        <v>1421</v>
      </c>
      <c r="I461" s="21" t="s">
        <v>1422</v>
      </c>
      <c r="J461" s="21"/>
      <c r="K461" s="21" t="s">
        <v>1423</v>
      </c>
      <c r="L461" s="21" t="s">
        <v>1424</v>
      </c>
      <c r="M461" s="21" t="s">
        <v>73</v>
      </c>
      <c r="N461" s="21"/>
    </row>
    <row r="462" spans="1:14" ht="64.05" customHeight="1">
      <c r="A462" s="20" t="s">
        <v>1305</v>
      </c>
      <c r="B462" s="20" t="s">
        <v>30</v>
      </c>
      <c r="C462" s="20" t="s">
        <v>180</v>
      </c>
      <c r="D462" s="20" t="s">
        <v>1419</v>
      </c>
      <c r="E462" s="20" t="s">
        <v>1425</v>
      </c>
      <c r="F462" s="20">
        <v>1</v>
      </c>
      <c r="G462" s="20" t="s">
        <v>659</v>
      </c>
      <c r="H462" s="20" t="s">
        <v>1421</v>
      </c>
      <c r="I462" s="21" t="s">
        <v>1422</v>
      </c>
      <c r="J462" s="21"/>
      <c r="K462" s="21" t="s">
        <v>1423</v>
      </c>
      <c r="L462" s="21" t="s">
        <v>1424</v>
      </c>
      <c r="M462" s="21" t="s">
        <v>73</v>
      </c>
      <c r="N462" s="21"/>
    </row>
    <row r="463" spans="1:14" ht="64.05" customHeight="1">
      <c r="A463" s="20" t="s">
        <v>1305</v>
      </c>
      <c r="B463" s="20" t="s">
        <v>30</v>
      </c>
      <c r="C463" s="20" t="s">
        <v>180</v>
      </c>
      <c r="D463" s="20" t="s">
        <v>1419</v>
      </c>
      <c r="E463" s="20" t="s">
        <v>1426</v>
      </c>
      <c r="F463" s="20">
        <v>1</v>
      </c>
      <c r="G463" s="20" t="s">
        <v>659</v>
      </c>
      <c r="H463" s="20" t="s">
        <v>1421</v>
      </c>
      <c r="I463" s="21" t="s">
        <v>1422</v>
      </c>
      <c r="J463" s="21"/>
      <c r="K463" s="21" t="s">
        <v>1423</v>
      </c>
      <c r="L463" s="21" t="s">
        <v>1424</v>
      </c>
      <c r="M463" s="21" t="s">
        <v>73</v>
      </c>
      <c r="N463" s="21"/>
    </row>
    <row r="464" spans="1:14" ht="64.05" customHeight="1">
      <c r="A464" s="20" t="s">
        <v>1305</v>
      </c>
      <c r="B464" s="20" t="s">
        <v>30</v>
      </c>
      <c r="C464" s="20" t="s">
        <v>180</v>
      </c>
      <c r="D464" s="20" t="s">
        <v>1419</v>
      </c>
      <c r="E464" s="20" t="s">
        <v>1427</v>
      </c>
      <c r="F464" s="20">
        <v>1</v>
      </c>
      <c r="G464" s="20" t="s">
        <v>702</v>
      </c>
      <c r="H464" s="20" t="s">
        <v>944</v>
      </c>
      <c r="I464" s="21" t="s">
        <v>1422</v>
      </c>
      <c r="J464" s="21"/>
      <c r="K464" s="21" t="s">
        <v>1423</v>
      </c>
      <c r="L464" s="21" t="s">
        <v>1424</v>
      </c>
      <c r="M464" s="21" t="s">
        <v>73</v>
      </c>
      <c r="N464" s="21"/>
    </row>
    <row r="465" spans="1:14" ht="64.05" customHeight="1">
      <c r="A465" s="20" t="s">
        <v>1305</v>
      </c>
      <c r="B465" s="20" t="s">
        <v>30</v>
      </c>
      <c r="C465" s="20" t="s">
        <v>180</v>
      </c>
      <c r="D465" s="20" t="s">
        <v>1419</v>
      </c>
      <c r="E465" s="20" t="s">
        <v>1428</v>
      </c>
      <c r="F465" s="20">
        <v>1</v>
      </c>
      <c r="G465" s="20" t="s">
        <v>702</v>
      </c>
      <c r="H465" s="20" t="s">
        <v>944</v>
      </c>
      <c r="I465" s="21" t="s">
        <v>1422</v>
      </c>
      <c r="J465" s="21"/>
      <c r="K465" s="21" t="s">
        <v>1423</v>
      </c>
      <c r="L465" s="21" t="s">
        <v>1424</v>
      </c>
      <c r="M465" s="21" t="s">
        <v>73</v>
      </c>
      <c r="N465" s="21"/>
    </row>
    <row r="466" spans="1:14" ht="64.05" customHeight="1">
      <c r="A466" s="20" t="s">
        <v>1305</v>
      </c>
      <c r="B466" s="20" t="s">
        <v>30</v>
      </c>
      <c r="C466" s="20" t="s">
        <v>180</v>
      </c>
      <c r="D466" s="20" t="s">
        <v>1419</v>
      </c>
      <c r="E466" s="20" t="s">
        <v>1429</v>
      </c>
      <c r="F466" s="20">
        <v>1</v>
      </c>
      <c r="G466" s="20" t="s">
        <v>702</v>
      </c>
      <c r="H466" s="20" t="s">
        <v>944</v>
      </c>
      <c r="I466" s="21" t="s">
        <v>1422</v>
      </c>
      <c r="J466" s="21"/>
      <c r="K466" s="21" t="s">
        <v>1423</v>
      </c>
      <c r="L466" s="21" t="s">
        <v>1424</v>
      </c>
      <c r="M466" s="21" t="s">
        <v>73</v>
      </c>
      <c r="N466" s="21"/>
    </row>
    <row r="467" spans="1:14" ht="64.05" customHeight="1">
      <c r="A467" s="20" t="s">
        <v>1305</v>
      </c>
      <c r="B467" s="20" t="s">
        <v>30</v>
      </c>
      <c r="C467" s="20" t="s">
        <v>188</v>
      </c>
      <c r="D467" s="20" t="s">
        <v>189</v>
      </c>
      <c r="E467" s="20" t="s">
        <v>1430</v>
      </c>
      <c r="F467" s="20">
        <v>1</v>
      </c>
      <c r="G467" s="20" t="s">
        <v>1431</v>
      </c>
      <c r="H467" s="20" t="s">
        <v>1421</v>
      </c>
      <c r="I467" s="21" t="s">
        <v>1432</v>
      </c>
      <c r="J467" s="21" t="s">
        <v>245</v>
      </c>
      <c r="K467" s="21" t="s">
        <v>1433</v>
      </c>
      <c r="L467" s="21" t="s">
        <v>1434</v>
      </c>
      <c r="M467" s="21" t="s">
        <v>62</v>
      </c>
      <c r="N467" s="21" t="s">
        <v>1435</v>
      </c>
    </row>
    <row r="468" spans="1:14" ht="64.05" customHeight="1">
      <c r="A468" s="20" t="s">
        <v>1305</v>
      </c>
      <c r="B468" s="20" t="s">
        <v>30</v>
      </c>
      <c r="C468" s="20" t="s">
        <v>188</v>
      </c>
      <c r="D468" s="20" t="s">
        <v>189</v>
      </c>
      <c r="E468" s="20" t="s">
        <v>1436</v>
      </c>
      <c r="F468" s="20">
        <v>1</v>
      </c>
      <c r="G468" s="20" t="s">
        <v>1431</v>
      </c>
      <c r="H468" s="20" t="s">
        <v>1421</v>
      </c>
      <c r="I468" s="21" t="s">
        <v>1437</v>
      </c>
      <c r="J468" s="21" t="s">
        <v>245</v>
      </c>
      <c r="K468" s="21" t="s">
        <v>109</v>
      </c>
      <c r="L468" s="21" t="s">
        <v>1438</v>
      </c>
      <c r="M468" s="21" t="s">
        <v>102</v>
      </c>
      <c r="N468" s="21"/>
    </row>
    <row r="469" spans="1:14" ht="64.05" customHeight="1">
      <c r="A469" s="20" t="s">
        <v>1305</v>
      </c>
      <c r="B469" s="20" t="s">
        <v>30</v>
      </c>
      <c r="C469" s="20" t="s">
        <v>188</v>
      </c>
      <c r="D469" s="20" t="s">
        <v>189</v>
      </c>
      <c r="E469" s="20" t="s">
        <v>1439</v>
      </c>
      <c r="F469" s="20">
        <v>1</v>
      </c>
      <c r="G469" s="20" t="s">
        <v>1431</v>
      </c>
      <c r="H469" s="20" t="s">
        <v>1421</v>
      </c>
      <c r="I469" s="21" t="s">
        <v>1440</v>
      </c>
      <c r="J469" s="21" t="s">
        <v>245</v>
      </c>
      <c r="K469" s="21" t="s">
        <v>109</v>
      </c>
      <c r="L469" s="21" t="s">
        <v>1441</v>
      </c>
      <c r="M469" s="21" t="s">
        <v>62</v>
      </c>
      <c r="N469" s="21" t="s">
        <v>1435</v>
      </c>
    </row>
    <row r="470" spans="1:14" ht="64.05" customHeight="1">
      <c r="A470" s="20" t="s">
        <v>1305</v>
      </c>
      <c r="B470" s="20" t="s">
        <v>30</v>
      </c>
      <c r="C470" s="20" t="s">
        <v>188</v>
      </c>
      <c r="D470" s="20" t="s">
        <v>189</v>
      </c>
      <c r="E470" s="20" t="s">
        <v>1442</v>
      </c>
      <c r="F470" s="20">
        <v>1</v>
      </c>
      <c r="G470" s="20" t="s">
        <v>1236</v>
      </c>
      <c r="H470" s="20" t="s">
        <v>1443</v>
      </c>
      <c r="I470" s="21" t="s">
        <v>1444</v>
      </c>
      <c r="J470" s="21"/>
      <c r="K470" s="21" t="s">
        <v>1445</v>
      </c>
      <c r="L470" s="21" t="s">
        <v>1446</v>
      </c>
      <c r="M470" s="21" t="s">
        <v>102</v>
      </c>
      <c r="N470" s="21"/>
    </row>
    <row r="471" spans="1:14" ht="64.05" customHeight="1">
      <c r="A471" s="20" t="s">
        <v>1305</v>
      </c>
      <c r="B471" s="20" t="s">
        <v>26</v>
      </c>
      <c r="C471" s="20" t="s">
        <v>196</v>
      </c>
      <c r="D471" s="20" t="s">
        <v>197</v>
      </c>
      <c r="E471" s="20" t="s">
        <v>1447</v>
      </c>
      <c r="F471" s="20">
        <v>1</v>
      </c>
      <c r="G471" s="20" t="s">
        <v>1448</v>
      </c>
      <c r="H471" s="20" t="s">
        <v>1449</v>
      </c>
      <c r="I471" s="21" t="s">
        <v>1450</v>
      </c>
      <c r="J471" s="21"/>
      <c r="K471" s="21" t="s">
        <v>406</v>
      </c>
      <c r="L471" s="21" t="s">
        <v>1451</v>
      </c>
      <c r="M471" s="21" t="s">
        <v>73</v>
      </c>
      <c r="N471" s="21"/>
    </row>
    <row r="472" spans="1:14" ht="64.05" customHeight="1">
      <c r="A472" s="20" t="s">
        <v>1305</v>
      </c>
      <c r="B472" s="20" t="s">
        <v>26</v>
      </c>
      <c r="C472" s="20" t="s">
        <v>196</v>
      </c>
      <c r="D472" s="20" t="s">
        <v>197</v>
      </c>
      <c r="E472" s="20" t="s">
        <v>1452</v>
      </c>
      <c r="F472" s="20">
        <v>1</v>
      </c>
      <c r="G472" s="20" t="s">
        <v>1448</v>
      </c>
      <c r="H472" s="20" t="s">
        <v>1449</v>
      </c>
      <c r="I472" s="21" t="s">
        <v>1450</v>
      </c>
      <c r="J472" s="21"/>
      <c r="K472" s="21" t="s">
        <v>406</v>
      </c>
      <c r="L472" s="21" t="s">
        <v>1451</v>
      </c>
      <c r="M472" s="21" t="s">
        <v>73</v>
      </c>
      <c r="N472" s="21"/>
    </row>
    <row r="473" spans="1:14" ht="64.05" customHeight="1">
      <c r="A473" s="20" t="s">
        <v>1305</v>
      </c>
      <c r="B473" s="20" t="s">
        <v>26</v>
      </c>
      <c r="C473" s="20" t="s">
        <v>196</v>
      </c>
      <c r="D473" s="20" t="s">
        <v>197</v>
      </c>
      <c r="E473" s="20" t="s">
        <v>1453</v>
      </c>
      <c r="F473" s="20">
        <v>1</v>
      </c>
      <c r="G473" s="20" t="s">
        <v>92</v>
      </c>
      <c r="H473" s="20"/>
      <c r="I473" s="21" t="s">
        <v>1454</v>
      </c>
      <c r="J473" s="21"/>
      <c r="K473" s="21" t="s">
        <v>1455</v>
      </c>
      <c r="L473" s="21" t="s">
        <v>1456</v>
      </c>
      <c r="M473" s="21" t="s">
        <v>62</v>
      </c>
      <c r="N473" s="21" t="s">
        <v>187</v>
      </c>
    </row>
    <row r="474" spans="1:14" ht="64.05" customHeight="1">
      <c r="A474" s="20" t="s">
        <v>1305</v>
      </c>
      <c r="B474" s="20" t="s">
        <v>26</v>
      </c>
      <c r="C474" s="20" t="s">
        <v>196</v>
      </c>
      <c r="D474" s="20" t="s">
        <v>197</v>
      </c>
      <c r="E474" s="20" t="s">
        <v>1457</v>
      </c>
      <c r="F474" s="20">
        <v>1</v>
      </c>
      <c r="G474" s="20" t="s">
        <v>92</v>
      </c>
      <c r="H474" s="20"/>
      <c r="I474" s="21" t="s">
        <v>1458</v>
      </c>
      <c r="J474" s="21" t="s">
        <v>446</v>
      </c>
      <c r="K474" s="21" t="s">
        <v>1459</v>
      </c>
      <c r="L474" s="21" t="s">
        <v>1460</v>
      </c>
      <c r="M474" s="21" t="s">
        <v>102</v>
      </c>
      <c r="N474" s="21"/>
    </row>
    <row r="475" spans="1:14" ht="64.05" customHeight="1">
      <c r="A475" s="20" t="s">
        <v>1305</v>
      </c>
      <c r="B475" s="20" t="s">
        <v>26</v>
      </c>
      <c r="C475" s="20" t="s">
        <v>196</v>
      </c>
      <c r="D475" s="20" t="s">
        <v>197</v>
      </c>
      <c r="E475" s="20" t="s">
        <v>1461</v>
      </c>
      <c r="F475" s="20">
        <v>1</v>
      </c>
      <c r="G475" s="20" t="s">
        <v>92</v>
      </c>
      <c r="H475" s="20"/>
      <c r="I475" s="21" t="s">
        <v>1462</v>
      </c>
      <c r="J475" s="21" t="s">
        <v>446</v>
      </c>
      <c r="K475" s="21" t="s">
        <v>1398</v>
      </c>
      <c r="L475" s="21" t="s">
        <v>1463</v>
      </c>
      <c r="M475" s="21" t="s">
        <v>102</v>
      </c>
      <c r="N475" s="21"/>
    </row>
    <row r="476" spans="1:14" ht="64.05" customHeight="1">
      <c r="A476" s="20" t="s">
        <v>1305</v>
      </c>
      <c r="B476" s="20" t="s">
        <v>32</v>
      </c>
      <c r="C476" s="20" t="s">
        <v>200</v>
      </c>
      <c r="D476" s="20" t="s">
        <v>201</v>
      </c>
      <c r="E476" s="20" t="s">
        <v>1464</v>
      </c>
      <c r="F476" s="20">
        <v>1</v>
      </c>
      <c r="G476" s="20" t="s">
        <v>1465</v>
      </c>
      <c r="H476" s="20" t="s">
        <v>1311</v>
      </c>
      <c r="I476" s="21" t="s">
        <v>1466</v>
      </c>
      <c r="J476" s="21"/>
      <c r="K476" s="21" t="s">
        <v>1371</v>
      </c>
      <c r="L476" s="21" t="s">
        <v>1467</v>
      </c>
      <c r="M476" s="21" t="s">
        <v>62</v>
      </c>
      <c r="N476" s="21" t="s">
        <v>520</v>
      </c>
    </row>
    <row r="477" spans="1:14" ht="64.05" customHeight="1">
      <c r="A477" s="20" t="s">
        <v>1305</v>
      </c>
      <c r="B477" s="20" t="s">
        <v>32</v>
      </c>
      <c r="C477" s="20" t="s">
        <v>200</v>
      </c>
      <c r="D477" s="20" t="s">
        <v>201</v>
      </c>
      <c r="E477" s="20" t="s">
        <v>1468</v>
      </c>
      <c r="F477" s="20">
        <v>1</v>
      </c>
      <c r="G477" s="20" t="s">
        <v>1469</v>
      </c>
      <c r="H477" s="20" t="s">
        <v>1311</v>
      </c>
      <c r="I477" s="21" t="s">
        <v>1470</v>
      </c>
      <c r="J477" s="21"/>
      <c r="K477" s="21" t="s">
        <v>109</v>
      </c>
      <c r="L477" s="21" t="s">
        <v>1471</v>
      </c>
      <c r="M477" s="21" t="s">
        <v>102</v>
      </c>
      <c r="N477" s="21"/>
    </row>
    <row r="478" spans="1:14" ht="64.05" customHeight="1">
      <c r="A478" s="20" t="s">
        <v>1305</v>
      </c>
      <c r="B478" s="20" t="s">
        <v>32</v>
      </c>
      <c r="C478" s="20" t="s">
        <v>200</v>
      </c>
      <c r="D478" s="20" t="s">
        <v>201</v>
      </c>
      <c r="E478" s="20" t="s">
        <v>1472</v>
      </c>
      <c r="F478" s="20">
        <v>1</v>
      </c>
      <c r="G478" s="20" t="s">
        <v>1473</v>
      </c>
      <c r="H478" s="20" t="s">
        <v>1311</v>
      </c>
      <c r="I478" s="21" t="s">
        <v>1470</v>
      </c>
      <c r="J478" s="21"/>
      <c r="K478" s="21" t="s">
        <v>109</v>
      </c>
      <c r="L478" s="21" t="s">
        <v>1471</v>
      </c>
      <c r="M478" s="21" t="s">
        <v>102</v>
      </c>
      <c r="N478" s="21"/>
    </row>
    <row r="479" spans="1:14" ht="64.05" customHeight="1">
      <c r="A479" s="20" t="s">
        <v>1305</v>
      </c>
      <c r="B479" s="20" t="s">
        <v>29</v>
      </c>
      <c r="C479" s="20" t="s">
        <v>1084</v>
      </c>
      <c r="D479" s="20" t="s">
        <v>1085</v>
      </c>
      <c r="E479" s="20" t="s">
        <v>1474</v>
      </c>
      <c r="F479" s="20">
        <v>1</v>
      </c>
      <c r="G479" s="20" t="s">
        <v>1475</v>
      </c>
      <c r="H479" s="20" t="s">
        <v>1476</v>
      </c>
      <c r="I479" s="21" t="s">
        <v>1477</v>
      </c>
      <c r="J479" s="21"/>
      <c r="K479" s="21" t="s">
        <v>109</v>
      </c>
      <c r="L479" s="21" t="s">
        <v>1478</v>
      </c>
      <c r="M479" s="21" t="s">
        <v>73</v>
      </c>
      <c r="N479" s="21"/>
    </row>
    <row r="480" spans="1:14" ht="64.05" customHeight="1">
      <c r="A480" s="20" t="s">
        <v>1305</v>
      </c>
      <c r="B480" s="20" t="s">
        <v>29</v>
      </c>
      <c r="C480" s="20" t="s">
        <v>1084</v>
      </c>
      <c r="D480" s="20" t="s">
        <v>1085</v>
      </c>
      <c r="E480" s="20" t="s">
        <v>1479</v>
      </c>
      <c r="F480" s="20">
        <v>1</v>
      </c>
      <c r="G480" s="20" t="s">
        <v>1475</v>
      </c>
      <c r="H480" s="20" t="s">
        <v>1476</v>
      </c>
      <c r="I480" s="21" t="s">
        <v>1480</v>
      </c>
      <c r="J480" s="21" t="s">
        <v>245</v>
      </c>
      <c r="K480" s="21"/>
      <c r="L480" s="21" t="s">
        <v>1481</v>
      </c>
      <c r="M480" s="21" t="s">
        <v>73</v>
      </c>
      <c r="N480" s="21"/>
    </row>
    <row r="481" spans="1:14" ht="64.05" customHeight="1">
      <c r="A481" s="20" t="s">
        <v>1305</v>
      </c>
      <c r="B481" s="20" t="s">
        <v>29</v>
      </c>
      <c r="C481" s="20" t="s">
        <v>1084</v>
      </c>
      <c r="D481" s="20" t="s">
        <v>1085</v>
      </c>
      <c r="E481" s="20" t="s">
        <v>1482</v>
      </c>
      <c r="F481" s="20">
        <v>1</v>
      </c>
      <c r="G481" s="20" t="s">
        <v>1475</v>
      </c>
      <c r="H481" s="20" t="s">
        <v>1476</v>
      </c>
      <c r="I481" s="21" t="s">
        <v>1480</v>
      </c>
      <c r="J481" s="21" t="s">
        <v>245</v>
      </c>
      <c r="K481" s="21"/>
      <c r="L481" s="21" t="s">
        <v>1481</v>
      </c>
      <c r="M481" s="21" t="s">
        <v>73</v>
      </c>
      <c r="N481" s="21"/>
    </row>
    <row r="482" spans="1:14" ht="64.05" customHeight="1">
      <c r="A482" s="20" t="s">
        <v>1305</v>
      </c>
      <c r="B482" s="20" t="s">
        <v>29</v>
      </c>
      <c r="C482" s="20" t="s">
        <v>1084</v>
      </c>
      <c r="D482" s="20" t="s">
        <v>1085</v>
      </c>
      <c r="E482" s="20" t="s">
        <v>1483</v>
      </c>
      <c r="F482" s="20">
        <v>1</v>
      </c>
      <c r="G482" s="20" t="s">
        <v>1475</v>
      </c>
      <c r="H482" s="20" t="s">
        <v>1476</v>
      </c>
      <c r="I482" s="21" t="s">
        <v>1484</v>
      </c>
      <c r="J482" s="21"/>
      <c r="K482" s="21" t="s">
        <v>1485</v>
      </c>
      <c r="L482" s="21" t="s">
        <v>1486</v>
      </c>
      <c r="M482" s="21" t="s">
        <v>73</v>
      </c>
      <c r="N482" s="21"/>
    </row>
    <row r="483" spans="1:14" ht="64.05" customHeight="1">
      <c r="A483" s="20" t="s">
        <v>1305</v>
      </c>
      <c r="B483" s="20" t="s">
        <v>29</v>
      </c>
      <c r="C483" s="20" t="s">
        <v>1084</v>
      </c>
      <c r="D483" s="20" t="s">
        <v>1085</v>
      </c>
      <c r="E483" s="20" t="s">
        <v>1487</v>
      </c>
      <c r="F483" s="20">
        <v>1</v>
      </c>
      <c r="G483" s="20" t="s">
        <v>92</v>
      </c>
      <c r="H483" s="20"/>
      <c r="I483" s="21" t="s">
        <v>1488</v>
      </c>
      <c r="J483" s="21"/>
      <c r="K483" s="21" t="s">
        <v>1371</v>
      </c>
      <c r="L483" s="21" t="s">
        <v>1489</v>
      </c>
      <c r="M483" s="21" t="s">
        <v>62</v>
      </c>
      <c r="N483" s="21" t="s">
        <v>1490</v>
      </c>
    </row>
    <row r="484" spans="1:14" ht="64.05" customHeight="1">
      <c r="A484" s="20" t="s">
        <v>1305</v>
      </c>
      <c r="B484" s="20" t="s">
        <v>29</v>
      </c>
      <c r="C484" s="20" t="s">
        <v>1084</v>
      </c>
      <c r="D484" s="20" t="s">
        <v>1085</v>
      </c>
      <c r="E484" s="20" t="s">
        <v>1491</v>
      </c>
      <c r="F484" s="20">
        <v>1</v>
      </c>
      <c r="G484" s="20" t="s">
        <v>92</v>
      </c>
      <c r="H484" s="20"/>
      <c r="I484" s="21" t="s">
        <v>1492</v>
      </c>
      <c r="J484" s="21" t="s">
        <v>99</v>
      </c>
      <c r="K484" s="21"/>
      <c r="L484" s="21" t="s">
        <v>1493</v>
      </c>
      <c r="M484" s="21" t="s">
        <v>102</v>
      </c>
      <c r="N484" s="21"/>
    </row>
    <row r="485" spans="1:14" ht="64.05" customHeight="1">
      <c r="A485" s="20" t="s">
        <v>1305</v>
      </c>
      <c r="B485" s="20" t="s">
        <v>21</v>
      </c>
      <c r="C485" s="20" t="s">
        <v>724</v>
      </c>
      <c r="D485" s="20" t="s">
        <v>725</v>
      </c>
      <c r="E485" s="20" t="s">
        <v>1494</v>
      </c>
      <c r="F485" s="20">
        <v>1</v>
      </c>
      <c r="G485" s="20" t="s">
        <v>1495</v>
      </c>
      <c r="H485" s="20" t="s">
        <v>1496</v>
      </c>
      <c r="I485" s="21" t="s">
        <v>1497</v>
      </c>
      <c r="J485" s="21"/>
      <c r="K485" s="21" t="s">
        <v>109</v>
      </c>
      <c r="L485" s="21" t="s">
        <v>1498</v>
      </c>
      <c r="M485" s="21" t="s">
        <v>73</v>
      </c>
      <c r="N485" s="21"/>
    </row>
    <row r="486" spans="1:14" ht="64.05" customHeight="1">
      <c r="A486" s="20" t="s">
        <v>1305</v>
      </c>
      <c r="B486" s="20" t="s">
        <v>21</v>
      </c>
      <c r="C486" s="20" t="s">
        <v>724</v>
      </c>
      <c r="D486" s="20" t="s">
        <v>725</v>
      </c>
      <c r="E486" s="20" t="s">
        <v>1499</v>
      </c>
      <c r="F486" s="20">
        <v>1</v>
      </c>
      <c r="G486" s="20"/>
      <c r="H486" s="20"/>
      <c r="I486" s="21" t="s">
        <v>1500</v>
      </c>
      <c r="J486" s="21"/>
      <c r="K486" s="21" t="s">
        <v>109</v>
      </c>
      <c r="L486" s="21" t="s">
        <v>1501</v>
      </c>
      <c r="M486" s="21" t="s">
        <v>73</v>
      </c>
      <c r="N486" s="21"/>
    </row>
    <row r="487" spans="1:14" ht="64.05" customHeight="1">
      <c r="A487" s="20" t="s">
        <v>1305</v>
      </c>
      <c r="B487" s="20" t="s">
        <v>21</v>
      </c>
      <c r="C487" s="20" t="s">
        <v>724</v>
      </c>
      <c r="D487" s="20" t="s">
        <v>725</v>
      </c>
      <c r="E487" s="20" t="s">
        <v>1502</v>
      </c>
      <c r="F487" s="20">
        <v>1</v>
      </c>
      <c r="G487" s="20"/>
      <c r="H487" s="20"/>
      <c r="I487" s="21" t="s">
        <v>1500</v>
      </c>
      <c r="J487" s="21"/>
      <c r="K487" s="21" t="s">
        <v>109</v>
      </c>
      <c r="L487" s="21" t="s">
        <v>1501</v>
      </c>
      <c r="M487" s="21" t="s">
        <v>73</v>
      </c>
      <c r="N487" s="21"/>
    </row>
    <row r="488" spans="1:14" ht="64.05" customHeight="1">
      <c r="A488" s="20" t="s">
        <v>1305</v>
      </c>
      <c r="B488" s="20" t="s">
        <v>21</v>
      </c>
      <c r="C488" s="20" t="s">
        <v>215</v>
      </c>
      <c r="D488" s="20" t="s">
        <v>216</v>
      </c>
      <c r="E488" s="20" t="s">
        <v>1503</v>
      </c>
      <c r="F488" s="20">
        <v>1</v>
      </c>
      <c r="G488" s="20" t="s">
        <v>659</v>
      </c>
      <c r="H488" s="20" t="s">
        <v>1421</v>
      </c>
      <c r="I488" s="21" t="s">
        <v>1504</v>
      </c>
      <c r="J488" s="21"/>
      <c r="K488" s="21" t="s">
        <v>109</v>
      </c>
      <c r="L488" s="21" t="s">
        <v>1505</v>
      </c>
      <c r="M488" s="21" t="s">
        <v>73</v>
      </c>
      <c r="N488" s="21"/>
    </row>
    <row r="489" spans="1:14" ht="64.05" customHeight="1">
      <c r="A489" s="20" t="s">
        <v>1305</v>
      </c>
      <c r="B489" s="20" t="s">
        <v>21</v>
      </c>
      <c r="C489" s="20" t="s">
        <v>228</v>
      </c>
      <c r="D489" s="20" t="s">
        <v>229</v>
      </c>
      <c r="E489" s="20" t="s">
        <v>1506</v>
      </c>
      <c r="F489" s="20">
        <v>1</v>
      </c>
      <c r="G489" s="20" t="s">
        <v>508</v>
      </c>
      <c r="H489" s="20" t="s">
        <v>1507</v>
      </c>
      <c r="I489" s="21" t="s">
        <v>1508</v>
      </c>
      <c r="J489" s="21"/>
      <c r="K489" s="21" t="s">
        <v>1509</v>
      </c>
      <c r="L489" s="21" t="s">
        <v>1510</v>
      </c>
      <c r="M489" s="21" t="s">
        <v>73</v>
      </c>
      <c r="N489" s="21"/>
    </row>
    <row r="490" spans="1:14" ht="64.05" customHeight="1">
      <c r="A490" s="20" t="s">
        <v>1305</v>
      </c>
      <c r="B490" s="20" t="s">
        <v>21</v>
      </c>
      <c r="C490" s="20" t="s">
        <v>228</v>
      </c>
      <c r="D490" s="20" t="s">
        <v>229</v>
      </c>
      <c r="E490" s="20" t="s">
        <v>1511</v>
      </c>
      <c r="F490" s="20">
        <v>1</v>
      </c>
      <c r="G490" s="20" t="s">
        <v>1512</v>
      </c>
      <c r="H490" s="20" t="s">
        <v>301</v>
      </c>
      <c r="I490" s="21" t="s">
        <v>1513</v>
      </c>
      <c r="J490" s="21"/>
      <c r="K490" s="21" t="s">
        <v>1514</v>
      </c>
      <c r="L490" s="21" t="s">
        <v>1515</v>
      </c>
      <c r="M490" s="21" t="s">
        <v>73</v>
      </c>
      <c r="N490" s="21"/>
    </row>
    <row r="491" spans="1:14" ht="64.05" customHeight="1">
      <c r="A491" s="20" t="s">
        <v>1305</v>
      </c>
      <c r="B491" s="20" t="s">
        <v>21</v>
      </c>
      <c r="C491" s="20" t="s">
        <v>239</v>
      </c>
      <c r="D491" s="20" t="s">
        <v>147</v>
      </c>
      <c r="E491" s="20" t="s">
        <v>1516</v>
      </c>
      <c r="F491" s="20">
        <v>1</v>
      </c>
      <c r="G491" s="20" t="s">
        <v>1517</v>
      </c>
      <c r="H491" s="20" t="s">
        <v>116</v>
      </c>
      <c r="I491" s="21" t="s">
        <v>1518</v>
      </c>
      <c r="J491" s="21"/>
      <c r="K491" s="21" t="s">
        <v>109</v>
      </c>
      <c r="L491" s="21" t="s">
        <v>1519</v>
      </c>
      <c r="M491" s="21" t="s">
        <v>73</v>
      </c>
      <c r="N491" s="21"/>
    </row>
    <row r="492" spans="1:14" ht="64.05" customHeight="1">
      <c r="A492" s="20" t="s">
        <v>1305</v>
      </c>
      <c r="B492" s="20" t="s">
        <v>21</v>
      </c>
      <c r="C492" s="20" t="s">
        <v>724</v>
      </c>
      <c r="D492" s="20" t="s">
        <v>725</v>
      </c>
      <c r="E492" s="20" t="s">
        <v>1520</v>
      </c>
      <c r="F492" s="20">
        <v>1</v>
      </c>
      <c r="G492" s="20" t="s">
        <v>92</v>
      </c>
      <c r="H492" s="20"/>
      <c r="I492" s="21" t="s">
        <v>1521</v>
      </c>
      <c r="J492" s="21" t="s">
        <v>99</v>
      </c>
      <c r="K492" s="21" t="s">
        <v>109</v>
      </c>
      <c r="L492" s="21" t="s">
        <v>1522</v>
      </c>
      <c r="M492" s="21" t="s">
        <v>102</v>
      </c>
      <c r="N492" s="21"/>
    </row>
    <row r="493" spans="1:14" ht="64.05" customHeight="1">
      <c r="A493" s="20" t="s">
        <v>1305</v>
      </c>
      <c r="B493" s="20" t="s">
        <v>21</v>
      </c>
      <c r="C493" s="20" t="s">
        <v>724</v>
      </c>
      <c r="D493" s="20" t="s">
        <v>725</v>
      </c>
      <c r="E493" s="20" t="s">
        <v>1523</v>
      </c>
      <c r="F493" s="20">
        <v>1</v>
      </c>
      <c r="G493" s="20" t="s">
        <v>92</v>
      </c>
      <c r="H493" s="20"/>
      <c r="I493" s="21" t="s">
        <v>1524</v>
      </c>
      <c r="J493" s="21" t="s">
        <v>99</v>
      </c>
      <c r="K493" s="21" t="s">
        <v>109</v>
      </c>
      <c r="L493" s="21" t="s">
        <v>1522</v>
      </c>
      <c r="M493" s="21" t="s">
        <v>102</v>
      </c>
      <c r="N493" s="21"/>
    </row>
    <row r="494" spans="1:14" ht="64.05" customHeight="1">
      <c r="A494" s="20" t="s">
        <v>1305</v>
      </c>
      <c r="B494" s="20" t="s">
        <v>21</v>
      </c>
      <c r="C494" s="20" t="s">
        <v>262</v>
      </c>
      <c r="D494" s="20" t="s">
        <v>263</v>
      </c>
      <c r="E494" s="20" t="s">
        <v>1525</v>
      </c>
      <c r="F494" s="20">
        <v>1</v>
      </c>
      <c r="G494" s="20" t="s">
        <v>1526</v>
      </c>
      <c r="H494" s="20" t="s">
        <v>1527</v>
      </c>
      <c r="I494" s="21" t="s">
        <v>1528</v>
      </c>
      <c r="J494" s="21" t="s">
        <v>245</v>
      </c>
      <c r="K494" s="21"/>
      <c r="L494" s="21" t="s">
        <v>1529</v>
      </c>
      <c r="M494" s="21" t="s">
        <v>73</v>
      </c>
      <c r="N494" s="21"/>
    </row>
    <row r="495" spans="1:14" ht="64.05" customHeight="1">
      <c r="A495" s="20" t="s">
        <v>1305</v>
      </c>
      <c r="B495" s="20" t="s">
        <v>21</v>
      </c>
      <c r="C495" s="20" t="s">
        <v>215</v>
      </c>
      <c r="D495" s="20" t="s">
        <v>216</v>
      </c>
      <c r="E495" s="20" t="s">
        <v>1530</v>
      </c>
      <c r="F495" s="20">
        <v>1</v>
      </c>
      <c r="G495" s="20" t="s">
        <v>139</v>
      </c>
      <c r="H495" s="20"/>
      <c r="I495" s="21" t="s">
        <v>1531</v>
      </c>
      <c r="J495" s="21"/>
      <c r="K495" s="21" t="s">
        <v>109</v>
      </c>
      <c r="L495" s="21" t="s">
        <v>1532</v>
      </c>
      <c r="M495" s="21" t="s">
        <v>62</v>
      </c>
      <c r="N495" s="21" t="s">
        <v>63</v>
      </c>
    </row>
    <row r="496" spans="1:14" ht="64.05" customHeight="1">
      <c r="A496" s="20" t="s">
        <v>1305</v>
      </c>
      <c r="B496" s="20" t="s">
        <v>21</v>
      </c>
      <c r="C496" s="20" t="s">
        <v>262</v>
      </c>
      <c r="D496" s="20" t="s">
        <v>263</v>
      </c>
      <c r="E496" s="20" t="s">
        <v>1533</v>
      </c>
      <c r="F496" s="20">
        <v>1</v>
      </c>
      <c r="G496" s="20" t="s">
        <v>1534</v>
      </c>
      <c r="H496" s="20" t="s">
        <v>1535</v>
      </c>
      <c r="I496" s="21" t="s">
        <v>1536</v>
      </c>
      <c r="J496" s="21"/>
      <c r="K496" s="21" t="s">
        <v>78</v>
      </c>
      <c r="L496" s="21" t="s">
        <v>1537</v>
      </c>
      <c r="M496" s="21" t="s">
        <v>73</v>
      </c>
      <c r="N496" s="21"/>
    </row>
    <row r="497" spans="1:14" ht="64.05" customHeight="1">
      <c r="A497" s="20" t="s">
        <v>1305</v>
      </c>
      <c r="B497" s="20" t="s">
        <v>21</v>
      </c>
      <c r="C497" s="20" t="s">
        <v>262</v>
      </c>
      <c r="D497" s="20" t="s">
        <v>263</v>
      </c>
      <c r="E497" s="20" t="s">
        <v>1538</v>
      </c>
      <c r="F497" s="20">
        <v>1</v>
      </c>
      <c r="G497" s="20" t="s">
        <v>1534</v>
      </c>
      <c r="H497" s="20" t="s">
        <v>1535</v>
      </c>
      <c r="I497" s="21" t="s">
        <v>1539</v>
      </c>
      <c r="J497" s="21"/>
      <c r="K497" s="21" t="s">
        <v>78</v>
      </c>
      <c r="L497" s="21" t="s">
        <v>1537</v>
      </c>
      <c r="M497" s="21" t="s">
        <v>73</v>
      </c>
      <c r="N497" s="21"/>
    </row>
    <row r="498" spans="1:14" ht="64.05" customHeight="1">
      <c r="A498" s="20" t="s">
        <v>1305</v>
      </c>
      <c r="B498" s="20" t="s">
        <v>21</v>
      </c>
      <c r="C498" s="20" t="s">
        <v>270</v>
      </c>
      <c r="D498" s="20" t="s">
        <v>271</v>
      </c>
      <c r="E498" s="20" t="s">
        <v>1540</v>
      </c>
      <c r="F498" s="20">
        <v>1</v>
      </c>
      <c r="G498" s="20" t="s">
        <v>932</v>
      </c>
      <c r="H498" s="20" t="s">
        <v>1541</v>
      </c>
      <c r="I498" s="21" t="s">
        <v>1542</v>
      </c>
      <c r="J498" s="21"/>
      <c r="K498" s="21" t="s">
        <v>78</v>
      </c>
      <c r="L498" s="21" t="s">
        <v>1543</v>
      </c>
      <c r="M498" s="21" t="s">
        <v>73</v>
      </c>
      <c r="N498" s="21"/>
    </row>
    <row r="499" spans="1:14" ht="64.05" customHeight="1">
      <c r="A499" s="20" t="s">
        <v>1305</v>
      </c>
      <c r="B499" s="20" t="s">
        <v>21</v>
      </c>
      <c r="C499" s="20" t="s">
        <v>254</v>
      </c>
      <c r="D499" s="20" t="s">
        <v>255</v>
      </c>
      <c r="E499" s="20" t="s">
        <v>1544</v>
      </c>
      <c r="F499" s="20">
        <v>1</v>
      </c>
      <c r="G499" s="20" t="s">
        <v>1545</v>
      </c>
      <c r="H499" s="20" t="s">
        <v>1546</v>
      </c>
      <c r="I499" s="21" t="s">
        <v>1547</v>
      </c>
      <c r="J499" s="21"/>
      <c r="K499" s="21"/>
      <c r="L499" s="21" t="s">
        <v>1548</v>
      </c>
      <c r="M499" s="21" t="s">
        <v>73</v>
      </c>
      <c r="N499" s="21"/>
    </row>
    <row r="500" spans="1:14" ht="64.05" customHeight="1">
      <c r="A500" s="20" t="s">
        <v>1305</v>
      </c>
      <c r="B500" s="20" t="s">
        <v>21</v>
      </c>
      <c r="C500" s="20" t="s">
        <v>254</v>
      </c>
      <c r="D500" s="20" t="s">
        <v>255</v>
      </c>
      <c r="E500" s="20" t="s">
        <v>1549</v>
      </c>
      <c r="F500" s="20">
        <v>1</v>
      </c>
      <c r="G500" s="20" t="s">
        <v>1545</v>
      </c>
      <c r="H500" s="20" t="s">
        <v>1546</v>
      </c>
      <c r="I500" s="21" t="s">
        <v>1550</v>
      </c>
      <c r="J500" s="21"/>
      <c r="K500" s="21" t="s">
        <v>78</v>
      </c>
      <c r="L500" s="21" t="s">
        <v>1551</v>
      </c>
      <c r="M500" s="21" t="s">
        <v>73</v>
      </c>
      <c r="N500" s="21"/>
    </row>
    <row r="501" spans="1:14" ht="64.05" customHeight="1">
      <c r="A501" s="20" t="s">
        <v>1305</v>
      </c>
      <c r="B501" s="20" t="s">
        <v>21</v>
      </c>
      <c r="C501" s="20" t="s">
        <v>254</v>
      </c>
      <c r="D501" s="20" t="s">
        <v>255</v>
      </c>
      <c r="E501" s="20" t="s">
        <v>1552</v>
      </c>
      <c r="F501" s="20">
        <v>1</v>
      </c>
      <c r="G501" s="20" t="s">
        <v>932</v>
      </c>
      <c r="H501" s="20" t="s">
        <v>1541</v>
      </c>
      <c r="I501" s="21" t="s">
        <v>1553</v>
      </c>
      <c r="J501" s="21"/>
      <c r="K501" s="21" t="s">
        <v>78</v>
      </c>
      <c r="L501" s="21" t="s">
        <v>1543</v>
      </c>
      <c r="M501" s="21" t="s">
        <v>73</v>
      </c>
      <c r="N501" s="21"/>
    </row>
    <row r="502" spans="1:14" ht="64.05" customHeight="1">
      <c r="A502" s="20" t="s">
        <v>1305</v>
      </c>
      <c r="B502" s="20" t="s">
        <v>21</v>
      </c>
      <c r="C502" s="20" t="s">
        <v>239</v>
      </c>
      <c r="D502" s="20" t="s">
        <v>147</v>
      </c>
      <c r="E502" s="20" t="s">
        <v>1554</v>
      </c>
      <c r="F502" s="20">
        <v>1</v>
      </c>
      <c r="G502" s="20" t="s">
        <v>257</v>
      </c>
      <c r="H502" s="20" t="s">
        <v>1555</v>
      </c>
      <c r="I502" s="21" t="s">
        <v>1556</v>
      </c>
      <c r="J502" s="21"/>
      <c r="K502" s="21" t="s">
        <v>1417</v>
      </c>
      <c r="L502" s="21" t="s">
        <v>1557</v>
      </c>
      <c r="M502" s="21" t="s">
        <v>62</v>
      </c>
      <c r="N502" s="21" t="s">
        <v>130</v>
      </c>
    </row>
    <row r="503" spans="1:14" ht="64.05" customHeight="1">
      <c r="A503" s="20" t="s">
        <v>1305</v>
      </c>
      <c r="B503" s="20" t="s">
        <v>21</v>
      </c>
      <c r="C503" s="20" t="s">
        <v>262</v>
      </c>
      <c r="D503" s="20" t="s">
        <v>263</v>
      </c>
      <c r="E503" s="20" t="s">
        <v>1558</v>
      </c>
      <c r="F503" s="20">
        <v>1</v>
      </c>
      <c r="G503" s="20" t="s">
        <v>1559</v>
      </c>
      <c r="H503" s="20" t="s">
        <v>1560</v>
      </c>
      <c r="I503" s="21" t="s">
        <v>1561</v>
      </c>
      <c r="J503" s="21"/>
      <c r="K503" s="21" t="s">
        <v>1562</v>
      </c>
      <c r="L503" s="21" t="s">
        <v>1563</v>
      </c>
      <c r="M503" s="21" t="s">
        <v>62</v>
      </c>
      <c r="N503" s="21" t="s">
        <v>303</v>
      </c>
    </row>
    <row r="504" spans="1:14" ht="64.05" customHeight="1">
      <c r="A504" s="20" t="s">
        <v>1305</v>
      </c>
      <c r="B504" s="20" t="s">
        <v>21</v>
      </c>
      <c r="C504" s="20" t="s">
        <v>254</v>
      </c>
      <c r="D504" s="20" t="s">
        <v>255</v>
      </c>
      <c r="E504" s="20" t="s">
        <v>1564</v>
      </c>
      <c r="F504" s="20">
        <v>1</v>
      </c>
      <c r="G504" s="20" t="s">
        <v>1565</v>
      </c>
      <c r="H504" s="20" t="s">
        <v>1566</v>
      </c>
      <c r="I504" s="21" t="s">
        <v>140</v>
      </c>
      <c r="J504" s="21"/>
      <c r="K504" s="21" t="s">
        <v>1562</v>
      </c>
      <c r="L504" s="21" t="s">
        <v>1567</v>
      </c>
      <c r="M504" s="21" t="s">
        <v>62</v>
      </c>
      <c r="N504" s="21" t="s">
        <v>303</v>
      </c>
    </row>
    <row r="505" spans="1:14" ht="64.05" customHeight="1">
      <c r="A505" s="20" t="s">
        <v>1305</v>
      </c>
      <c r="B505" s="20" t="s">
        <v>21</v>
      </c>
      <c r="C505" s="20" t="s">
        <v>270</v>
      </c>
      <c r="D505" s="20" t="s">
        <v>271</v>
      </c>
      <c r="E505" s="20" t="s">
        <v>1568</v>
      </c>
      <c r="F505" s="20">
        <v>1</v>
      </c>
      <c r="G505" s="20" t="s">
        <v>1569</v>
      </c>
      <c r="H505" s="20" t="s">
        <v>1570</v>
      </c>
      <c r="I505" s="21" t="s">
        <v>1571</v>
      </c>
      <c r="J505" s="21"/>
      <c r="K505" s="21" t="s">
        <v>1371</v>
      </c>
      <c r="L505" s="21" t="s">
        <v>1572</v>
      </c>
      <c r="M505" s="21" t="s">
        <v>62</v>
      </c>
      <c r="N505" s="21" t="s">
        <v>187</v>
      </c>
    </row>
    <row r="506" spans="1:14" ht="64.05" customHeight="1">
      <c r="A506" s="20" t="s">
        <v>1573</v>
      </c>
      <c r="B506" s="20" t="s">
        <v>22</v>
      </c>
      <c r="C506" s="20" t="s">
        <v>779</v>
      </c>
      <c r="D506" s="20" t="s">
        <v>780</v>
      </c>
      <c r="E506" s="20" t="s">
        <v>1574</v>
      </c>
      <c r="F506" s="20">
        <v>1</v>
      </c>
      <c r="G506" s="20" t="s">
        <v>92</v>
      </c>
      <c r="H506" s="20"/>
      <c r="I506" s="21" t="s">
        <v>1575</v>
      </c>
      <c r="J506" s="21"/>
      <c r="K506" s="21" t="s">
        <v>109</v>
      </c>
      <c r="L506" s="21" t="s">
        <v>1576</v>
      </c>
      <c r="M506" s="21" t="s">
        <v>73</v>
      </c>
      <c r="N506" s="21"/>
    </row>
    <row r="507" spans="1:14" ht="64.05" customHeight="1">
      <c r="A507" s="20" t="s">
        <v>1573</v>
      </c>
      <c r="B507" s="20" t="s">
        <v>22</v>
      </c>
      <c r="C507" s="20" t="s">
        <v>779</v>
      </c>
      <c r="D507" s="20" t="s">
        <v>780</v>
      </c>
      <c r="E507" s="20" t="s">
        <v>1577</v>
      </c>
      <c r="F507" s="20">
        <v>1</v>
      </c>
      <c r="G507" s="20" t="s">
        <v>92</v>
      </c>
      <c r="H507" s="20"/>
      <c r="I507" s="21" t="s">
        <v>1578</v>
      </c>
      <c r="J507" s="21"/>
      <c r="K507" s="21" t="s">
        <v>112</v>
      </c>
      <c r="L507" s="21" t="s">
        <v>1579</v>
      </c>
      <c r="M507" s="21" t="s">
        <v>73</v>
      </c>
      <c r="N507" s="21"/>
    </row>
    <row r="508" spans="1:14" ht="64.05" customHeight="1">
      <c r="A508" s="20" t="s">
        <v>1573</v>
      </c>
      <c r="B508" s="20" t="s">
        <v>22</v>
      </c>
      <c r="C508" s="20" t="s">
        <v>1149</v>
      </c>
      <c r="D508" s="20" t="s">
        <v>1150</v>
      </c>
      <c r="E508" s="20" t="s">
        <v>1580</v>
      </c>
      <c r="F508" s="20">
        <v>1</v>
      </c>
      <c r="G508" s="20" t="s">
        <v>589</v>
      </c>
      <c r="H508" s="20" t="s">
        <v>1581</v>
      </c>
      <c r="I508" s="21" t="s">
        <v>1582</v>
      </c>
      <c r="J508" s="21"/>
      <c r="K508" s="21"/>
      <c r="L508" s="21" t="s">
        <v>1583</v>
      </c>
      <c r="M508" s="21" t="s">
        <v>73</v>
      </c>
      <c r="N508" s="21"/>
    </row>
    <row r="509" spans="1:14" ht="64.05" customHeight="1">
      <c r="A509" s="20" t="s">
        <v>1573</v>
      </c>
      <c r="B509" s="20" t="s">
        <v>22</v>
      </c>
      <c r="C509" s="20" t="s">
        <v>1149</v>
      </c>
      <c r="D509" s="20" t="s">
        <v>1150</v>
      </c>
      <c r="E509" s="20" t="s">
        <v>1584</v>
      </c>
      <c r="F509" s="20">
        <v>1</v>
      </c>
      <c r="G509" s="20" t="s">
        <v>589</v>
      </c>
      <c r="H509" s="20" t="s">
        <v>1581</v>
      </c>
      <c r="I509" s="21" t="s">
        <v>1585</v>
      </c>
      <c r="J509" s="21"/>
      <c r="K509" s="21"/>
      <c r="L509" s="21" t="s">
        <v>1586</v>
      </c>
      <c r="M509" s="21" t="s">
        <v>73</v>
      </c>
      <c r="N509" s="21"/>
    </row>
    <row r="510" spans="1:14" ht="64.05" customHeight="1">
      <c r="A510" s="20" t="s">
        <v>1573</v>
      </c>
      <c r="B510" s="20" t="s">
        <v>22</v>
      </c>
      <c r="C510" s="20" t="s">
        <v>1149</v>
      </c>
      <c r="D510" s="20" t="s">
        <v>1150</v>
      </c>
      <c r="E510" s="20" t="s">
        <v>1587</v>
      </c>
      <c r="F510" s="20">
        <v>1</v>
      </c>
      <c r="G510" s="20" t="s">
        <v>589</v>
      </c>
      <c r="H510" s="20" t="s">
        <v>1581</v>
      </c>
      <c r="I510" s="21" t="s">
        <v>1585</v>
      </c>
      <c r="J510" s="21"/>
      <c r="K510" s="21"/>
      <c r="L510" s="21" t="s">
        <v>1586</v>
      </c>
      <c r="M510" s="21" t="s">
        <v>73</v>
      </c>
      <c r="N510" s="21"/>
    </row>
    <row r="511" spans="1:14" ht="64.05" customHeight="1">
      <c r="A511" s="20" t="s">
        <v>1573</v>
      </c>
      <c r="B511" s="20" t="s">
        <v>22</v>
      </c>
      <c r="C511" s="20" t="s">
        <v>1149</v>
      </c>
      <c r="D511" s="20" t="s">
        <v>1150</v>
      </c>
      <c r="E511" s="20" t="s">
        <v>1588</v>
      </c>
      <c r="F511" s="20">
        <v>1</v>
      </c>
      <c r="G511" s="20" t="s">
        <v>589</v>
      </c>
      <c r="H511" s="20" t="s">
        <v>1581</v>
      </c>
      <c r="I511" s="21" t="s">
        <v>1589</v>
      </c>
      <c r="J511" s="21"/>
      <c r="K511" s="21"/>
      <c r="L511" s="21" t="s">
        <v>1586</v>
      </c>
      <c r="M511" s="21" t="s">
        <v>73</v>
      </c>
      <c r="N511" s="21"/>
    </row>
    <row r="512" spans="1:14" ht="64.05" customHeight="1">
      <c r="A512" s="20" t="s">
        <v>1573</v>
      </c>
      <c r="B512" s="20" t="s">
        <v>22</v>
      </c>
      <c r="C512" s="20" t="s">
        <v>1149</v>
      </c>
      <c r="D512" s="20" t="s">
        <v>1150</v>
      </c>
      <c r="E512" s="20" t="s">
        <v>1590</v>
      </c>
      <c r="F512" s="20">
        <v>1</v>
      </c>
      <c r="G512" s="20" t="s">
        <v>589</v>
      </c>
      <c r="H512" s="20" t="s">
        <v>1581</v>
      </c>
      <c r="I512" s="21" t="s">
        <v>1589</v>
      </c>
      <c r="J512" s="21"/>
      <c r="K512" s="21"/>
      <c r="L512" s="21" t="s">
        <v>1586</v>
      </c>
      <c r="M512" s="21" t="s">
        <v>73</v>
      </c>
      <c r="N512" s="21"/>
    </row>
    <row r="513" spans="1:14" ht="64.05" customHeight="1">
      <c r="A513" s="20" t="s">
        <v>1573</v>
      </c>
      <c r="B513" s="20" t="s">
        <v>23</v>
      </c>
      <c r="C513" s="20" t="s">
        <v>103</v>
      </c>
      <c r="D513" s="20" t="s">
        <v>104</v>
      </c>
      <c r="E513" s="20" t="s">
        <v>1591</v>
      </c>
      <c r="F513" s="20">
        <v>1</v>
      </c>
      <c r="G513" s="20" t="s">
        <v>1592</v>
      </c>
      <c r="H513" s="20" t="s">
        <v>1593</v>
      </c>
      <c r="I513" s="21" t="s">
        <v>1594</v>
      </c>
      <c r="J513" s="21"/>
      <c r="K513" s="21" t="s">
        <v>109</v>
      </c>
      <c r="L513" s="21" t="s">
        <v>1595</v>
      </c>
      <c r="M513" s="21" t="s">
        <v>73</v>
      </c>
      <c r="N513" s="21"/>
    </row>
    <row r="514" spans="1:14" ht="64.05" customHeight="1">
      <c r="A514" s="20" t="s">
        <v>1573</v>
      </c>
      <c r="B514" s="20" t="s">
        <v>23</v>
      </c>
      <c r="C514" s="20" t="s">
        <v>103</v>
      </c>
      <c r="D514" s="20" t="s">
        <v>104</v>
      </c>
      <c r="E514" s="20" t="s">
        <v>1596</v>
      </c>
      <c r="F514" s="20">
        <v>1</v>
      </c>
      <c r="G514" s="20" t="s">
        <v>1592</v>
      </c>
      <c r="H514" s="20" t="s">
        <v>1593</v>
      </c>
      <c r="I514" s="21" t="s">
        <v>1594</v>
      </c>
      <c r="J514" s="21"/>
      <c r="K514" s="21" t="s">
        <v>109</v>
      </c>
      <c r="L514" s="21" t="s">
        <v>1595</v>
      </c>
      <c r="M514" s="21" t="s">
        <v>73</v>
      </c>
      <c r="N514" s="21"/>
    </row>
    <row r="515" spans="1:14" ht="64.05" customHeight="1">
      <c r="A515" s="20" t="s">
        <v>1573</v>
      </c>
      <c r="B515" s="20" t="s">
        <v>23</v>
      </c>
      <c r="C515" s="20" t="s">
        <v>103</v>
      </c>
      <c r="D515" s="20" t="s">
        <v>104</v>
      </c>
      <c r="E515" s="20" t="s">
        <v>1597</v>
      </c>
      <c r="F515" s="20">
        <v>1</v>
      </c>
      <c r="G515" s="20" t="s">
        <v>1592</v>
      </c>
      <c r="H515" s="20" t="s">
        <v>1593</v>
      </c>
      <c r="I515" s="21" t="s">
        <v>1594</v>
      </c>
      <c r="J515" s="21"/>
      <c r="K515" s="21" t="s">
        <v>109</v>
      </c>
      <c r="L515" s="21" t="s">
        <v>1595</v>
      </c>
      <c r="M515" s="21" t="s">
        <v>73</v>
      </c>
      <c r="N515" s="21"/>
    </row>
    <row r="516" spans="1:14" ht="64.05" customHeight="1">
      <c r="A516" s="20" t="s">
        <v>1573</v>
      </c>
      <c r="B516" s="20" t="s">
        <v>25</v>
      </c>
      <c r="C516" s="20" t="s">
        <v>115</v>
      </c>
      <c r="D516" s="20" t="s">
        <v>116</v>
      </c>
      <c r="E516" s="20" t="s">
        <v>1598</v>
      </c>
      <c r="F516" s="20">
        <v>1</v>
      </c>
      <c r="G516" s="20" t="s">
        <v>411</v>
      </c>
      <c r="H516" s="20" t="s">
        <v>1599</v>
      </c>
      <c r="I516" s="21" t="s">
        <v>1600</v>
      </c>
      <c r="J516" s="21"/>
      <c r="K516" s="21" t="s">
        <v>109</v>
      </c>
      <c r="L516" s="21" t="s">
        <v>1601</v>
      </c>
      <c r="M516" s="21" t="s">
        <v>73</v>
      </c>
      <c r="N516" s="21"/>
    </row>
    <row r="517" spans="1:14" ht="64.05" customHeight="1">
      <c r="A517" s="20" t="s">
        <v>1573</v>
      </c>
      <c r="B517" s="20" t="s">
        <v>25</v>
      </c>
      <c r="C517" s="20" t="s">
        <v>115</v>
      </c>
      <c r="D517" s="20" t="s">
        <v>116</v>
      </c>
      <c r="E517" s="20" t="s">
        <v>1602</v>
      </c>
      <c r="F517" s="20">
        <v>1</v>
      </c>
      <c r="G517" s="20" t="s">
        <v>411</v>
      </c>
      <c r="H517" s="20" t="s">
        <v>1599</v>
      </c>
      <c r="I517" s="21" t="s">
        <v>1600</v>
      </c>
      <c r="J517" s="21"/>
      <c r="K517" s="21" t="s">
        <v>109</v>
      </c>
      <c r="L517" s="21" t="s">
        <v>1601</v>
      </c>
      <c r="M517" s="21" t="s">
        <v>73</v>
      </c>
      <c r="N517" s="21"/>
    </row>
    <row r="518" spans="1:14" ht="64.05" customHeight="1">
      <c r="A518" s="20" t="s">
        <v>1573</v>
      </c>
      <c r="B518" s="20" t="s">
        <v>24</v>
      </c>
      <c r="C518" s="20" t="s">
        <v>426</v>
      </c>
      <c r="D518" s="20" t="s">
        <v>427</v>
      </c>
      <c r="E518" s="20" t="s">
        <v>1603</v>
      </c>
      <c r="F518" s="20">
        <v>1</v>
      </c>
      <c r="G518" s="20" t="s">
        <v>296</v>
      </c>
      <c r="H518" s="20" t="s">
        <v>1599</v>
      </c>
      <c r="I518" s="21" t="s">
        <v>112</v>
      </c>
      <c r="J518" s="21"/>
      <c r="K518" s="21" t="s">
        <v>109</v>
      </c>
      <c r="L518" s="21" t="s">
        <v>1604</v>
      </c>
      <c r="M518" s="21" t="s">
        <v>102</v>
      </c>
      <c r="N518" s="21"/>
    </row>
    <row r="519" spans="1:14" ht="64.05" customHeight="1">
      <c r="A519" s="20" t="s">
        <v>1573</v>
      </c>
      <c r="B519" s="20" t="s">
        <v>24</v>
      </c>
      <c r="C519" s="20" t="s">
        <v>426</v>
      </c>
      <c r="D519" s="20" t="s">
        <v>427</v>
      </c>
      <c r="E519" s="20" t="s">
        <v>1605</v>
      </c>
      <c r="F519" s="20">
        <v>1</v>
      </c>
      <c r="G519" s="20" t="s">
        <v>1047</v>
      </c>
      <c r="H519" s="20" t="s">
        <v>1606</v>
      </c>
      <c r="I519" s="21" t="s">
        <v>112</v>
      </c>
      <c r="J519" s="21"/>
      <c r="K519" s="21" t="s">
        <v>109</v>
      </c>
      <c r="L519" s="21" t="s">
        <v>1607</v>
      </c>
      <c r="M519" s="21" t="s">
        <v>73</v>
      </c>
      <c r="N519" s="21"/>
    </row>
    <row r="520" spans="1:14" ht="64.05" customHeight="1">
      <c r="A520" s="20" t="s">
        <v>1573</v>
      </c>
      <c r="B520" s="20" t="s">
        <v>24</v>
      </c>
      <c r="C520" s="20" t="s">
        <v>426</v>
      </c>
      <c r="D520" s="20" t="s">
        <v>427</v>
      </c>
      <c r="E520" s="20" t="s">
        <v>1608</v>
      </c>
      <c r="F520" s="20">
        <v>1</v>
      </c>
      <c r="G520" s="20"/>
      <c r="H520" s="20"/>
      <c r="I520" s="21" t="s">
        <v>1609</v>
      </c>
      <c r="J520" s="21"/>
      <c r="K520" s="21" t="s">
        <v>109</v>
      </c>
      <c r="L520" s="21" t="s">
        <v>1610</v>
      </c>
      <c r="M520" s="21" t="s">
        <v>73</v>
      </c>
      <c r="N520" s="21"/>
    </row>
    <row r="521" spans="1:14" ht="64.05" customHeight="1">
      <c r="A521" s="20" t="s">
        <v>1573</v>
      </c>
      <c r="B521" s="20" t="s">
        <v>24</v>
      </c>
      <c r="C521" s="20" t="s">
        <v>426</v>
      </c>
      <c r="D521" s="20" t="s">
        <v>427</v>
      </c>
      <c r="E521" s="20" t="s">
        <v>1611</v>
      </c>
      <c r="F521" s="20">
        <v>1</v>
      </c>
      <c r="G521" s="20" t="s">
        <v>139</v>
      </c>
      <c r="H521" s="20"/>
      <c r="I521" s="21" t="s">
        <v>1612</v>
      </c>
      <c r="J521" s="21"/>
      <c r="K521" s="21" t="s">
        <v>109</v>
      </c>
      <c r="L521" s="21" t="s">
        <v>1613</v>
      </c>
      <c r="M521" s="21" t="s">
        <v>62</v>
      </c>
      <c r="N521" s="21"/>
    </row>
    <row r="522" spans="1:14" ht="64.05" customHeight="1">
      <c r="A522" s="20" t="s">
        <v>1573</v>
      </c>
      <c r="B522" s="20" t="s">
        <v>24</v>
      </c>
      <c r="C522" s="20" t="s">
        <v>426</v>
      </c>
      <c r="D522" s="20" t="s">
        <v>427</v>
      </c>
      <c r="E522" s="20" t="s">
        <v>1614</v>
      </c>
      <c r="F522" s="20">
        <v>1</v>
      </c>
      <c r="G522" s="20" t="s">
        <v>92</v>
      </c>
      <c r="H522" s="20"/>
      <c r="I522" s="21" t="s">
        <v>1615</v>
      </c>
      <c r="J522" s="21"/>
      <c r="K522" s="21" t="s">
        <v>109</v>
      </c>
      <c r="L522" s="21" t="s">
        <v>1616</v>
      </c>
      <c r="M522" s="21" t="s">
        <v>62</v>
      </c>
      <c r="N522" s="21" t="s">
        <v>187</v>
      </c>
    </row>
    <row r="523" spans="1:14" ht="64.05" customHeight="1">
      <c r="A523" s="20" t="s">
        <v>1573</v>
      </c>
      <c r="B523" s="20" t="s">
        <v>24</v>
      </c>
      <c r="C523" s="20" t="s">
        <v>426</v>
      </c>
      <c r="D523" s="20" t="s">
        <v>427</v>
      </c>
      <c r="E523" s="20" t="s">
        <v>1617</v>
      </c>
      <c r="F523" s="20">
        <v>1</v>
      </c>
      <c r="G523" s="20" t="s">
        <v>92</v>
      </c>
      <c r="H523" s="20"/>
      <c r="I523" s="21" t="s">
        <v>1618</v>
      </c>
      <c r="J523" s="21" t="s">
        <v>672</v>
      </c>
      <c r="K523" s="21" t="s">
        <v>109</v>
      </c>
      <c r="L523" s="21" t="s">
        <v>1619</v>
      </c>
      <c r="M523" s="21" t="s">
        <v>102</v>
      </c>
      <c r="N523" s="21"/>
    </row>
    <row r="524" spans="1:14" ht="64.05" customHeight="1">
      <c r="A524" s="20" t="s">
        <v>1573</v>
      </c>
      <c r="B524" s="20" t="s">
        <v>24</v>
      </c>
      <c r="C524" s="20" t="s">
        <v>426</v>
      </c>
      <c r="D524" s="20" t="s">
        <v>427</v>
      </c>
      <c r="E524" s="20" t="s">
        <v>1620</v>
      </c>
      <c r="F524" s="20">
        <v>1</v>
      </c>
      <c r="G524" s="20" t="s">
        <v>92</v>
      </c>
      <c r="H524" s="20"/>
      <c r="I524" s="21" t="s">
        <v>1621</v>
      </c>
      <c r="J524" s="21" t="s">
        <v>99</v>
      </c>
      <c r="K524" s="21" t="s">
        <v>109</v>
      </c>
      <c r="L524" s="21" t="s">
        <v>1622</v>
      </c>
      <c r="M524" s="21" t="s">
        <v>102</v>
      </c>
      <c r="N524" s="21"/>
    </row>
    <row r="525" spans="1:14" ht="64.05" customHeight="1">
      <c r="A525" s="20" t="s">
        <v>1573</v>
      </c>
      <c r="B525" s="20" t="s">
        <v>28</v>
      </c>
      <c r="C525" s="20" t="s">
        <v>167</v>
      </c>
      <c r="D525" s="20" t="s">
        <v>168</v>
      </c>
      <c r="E525" s="20" t="s">
        <v>1623</v>
      </c>
      <c r="F525" s="20">
        <v>1</v>
      </c>
      <c r="G525" s="20" t="s">
        <v>139</v>
      </c>
      <c r="H525" s="20"/>
      <c r="I525" s="21" t="s">
        <v>406</v>
      </c>
      <c r="J525" s="21"/>
      <c r="K525" s="21" t="s">
        <v>141</v>
      </c>
      <c r="L525" s="21" t="s">
        <v>1624</v>
      </c>
      <c r="M525" s="21" t="s">
        <v>62</v>
      </c>
      <c r="N525" s="21"/>
    </row>
    <row r="526" spans="1:14" ht="64.05" customHeight="1">
      <c r="A526" s="20" t="s">
        <v>1573</v>
      </c>
      <c r="B526" s="20" t="s">
        <v>28</v>
      </c>
      <c r="C526" s="20" t="s">
        <v>167</v>
      </c>
      <c r="D526" s="20" t="s">
        <v>168</v>
      </c>
      <c r="E526" s="20" t="s">
        <v>1625</v>
      </c>
      <c r="F526" s="20">
        <v>1</v>
      </c>
      <c r="G526" s="20" t="s">
        <v>139</v>
      </c>
      <c r="H526" s="20"/>
      <c r="I526" s="21" t="s">
        <v>406</v>
      </c>
      <c r="J526" s="21"/>
      <c r="K526" s="21" t="s">
        <v>141</v>
      </c>
      <c r="L526" s="21" t="s">
        <v>1624</v>
      </c>
      <c r="M526" s="21" t="s">
        <v>62</v>
      </c>
      <c r="N526" s="21"/>
    </row>
    <row r="527" spans="1:14" ht="64.05" customHeight="1">
      <c r="A527" s="20" t="s">
        <v>1573</v>
      </c>
      <c r="B527" s="20" t="s">
        <v>28</v>
      </c>
      <c r="C527" s="20" t="s">
        <v>167</v>
      </c>
      <c r="D527" s="20" t="s">
        <v>168</v>
      </c>
      <c r="E527" s="20" t="s">
        <v>1626</v>
      </c>
      <c r="F527" s="20">
        <v>1</v>
      </c>
      <c r="G527" s="20" t="s">
        <v>1627</v>
      </c>
      <c r="H527" s="20" t="s">
        <v>1628</v>
      </c>
      <c r="I527" s="21" t="s">
        <v>1629</v>
      </c>
      <c r="J527" s="21"/>
      <c r="K527" s="21" t="s">
        <v>78</v>
      </c>
      <c r="L527" s="21" t="s">
        <v>1630</v>
      </c>
      <c r="M527" s="21" t="s">
        <v>73</v>
      </c>
      <c r="N527" s="21"/>
    </row>
    <row r="528" spans="1:14" ht="64.05" customHeight="1">
      <c r="A528" s="20" t="s">
        <v>1573</v>
      </c>
      <c r="B528" s="20" t="s">
        <v>28</v>
      </c>
      <c r="C528" s="20" t="s">
        <v>167</v>
      </c>
      <c r="D528" s="20" t="s">
        <v>168</v>
      </c>
      <c r="E528" s="20" t="s">
        <v>1631</v>
      </c>
      <c r="F528" s="20">
        <v>1</v>
      </c>
      <c r="G528" s="20" t="s">
        <v>1627</v>
      </c>
      <c r="H528" s="20" t="s">
        <v>1628</v>
      </c>
      <c r="I528" s="21" t="s">
        <v>1629</v>
      </c>
      <c r="J528" s="21"/>
      <c r="K528" s="21" t="s">
        <v>78</v>
      </c>
      <c r="L528" s="21" t="s">
        <v>1630</v>
      </c>
      <c r="M528" s="21" t="s">
        <v>73</v>
      </c>
      <c r="N528" s="21"/>
    </row>
    <row r="529" spans="1:14" ht="64.05" customHeight="1">
      <c r="A529" s="20" t="s">
        <v>1573</v>
      </c>
      <c r="B529" s="20" t="s">
        <v>28</v>
      </c>
      <c r="C529" s="20" t="s">
        <v>167</v>
      </c>
      <c r="D529" s="20" t="s">
        <v>168</v>
      </c>
      <c r="E529" s="20" t="s">
        <v>1632</v>
      </c>
      <c r="F529" s="20">
        <v>1</v>
      </c>
      <c r="G529" s="20" t="s">
        <v>92</v>
      </c>
      <c r="H529" s="20"/>
      <c r="I529" s="21" t="s">
        <v>1633</v>
      </c>
      <c r="J529" s="21"/>
      <c r="K529" s="21" t="s">
        <v>1634</v>
      </c>
      <c r="L529" s="21" t="s">
        <v>1635</v>
      </c>
      <c r="M529" s="21" t="s">
        <v>102</v>
      </c>
      <c r="N529" s="21"/>
    </row>
    <row r="530" spans="1:14" ht="64.05" customHeight="1">
      <c r="A530" s="20" t="s">
        <v>1573</v>
      </c>
      <c r="B530" s="20" t="s">
        <v>28</v>
      </c>
      <c r="C530" s="20" t="s">
        <v>167</v>
      </c>
      <c r="D530" s="20" t="s">
        <v>168</v>
      </c>
      <c r="E530" s="20" t="s">
        <v>1636</v>
      </c>
      <c r="F530" s="20">
        <v>1</v>
      </c>
      <c r="G530" s="20" t="s">
        <v>92</v>
      </c>
      <c r="H530" s="20"/>
      <c r="I530" s="21" t="s">
        <v>462</v>
      </c>
      <c r="J530" s="21"/>
      <c r="K530" s="21" t="s">
        <v>866</v>
      </c>
      <c r="L530" s="21" t="s">
        <v>1630</v>
      </c>
      <c r="M530" s="21" t="s">
        <v>73</v>
      </c>
      <c r="N530" s="21"/>
    </row>
    <row r="531" spans="1:14" ht="64.05" customHeight="1">
      <c r="A531" s="20" t="s">
        <v>1573</v>
      </c>
      <c r="B531" s="20" t="s">
        <v>28</v>
      </c>
      <c r="C531" s="20" t="s">
        <v>167</v>
      </c>
      <c r="D531" s="20" t="s">
        <v>168</v>
      </c>
      <c r="E531" s="20" t="s">
        <v>1637</v>
      </c>
      <c r="F531" s="20">
        <v>1</v>
      </c>
      <c r="G531" s="20" t="s">
        <v>92</v>
      </c>
      <c r="H531" s="20"/>
      <c r="I531" s="21" t="s">
        <v>1638</v>
      </c>
      <c r="J531" s="21"/>
      <c r="K531" s="21" t="s">
        <v>109</v>
      </c>
      <c r="L531" s="21" t="s">
        <v>1630</v>
      </c>
      <c r="M531" s="21" t="s">
        <v>73</v>
      </c>
      <c r="N531" s="21"/>
    </row>
    <row r="532" spans="1:14" ht="64.05" customHeight="1">
      <c r="A532" s="20" t="s">
        <v>1573</v>
      </c>
      <c r="B532" s="20" t="s">
        <v>28</v>
      </c>
      <c r="C532" s="20" t="s">
        <v>167</v>
      </c>
      <c r="D532" s="20" t="s">
        <v>168</v>
      </c>
      <c r="E532" s="20" t="s">
        <v>1639</v>
      </c>
      <c r="F532" s="20">
        <v>1</v>
      </c>
      <c r="G532" s="20" t="s">
        <v>92</v>
      </c>
      <c r="H532" s="20"/>
      <c r="I532" s="21" t="s">
        <v>1640</v>
      </c>
      <c r="J532" s="21"/>
      <c r="K532" s="21" t="s">
        <v>1634</v>
      </c>
      <c r="L532" s="21" t="s">
        <v>1630</v>
      </c>
      <c r="M532" s="21" t="s">
        <v>73</v>
      </c>
      <c r="N532" s="21"/>
    </row>
    <row r="533" spans="1:14" ht="64.05" customHeight="1">
      <c r="A533" s="20" t="s">
        <v>1573</v>
      </c>
      <c r="B533" s="20" t="s">
        <v>28</v>
      </c>
      <c r="C533" s="20" t="s">
        <v>167</v>
      </c>
      <c r="D533" s="20" t="s">
        <v>168</v>
      </c>
      <c r="E533" s="20" t="s">
        <v>1641</v>
      </c>
      <c r="F533" s="20">
        <v>1</v>
      </c>
      <c r="G533" s="20" t="s">
        <v>454</v>
      </c>
      <c r="H533" s="20" t="s">
        <v>1642</v>
      </c>
      <c r="I533" s="21" t="s">
        <v>1643</v>
      </c>
      <c r="J533" s="21"/>
      <c r="K533" s="21" t="s">
        <v>1634</v>
      </c>
      <c r="L533" s="21" t="s">
        <v>1630</v>
      </c>
      <c r="M533" s="21" t="s">
        <v>73</v>
      </c>
      <c r="N533" s="21"/>
    </row>
    <row r="534" spans="1:14" ht="64.05" customHeight="1">
      <c r="A534" s="20" t="s">
        <v>1573</v>
      </c>
      <c r="B534" s="20" t="s">
        <v>28</v>
      </c>
      <c r="C534" s="20" t="s">
        <v>167</v>
      </c>
      <c r="D534" s="20" t="s">
        <v>168</v>
      </c>
      <c r="E534" s="20" t="s">
        <v>1644</v>
      </c>
      <c r="F534" s="20">
        <v>1</v>
      </c>
      <c r="G534" s="20" t="s">
        <v>92</v>
      </c>
      <c r="H534" s="20"/>
      <c r="I534" s="21" t="s">
        <v>1645</v>
      </c>
      <c r="J534" s="21"/>
      <c r="K534" s="21" t="s">
        <v>1634</v>
      </c>
      <c r="L534" s="21" t="s">
        <v>1630</v>
      </c>
      <c r="M534" s="21" t="s">
        <v>73</v>
      </c>
      <c r="N534" s="21"/>
    </row>
    <row r="535" spans="1:14" ht="64.05" customHeight="1">
      <c r="A535" s="20" t="s">
        <v>1573</v>
      </c>
      <c r="B535" s="20" t="s">
        <v>27</v>
      </c>
      <c r="C535" s="20" t="s">
        <v>1069</v>
      </c>
      <c r="D535" s="20" t="s">
        <v>1070</v>
      </c>
      <c r="E535" s="20" t="s">
        <v>1646</v>
      </c>
      <c r="F535" s="20">
        <v>1</v>
      </c>
      <c r="G535" s="20" t="s">
        <v>1647</v>
      </c>
      <c r="H535" s="20" t="s">
        <v>1648</v>
      </c>
      <c r="I535" s="21" t="s">
        <v>1649</v>
      </c>
      <c r="J535" s="21"/>
      <c r="K535" s="21" t="s">
        <v>109</v>
      </c>
      <c r="L535" s="21" t="s">
        <v>1650</v>
      </c>
      <c r="M535" s="21" t="s">
        <v>73</v>
      </c>
      <c r="N535" s="21"/>
    </row>
    <row r="536" spans="1:14" ht="64.05" customHeight="1">
      <c r="A536" s="20" t="s">
        <v>1573</v>
      </c>
      <c r="B536" s="20" t="s">
        <v>27</v>
      </c>
      <c r="C536" s="20" t="s">
        <v>1069</v>
      </c>
      <c r="D536" s="20" t="s">
        <v>1070</v>
      </c>
      <c r="E536" s="20" t="s">
        <v>1651</v>
      </c>
      <c r="F536" s="20">
        <v>1</v>
      </c>
      <c r="G536" s="20" t="s">
        <v>1647</v>
      </c>
      <c r="H536" s="20" t="s">
        <v>1648</v>
      </c>
      <c r="I536" s="21" t="s">
        <v>1652</v>
      </c>
      <c r="J536" s="21"/>
      <c r="K536" s="21" t="s">
        <v>112</v>
      </c>
      <c r="L536" s="21" t="s">
        <v>1653</v>
      </c>
      <c r="M536" s="21" t="s">
        <v>73</v>
      </c>
      <c r="N536" s="21"/>
    </row>
    <row r="537" spans="1:14" ht="64.05" customHeight="1">
      <c r="A537" s="20" t="s">
        <v>1573</v>
      </c>
      <c r="B537" s="20" t="s">
        <v>30</v>
      </c>
      <c r="C537" s="20" t="s">
        <v>188</v>
      </c>
      <c r="D537" s="20" t="s">
        <v>189</v>
      </c>
      <c r="E537" s="20" t="s">
        <v>1654</v>
      </c>
      <c r="F537" s="20">
        <v>1</v>
      </c>
      <c r="G537" s="20" t="s">
        <v>1236</v>
      </c>
      <c r="H537" s="20" t="s">
        <v>1642</v>
      </c>
      <c r="I537" s="21" t="s">
        <v>1655</v>
      </c>
      <c r="J537" s="21"/>
      <c r="K537" s="21" t="s">
        <v>1656</v>
      </c>
      <c r="L537" s="21" t="s">
        <v>1657</v>
      </c>
      <c r="M537" s="21" t="s">
        <v>73</v>
      </c>
      <c r="N537" s="21"/>
    </row>
    <row r="538" spans="1:14" ht="64.05" customHeight="1">
      <c r="A538" s="20" t="s">
        <v>1573</v>
      </c>
      <c r="B538" s="20" t="s">
        <v>30</v>
      </c>
      <c r="C538" s="20" t="s">
        <v>188</v>
      </c>
      <c r="D538" s="20" t="s">
        <v>189</v>
      </c>
      <c r="E538" s="20" t="s">
        <v>1658</v>
      </c>
      <c r="F538" s="20">
        <v>1</v>
      </c>
      <c r="G538" s="20" t="s">
        <v>139</v>
      </c>
      <c r="H538" s="20"/>
      <c r="I538" s="21" t="s">
        <v>1659</v>
      </c>
      <c r="J538" s="21"/>
      <c r="K538" s="21" t="s">
        <v>1660</v>
      </c>
      <c r="L538" s="21" t="s">
        <v>1661</v>
      </c>
      <c r="M538" s="21" t="s">
        <v>73</v>
      </c>
      <c r="N538" s="21"/>
    </row>
    <row r="539" spans="1:14" ht="64.05" customHeight="1">
      <c r="A539" s="20" t="s">
        <v>1573</v>
      </c>
      <c r="B539" s="20" t="s">
        <v>30</v>
      </c>
      <c r="C539" s="20" t="s">
        <v>188</v>
      </c>
      <c r="D539" s="20" t="s">
        <v>189</v>
      </c>
      <c r="E539" s="20" t="s">
        <v>1662</v>
      </c>
      <c r="F539" s="20">
        <v>1</v>
      </c>
      <c r="G539" s="20" t="s">
        <v>1236</v>
      </c>
      <c r="H539" s="20" t="s">
        <v>1642</v>
      </c>
      <c r="I539" s="21" t="s">
        <v>1663</v>
      </c>
      <c r="J539" s="21"/>
      <c r="K539" s="21" t="s">
        <v>1664</v>
      </c>
      <c r="L539" s="21" t="s">
        <v>1665</v>
      </c>
      <c r="M539" s="21" t="s">
        <v>73</v>
      </c>
      <c r="N539" s="21"/>
    </row>
    <row r="540" spans="1:14" ht="64.05" customHeight="1">
      <c r="A540" s="20" t="s">
        <v>1573</v>
      </c>
      <c r="B540" s="20" t="s">
        <v>26</v>
      </c>
      <c r="C540" s="20" t="s">
        <v>196</v>
      </c>
      <c r="D540" s="20" t="s">
        <v>197</v>
      </c>
      <c r="E540" s="20" t="s">
        <v>1666</v>
      </c>
      <c r="F540" s="20">
        <v>1</v>
      </c>
      <c r="G540" s="20" t="s">
        <v>92</v>
      </c>
      <c r="H540" s="20"/>
      <c r="I540" s="21" t="s">
        <v>1667</v>
      </c>
      <c r="J540" s="21"/>
      <c r="K540" s="21" t="s">
        <v>599</v>
      </c>
      <c r="L540" s="21" t="s">
        <v>1668</v>
      </c>
      <c r="M540" s="21" t="s">
        <v>102</v>
      </c>
      <c r="N540" s="21"/>
    </row>
    <row r="541" spans="1:14" ht="64.05" customHeight="1">
      <c r="A541" s="20" t="s">
        <v>1573</v>
      </c>
      <c r="B541" s="20" t="s">
        <v>32</v>
      </c>
      <c r="C541" s="20" t="s">
        <v>200</v>
      </c>
      <c r="D541" s="20" t="s">
        <v>201</v>
      </c>
      <c r="E541" s="20" t="s">
        <v>1669</v>
      </c>
      <c r="F541" s="20">
        <v>1</v>
      </c>
      <c r="G541" s="20" t="s">
        <v>1670</v>
      </c>
      <c r="H541" s="20" t="s">
        <v>1671</v>
      </c>
      <c r="I541" s="21" t="s">
        <v>1672</v>
      </c>
      <c r="J541" s="21"/>
      <c r="K541" s="21"/>
      <c r="L541" s="21" t="s">
        <v>1673</v>
      </c>
      <c r="M541" s="21" t="s">
        <v>73</v>
      </c>
      <c r="N541" s="21"/>
    </row>
    <row r="542" spans="1:14" ht="64.05" customHeight="1">
      <c r="A542" s="20" t="s">
        <v>1573</v>
      </c>
      <c r="B542" s="20" t="s">
        <v>21</v>
      </c>
      <c r="C542" s="20" t="s">
        <v>724</v>
      </c>
      <c r="D542" s="20" t="s">
        <v>725</v>
      </c>
      <c r="E542" s="20" t="s">
        <v>1674</v>
      </c>
      <c r="F542" s="20">
        <v>1</v>
      </c>
      <c r="G542" s="20" t="s">
        <v>500</v>
      </c>
      <c r="H542" s="20" t="s">
        <v>1675</v>
      </c>
      <c r="I542" s="21" t="s">
        <v>1676</v>
      </c>
      <c r="J542" s="21"/>
      <c r="K542" s="21" t="s">
        <v>1423</v>
      </c>
      <c r="L542" s="21" t="s">
        <v>1677</v>
      </c>
      <c r="M542" s="21" t="s">
        <v>62</v>
      </c>
      <c r="N542" s="21" t="s">
        <v>130</v>
      </c>
    </row>
    <row r="543" spans="1:14" ht="64.05" customHeight="1">
      <c r="A543" s="20" t="s">
        <v>1573</v>
      </c>
      <c r="B543" s="20" t="s">
        <v>21</v>
      </c>
      <c r="C543" s="20" t="s">
        <v>724</v>
      </c>
      <c r="D543" s="20" t="s">
        <v>725</v>
      </c>
      <c r="E543" s="20" t="s">
        <v>1678</v>
      </c>
      <c r="F543" s="20">
        <v>1</v>
      </c>
      <c r="G543" s="20" t="s">
        <v>500</v>
      </c>
      <c r="H543" s="20" t="s">
        <v>1675</v>
      </c>
      <c r="I543" s="21" t="s">
        <v>1679</v>
      </c>
      <c r="J543" s="21"/>
      <c r="K543" s="21" t="s">
        <v>1423</v>
      </c>
      <c r="L543" s="21" t="s">
        <v>1680</v>
      </c>
      <c r="M543" s="21" t="s">
        <v>62</v>
      </c>
      <c r="N543" s="21" t="s">
        <v>130</v>
      </c>
    </row>
    <row r="544" spans="1:14" ht="64.05" customHeight="1">
      <c r="A544" s="20" t="s">
        <v>1573</v>
      </c>
      <c r="B544" s="20" t="s">
        <v>21</v>
      </c>
      <c r="C544" s="20" t="s">
        <v>207</v>
      </c>
      <c r="D544" s="20" t="s">
        <v>208</v>
      </c>
      <c r="E544" s="20" t="s">
        <v>1681</v>
      </c>
      <c r="F544" s="20">
        <v>1</v>
      </c>
      <c r="G544" s="20" t="s">
        <v>1682</v>
      </c>
      <c r="H544" s="20" t="s">
        <v>1449</v>
      </c>
      <c r="I544" s="21" t="s">
        <v>112</v>
      </c>
      <c r="J544" s="21"/>
      <c r="K544" s="21" t="s">
        <v>109</v>
      </c>
      <c r="L544" s="21" t="s">
        <v>1683</v>
      </c>
      <c r="M544" s="21" t="s">
        <v>73</v>
      </c>
      <c r="N544" s="21"/>
    </row>
    <row r="545" spans="1:14" ht="64.05" customHeight="1">
      <c r="A545" s="20" t="s">
        <v>1573</v>
      </c>
      <c r="B545" s="20" t="s">
        <v>21</v>
      </c>
      <c r="C545" s="20" t="s">
        <v>215</v>
      </c>
      <c r="D545" s="20" t="s">
        <v>216</v>
      </c>
      <c r="E545" s="20" t="s">
        <v>1684</v>
      </c>
      <c r="F545" s="20">
        <v>1</v>
      </c>
      <c r="G545" s="20" t="s">
        <v>1685</v>
      </c>
      <c r="H545" s="20" t="s">
        <v>1686</v>
      </c>
      <c r="I545" s="21" t="s">
        <v>1687</v>
      </c>
      <c r="J545" s="21"/>
      <c r="K545" s="21" t="s">
        <v>109</v>
      </c>
      <c r="L545" s="21" t="s">
        <v>1688</v>
      </c>
      <c r="M545" s="21" t="s">
        <v>73</v>
      </c>
      <c r="N545" s="21"/>
    </row>
    <row r="546" spans="1:14" ht="64.05" customHeight="1">
      <c r="A546" s="20" t="s">
        <v>1573</v>
      </c>
      <c r="B546" s="20" t="s">
        <v>21</v>
      </c>
      <c r="C546" s="20" t="s">
        <v>215</v>
      </c>
      <c r="D546" s="20" t="s">
        <v>216</v>
      </c>
      <c r="E546" s="20" t="s">
        <v>1689</v>
      </c>
      <c r="F546" s="20">
        <v>1</v>
      </c>
      <c r="G546" s="20" t="s">
        <v>1690</v>
      </c>
      <c r="H546" s="20" t="s">
        <v>1691</v>
      </c>
      <c r="I546" s="21" t="s">
        <v>1692</v>
      </c>
      <c r="J546" s="21"/>
      <c r="K546" s="21" t="s">
        <v>109</v>
      </c>
      <c r="L546" s="21" t="s">
        <v>1693</v>
      </c>
      <c r="M546" s="21" t="s">
        <v>62</v>
      </c>
      <c r="N546" s="21" t="s">
        <v>130</v>
      </c>
    </row>
    <row r="547" spans="1:14" ht="64.05" customHeight="1">
      <c r="A547" s="20" t="s">
        <v>1573</v>
      </c>
      <c r="B547" s="20" t="s">
        <v>21</v>
      </c>
      <c r="C547" s="20" t="s">
        <v>215</v>
      </c>
      <c r="D547" s="20" t="s">
        <v>216</v>
      </c>
      <c r="E547" s="20" t="s">
        <v>1694</v>
      </c>
      <c r="F547" s="20">
        <v>1</v>
      </c>
      <c r="G547" s="20" t="s">
        <v>1685</v>
      </c>
      <c r="H547" s="20" t="s">
        <v>1686</v>
      </c>
      <c r="I547" s="21" t="s">
        <v>1695</v>
      </c>
      <c r="J547" s="21"/>
      <c r="K547" s="21" t="s">
        <v>109</v>
      </c>
      <c r="L547" s="21" t="s">
        <v>1696</v>
      </c>
      <c r="M547" s="21" t="s">
        <v>62</v>
      </c>
      <c r="N547" s="21" t="s">
        <v>130</v>
      </c>
    </row>
    <row r="548" spans="1:14" ht="64.05" customHeight="1">
      <c r="A548" s="20" t="s">
        <v>1573</v>
      </c>
      <c r="B548" s="20" t="s">
        <v>21</v>
      </c>
      <c r="C548" s="20" t="s">
        <v>215</v>
      </c>
      <c r="D548" s="20" t="s">
        <v>216</v>
      </c>
      <c r="E548" s="20" t="s">
        <v>1697</v>
      </c>
      <c r="F548" s="20">
        <v>1</v>
      </c>
      <c r="G548" s="20" t="s">
        <v>508</v>
      </c>
      <c r="H548" s="20" t="s">
        <v>1698</v>
      </c>
      <c r="I548" s="21" t="s">
        <v>1699</v>
      </c>
      <c r="J548" s="21"/>
      <c r="K548" s="21" t="s">
        <v>109</v>
      </c>
      <c r="L548" s="21" t="s">
        <v>1700</v>
      </c>
      <c r="M548" s="21" t="s">
        <v>62</v>
      </c>
      <c r="N548" s="21"/>
    </row>
    <row r="549" spans="1:14" ht="64.05" customHeight="1">
      <c r="A549" s="20" t="s">
        <v>1573</v>
      </c>
      <c r="B549" s="20" t="s">
        <v>21</v>
      </c>
      <c r="C549" s="20" t="s">
        <v>228</v>
      </c>
      <c r="D549" s="20" t="s">
        <v>229</v>
      </c>
      <c r="E549" s="20" t="s">
        <v>1701</v>
      </c>
      <c r="F549" s="20">
        <v>1</v>
      </c>
      <c r="G549" s="20" t="s">
        <v>125</v>
      </c>
      <c r="H549" s="20" t="s">
        <v>1702</v>
      </c>
      <c r="I549" s="21" t="s">
        <v>1703</v>
      </c>
      <c r="J549" s="21"/>
      <c r="K549" s="21" t="s">
        <v>109</v>
      </c>
      <c r="L549" s="21" t="s">
        <v>1704</v>
      </c>
      <c r="M549" s="21" t="s">
        <v>73</v>
      </c>
      <c r="N549" s="21"/>
    </row>
    <row r="550" spans="1:14" ht="64.05" customHeight="1">
      <c r="A550" s="20" t="s">
        <v>1573</v>
      </c>
      <c r="B550" s="20" t="s">
        <v>21</v>
      </c>
      <c r="C550" s="20" t="s">
        <v>239</v>
      </c>
      <c r="D550" s="20" t="s">
        <v>147</v>
      </c>
      <c r="E550" s="20" t="s">
        <v>1705</v>
      </c>
      <c r="F550" s="20">
        <v>1</v>
      </c>
      <c r="G550" s="20"/>
      <c r="H550" s="20"/>
      <c r="I550" s="21" t="s">
        <v>1706</v>
      </c>
      <c r="J550" s="21" t="s">
        <v>245</v>
      </c>
      <c r="K550" s="21"/>
      <c r="L550" s="21" t="s">
        <v>1707</v>
      </c>
      <c r="M550" s="21" t="s">
        <v>73</v>
      </c>
      <c r="N550" s="21"/>
    </row>
    <row r="551" spans="1:14" ht="64.05" customHeight="1">
      <c r="A551" s="20" t="s">
        <v>1573</v>
      </c>
      <c r="B551" s="20" t="s">
        <v>21</v>
      </c>
      <c r="C551" s="20" t="s">
        <v>239</v>
      </c>
      <c r="D551" s="20" t="s">
        <v>147</v>
      </c>
      <c r="E551" s="20" t="s">
        <v>1708</v>
      </c>
      <c r="F551" s="20">
        <v>1</v>
      </c>
      <c r="G551" s="20"/>
      <c r="H551" s="20"/>
      <c r="I551" s="21" t="s">
        <v>1706</v>
      </c>
      <c r="J551" s="21" t="s">
        <v>245</v>
      </c>
      <c r="K551" s="21"/>
      <c r="L551" s="21" t="s">
        <v>1707</v>
      </c>
      <c r="M551" s="21" t="s">
        <v>73</v>
      </c>
      <c r="N551" s="21"/>
    </row>
    <row r="552" spans="1:14" ht="64.05" customHeight="1">
      <c r="A552" s="20" t="s">
        <v>1573</v>
      </c>
      <c r="B552" s="20" t="s">
        <v>21</v>
      </c>
      <c r="C552" s="20" t="s">
        <v>239</v>
      </c>
      <c r="D552" s="20" t="s">
        <v>147</v>
      </c>
      <c r="E552" s="20" t="s">
        <v>1709</v>
      </c>
      <c r="F552" s="20">
        <v>1</v>
      </c>
      <c r="G552" s="20" t="s">
        <v>241</v>
      </c>
      <c r="H552" s="20" t="s">
        <v>1710</v>
      </c>
      <c r="I552" s="21" t="s">
        <v>733</v>
      </c>
      <c r="J552" s="21"/>
      <c r="K552" s="21"/>
      <c r="L552" s="21" t="s">
        <v>1711</v>
      </c>
      <c r="M552" s="21" t="s">
        <v>62</v>
      </c>
      <c r="N552" s="21" t="s">
        <v>130</v>
      </c>
    </row>
    <row r="553" spans="1:14" ht="64.05" customHeight="1">
      <c r="A553" s="20" t="s">
        <v>1573</v>
      </c>
      <c r="B553" s="20" t="s">
        <v>21</v>
      </c>
      <c r="C553" s="20" t="s">
        <v>239</v>
      </c>
      <c r="D553" s="20" t="s">
        <v>147</v>
      </c>
      <c r="E553" s="20" t="s">
        <v>1712</v>
      </c>
      <c r="F553" s="20">
        <v>1</v>
      </c>
      <c r="G553" s="20" t="s">
        <v>92</v>
      </c>
      <c r="H553" s="20"/>
      <c r="I553" s="21" t="s">
        <v>1713</v>
      </c>
      <c r="J553" s="21"/>
      <c r="K553" s="21" t="s">
        <v>1714</v>
      </c>
      <c r="L553" s="21" t="s">
        <v>1715</v>
      </c>
      <c r="M553" s="21" t="s">
        <v>62</v>
      </c>
      <c r="N553" s="21" t="s">
        <v>63</v>
      </c>
    </row>
    <row r="554" spans="1:14" ht="64.05" customHeight="1">
      <c r="A554" s="20" t="s">
        <v>1573</v>
      </c>
      <c r="B554" s="20" t="s">
        <v>21</v>
      </c>
      <c r="C554" s="20" t="s">
        <v>270</v>
      </c>
      <c r="D554" s="20" t="s">
        <v>271</v>
      </c>
      <c r="E554" s="20" t="s">
        <v>1716</v>
      </c>
      <c r="F554" s="20">
        <v>1</v>
      </c>
      <c r="G554" s="20" t="s">
        <v>1717</v>
      </c>
      <c r="H554" s="20" t="s">
        <v>1718</v>
      </c>
      <c r="I554" s="21" t="s">
        <v>1719</v>
      </c>
      <c r="J554" s="21"/>
      <c r="K554" s="21" t="s">
        <v>109</v>
      </c>
      <c r="L554" s="21" t="s">
        <v>1720</v>
      </c>
      <c r="M554" s="21" t="s">
        <v>73</v>
      </c>
      <c r="N554" s="21"/>
    </row>
    <row r="555" spans="1:14" ht="64.05" customHeight="1">
      <c r="A555" s="20" t="s">
        <v>1573</v>
      </c>
      <c r="B555" s="20" t="s">
        <v>21</v>
      </c>
      <c r="C555" s="20" t="s">
        <v>270</v>
      </c>
      <c r="D555" s="20" t="s">
        <v>271</v>
      </c>
      <c r="E555" s="20" t="s">
        <v>1721</v>
      </c>
      <c r="F555" s="20">
        <v>1</v>
      </c>
      <c r="G555" s="20" t="s">
        <v>1717</v>
      </c>
      <c r="H555" s="20" t="s">
        <v>1718</v>
      </c>
      <c r="I555" s="21" t="s">
        <v>1722</v>
      </c>
      <c r="J555" s="21"/>
      <c r="K555" s="21" t="s">
        <v>109</v>
      </c>
      <c r="L555" s="21" t="s">
        <v>1720</v>
      </c>
      <c r="M555" s="21" t="s">
        <v>73</v>
      </c>
      <c r="N555" s="21"/>
    </row>
    <row r="556" spans="1:14" ht="64.05" customHeight="1">
      <c r="A556" s="20" t="s">
        <v>1573</v>
      </c>
      <c r="B556" s="20" t="s">
        <v>21</v>
      </c>
      <c r="C556" s="20" t="s">
        <v>254</v>
      </c>
      <c r="D556" s="20" t="s">
        <v>255</v>
      </c>
      <c r="E556" s="20" t="s">
        <v>1723</v>
      </c>
      <c r="F556" s="20">
        <v>1</v>
      </c>
      <c r="G556" s="20" t="s">
        <v>1724</v>
      </c>
      <c r="H556" s="20" t="s">
        <v>1560</v>
      </c>
      <c r="I556" s="21" t="s">
        <v>1725</v>
      </c>
      <c r="J556" s="21"/>
      <c r="K556" s="21" t="s">
        <v>109</v>
      </c>
      <c r="L556" s="21" t="s">
        <v>1720</v>
      </c>
      <c r="M556" s="21" t="s">
        <v>73</v>
      </c>
      <c r="N556" s="21"/>
    </row>
    <row r="557" spans="1:14" ht="64.05" customHeight="1">
      <c r="A557" s="20" t="s">
        <v>1573</v>
      </c>
      <c r="B557" s="20" t="s">
        <v>21</v>
      </c>
      <c r="C557" s="20" t="s">
        <v>254</v>
      </c>
      <c r="D557" s="20" t="s">
        <v>255</v>
      </c>
      <c r="E557" s="20" t="s">
        <v>1726</v>
      </c>
      <c r="F557" s="20">
        <v>1</v>
      </c>
      <c r="G557" s="20" t="s">
        <v>1727</v>
      </c>
      <c r="H557" s="20" t="s">
        <v>1728</v>
      </c>
      <c r="I557" s="21" t="s">
        <v>1729</v>
      </c>
      <c r="J557" s="21"/>
      <c r="K557" s="21" t="s">
        <v>109</v>
      </c>
      <c r="L557" s="21" t="s">
        <v>1720</v>
      </c>
      <c r="M557" s="21" t="s">
        <v>73</v>
      </c>
      <c r="N557" s="21"/>
    </row>
    <row r="558" spans="1:14" ht="64.05" customHeight="1">
      <c r="A558" s="20" t="s">
        <v>1573</v>
      </c>
      <c r="B558" s="20" t="s">
        <v>21</v>
      </c>
      <c r="C558" s="20" t="s">
        <v>254</v>
      </c>
      <c r="D558" s="20" t="s">
        <v>255</v>
      </c>
      <c r="E558" s="20" t="s">
        <v>1730</v>
      </c>
      <c r="F558" s="20">
        <v>1</v>
      </c>
      <c r="G558" s="20" t="s">
        <v>1731</v>
      </c>
      <c r="H558" s="20" t="s">
        <v>1732</v>
      </c>
      <c r="I558" s="21" t="s">
        <v>1729</v>
      </c>
      <c r="J558" s="21"/>
      <c r="K558" s="21" t="s">
        <v>109</v>
      </c>
      <c r="L558" s="21" t="s">
        <v>1733</v>
      </c>
      <c r="M558" s="21" t="s">
        <v>73</v>
      </c>
      <c r="N558" s="21"/>
    </row>
    <row r="559" spans="1:14" ht="64.05" customHeight="1">
      <c r="A559" s="20" t="s">
        <v>1573</v>
      </c>
      <c r="B559" s="20" t="s">
        <v>21</v>
      </c>
      <c r="C559" s="20" t="s">
        <v>270</v>
      </c>
      <c r="D559" s="20" t="s">
        <v>271</v>
      </c>
      <c r="E559" s="20" t="s">
        <v>1734</v>
      </c>
      <c r="F559" s="20">
        <v>1</v>
      </c>
      <c r="G559" s="20" t="s">
        <v>1735</v>
      </c>
      <c r="H559" s="20" t="s">
        <v>1736</v>
      </c>
      <c r="I559" s="21" t="s">
        <v>205</v>
      </c>
      <c r="J559" s="21"/>
      <c r="K559" s="21" t="s">
        <v>78</v>
      </c>
      <c r="L559" s="21" t="s">
        <v>1737</v>
      </c>
      <c r="M559" s="21" t="s">
        <v>73</v>
      </c>
      <c r="N559" s="21"/>
    </row>
    <row r="560" spans="1:14" ht="64.05" customHeight="1">
      <c r="A560" s="20" t="s">
        <v>1573</v>
      </c>
      <c r="B560" s="20" t="s">
        <v>21</v>
      </c>
      <c r="C560" s="20" t="s">
        <v>254</v>
      </c>
      <c r="D560" s="20" t="s">
        <v>255</v>
      </c>
      <c r="E560" s="20" t="s">
        <v>1738</v>
      </c>
      <c r="F560" s="20">
        <v>1</v>
      </c>
      <c r="G560" s="20" t="s">
        <v>92</v>
      </c>
      <c r="H560" s="20"/>
      <c r="I560" s="21" t="s">
        <v>1739</v>
      </c>
      <c r="J560" s="21"/>
      <c r="K560" s="21" t="s">
        <v>1740</v>
      </c>
      <c r="L560" s="21" t="s">
        <v>1741</v>
      </c>
      <c r="M560" s="21" t="s">
        <v>73</v>
      </c>
      <c r="N560" s="21"/>
    </row>
    <row r="561" spans="1:14" ht="64.05" customHeight="1">
      <c r="A561" s="20" t="s">
        <v>1573</v>
      </c>
      <c r="B561" s="20" t="s">
        <v>21</v>
      </c>
      <c r="C561" s="20" t="s">
        <v>270</v>
      </c>
      <c r="D561" s="20" t="s">
        <v>271</v>
      </c>
      <c r="E561" s="20" t="s">
        <v>1742</v>
      </c>
      <c r="F561" s="20">
        <v>1</v>
      </c>
      <c r="G561" s="20" t="s">
        <v>92</v>
      </c>
      <c r="H561" s="20"/>
      <c r="I561" s="21" t="s">
        <v>1743</v>
      </c>
      <c r="J561" s="21" t="s">
        <v>672</v>
      </c>
      <c r="K561" s="21" t="s">
        <v>141</v>
      </c>
      <c r="L561" s="21" t="s">
        <v>1744</v>
      </c>
      <c r="M561" s="21" t="s">
        <v>102</v>
      </c>
      <c r="N561" s="21"/>
    </row>
    <row r="562" spans="1:14" ht="64.05" customHeight="1">
      <c r="A562" s="20" t="s">
        <v>1745</v>
      </c>
      <c r="B562" s="20" t="s">
        <v>23</v>
      </c>
      <c r="C562" s="20" t="s">
        <v>103</v>
      </c>
      <c r="D562" s="20" t="s">
        <v>104</v>
      </c>
      <c r="E562" s="20" t="s">
        <v>1746</v>
      </c>
      <c r="F562" s="20">
        <v>1</v>
      </c>
      <c r="G562" s="20" t="s">
        <v>1747</v>
      </c>
      <c r="H562" s="20" t="s">
        <v>1748</v>
      </c>
      <c r="I562" s="21" t="s">
        <v>1749</v>
      </c>
      <c r="J562" s="21"/>
      <c r="K562" s="21" t="s">
        <v>1750</v>
      </c>
      <c r="L562" s="21" t="s">
        <v>1751</v>
      </c>
      <c r="M562" s="21" t="s">
        <v>62</v>
      </c>
      <c r="N562" s="21" t="s">
        <v>1752</v>
      </c>
    </row>
    <row r="563" spans="1:14" ht="64.05" customHeight="1">
      <c r="A563" s="20" t="s">
        <v>1745</v>
      </c>
      <c r="B563" s="20" t="s">
        <v>23</v>
      </c>
      <c r="C563" s="20" t="s">
        <v>103</v>
      </c>
      <c r="D563" s="20" t="s">
        <v>104</v>
      </c>
      <c r="E563" s="20" t="s">
        <v>1753</v>
      </c>
      <c r="F563" s="20">
        <v>1</v>
      </c>
      <c r="G563" s="20" t="s">
        <v>1754</v>
      </c>
      <c r="H563" s="20" t="s">
        <v>1755</v>
      </c>
      <c r="I563" s="21" t="s">
        <v>1756</v>
      </c>
      <c r="J563" s="21"/>
      <c r="K563" s="21" t="s">
        <v>1757</v>
      </c>
      <c r="L563" s="21" t="s">
        <v>1758</v>
      </c>
      <c r="M563" s="21" t="s">
        <v>73</v>
      </c>
      <c r="N563" s="21"/>
    </row>
    <row r="564" spans="1:14" ht="64.05" customHeight="1">
      <c r="A564" s="20" t="s">
        <v>1745</v>
      </c>
      <c r="B564" s="20" t="s">
        <v>23</v>
      </c>
      <c r="C564" s="20" t="s">
        <v>103</v>
      </c>
      <c r="D564" s="20" t="s">
        <v>104</v>
      </c>
      <c r="E564" s="20" t="s">
        <v>1759</v>
      </c>
      <c r="F564" s="20">
        <v>1</v>
      </c>
      <c r="G564" s="20" t="s">
        <v>1754</v>
      </c>
      <c r="H564" s="20" t="s">
        <v>1755</v>
      </c>
      <c r="I564" s="21" t="s">
        <v>1756</v>
      </c>
      <c r="J564" s="21"/>
      <c r="K564" s="21" t="s">
        <v>1757</v>
      </c>
      <c r="L564" s="21" t="s">
        <v>1758</v>
      </c>
      <c r="M564" s="21" t="s">
        <v>73</v>
      </c>
      <c r="N564" s="21"/>
    </row>
    <row r="565" spans="1:14" ht="64.05" customHeight="1">
      <c r="A565" s="20" t="s">
        <v>1745</v>
      </c>
      <c r="B565" s="20" t="s">
        <v>23</v>
      </c>
      <c r="C565" s="20" t="s">
        <v>103</v>
      </c>
      <c r="D565" s="20" t="s">
        <v>104</v>
      </c>
      <c r="E565" s="20" t="s">
        <v>1760</v>
      </c>
      <c r="F565" s="20">
        <v>1</v>
      </c>
      <c r="G565" s="20" t="s">
        <v>1754</v>
      </c>
      <c r="H565" s="20" t="s">
        <v>1755</v>
      </c>
      <c r="I565" s="21" t="s">
        <v>1756</v>
      </c>
      <c r="J565" s="21"/>
      <c r="K565" s="21" t="s">
        <v>1757</v>
      </c>
      <c r="L565" s="21" t="s">
        <v>1758</v>
      </c>
      <c r="M565" s="21" t="s">
        <v>73</v>
      </c>
      <c r="N565" s="21"/>
    </row>
    <row r="566" spans="1:14" ht="64.05" customHeight="1">
      <c r="A566" s="20" t="s">
        <v>1745</v>
      </c>
      <c r="B566" s="20" t="s">
        <v>23</v>
      </c>
      <c r="C566" s="20" t="s">
        <v>103</v>
      </c>
      <c r="D566" s="20" t="s">
        <v>104</v>
      </c>
      <c r="E566" s="20" t="s">
        <v>1761</v>
      </c>
      <c r="F566" s="20">
        <v>1</v>
      </c>
      <c r="G566" s="20" t="s">
        <v>1754</v>
      </c>
      <c r="H566" s="20" t="s">
        <v>1755</v>
      </c>
      <c r="I566" s="21" t="s">
        <v>1756</v>
      </c>
      <c r="J566" s="21"/>
      <c r="K566" s="21" t="s">
        <v>1757</v>
      </c>
      <c r="L566" s="21" t="s">
        <v>1758</v>
      </c>
      <c r="M566" s="21" t="s">
        <v>73</v>
      </c>
      <c r="N566" s="21"/>
    </row>
    <row r="567" spans="1:14" ht="64.05" customHeight="1">
      <c r="A567" s="20" t="s">
        <v>1745</v>
      </c>
      <c r="B567" s="20" t="s">
        <v>23</v>
      </c>
      <c r="C567" s="20" t="s">
        <v>103</v>
      </c>
      <c r="D567" s="20" t="s">
        <v>104</v>
      </c>
      <c r="E567" s="20" t="s">
        <v>1762</v>
      </c>
      <c r="F567" s="20">
        <v>1</v>
      </c>
      <c r="G567" s="20" t="s">
        <v>1754</v>
      </c>
      <c r="H567" s="20" t="s">
        <v>1755</v>
      </c>
      <c r="I567" s="21" t="s">
        <v>1756</v>
      </c>
      <c r="J567" s="21"/>
      <c r="K567" s="21" t="s">
        <v>1757</v>
      </c>
      <c r="L567" s="21" t="s">
        <v>1758</v>
      </c>
      <c r="M567" s="21" t="s">
        <v>73</v>
      </c>
      <c r="N567" s="21"/>
    </row>
    <row r="568" spans="1:14" ht="64.05" customHeight="1">
      <c r="A568" s="20" t="s">
        <v>1745</v>
      </c>
      <c r="B568" s="20" t="s">
        <v>23</v>
      </c>
      <c r="C568" s="20" t="s">
        <v>103</v>
      </c>
      <c r="D568" s="20" t="s">
        <v>104</v>
      </c>
      <c r="E568" s="20" t="s">
        <v>1763</v>
      </c>
      <c r="F568" s="20">
        <v>1</v>
      </c>
      <c r="G568" s="20" t="s">
        <v>1754</v>
      </c>
      <c r="H568" s="20" t="s">
        <v>1755</v>
      </c>
      <c r="I568" s="21" t="s">
        <v>1756</v>
      </c>
      <c r="J568" s="21"/>
      <c r="K568" s="21" t="s">
        <v>1757</v>
      </c>
      <c r="L568" s="21" t="s">
        <v>1758</v>
      </c>
      <c r="M568" s="21" t="s">
        <v>73</v>
      </c>
      <c r="N568" s="21"/>
    </row>
    <row r="569" spans="1:14" ht="64.05" customHeight="1">
      <c r="A569" s="20" t="s">
        <v>1745</v>
      </c>
      <c r="B569" s="20" t="s">
        <v>23</v>
      </c>
      <c r="C569" s="20" t="s">
        <v>103</v>
      </c>
      <c r="D569" s="20" t="s">
        <v>104</v>
      </c>
      <c r="E569" s="20" t="s">
        <v>1764</v>
      </c>
      <c r="F569" s="20">
        <v>1</v>
      </c>
      <c r="G569" s="20" t="s">
        <v>1754</v>
      </c>
      <c r="H569" s="20" t="s">
        <v>1755</v>
      </c>
      <c r="I569" s="21" t="s">
        <v>1756</v>
      </c>
      <c r="J569" s="21"/>
      <c r="K569" s="21" t="s">
        <v>1757</v>
      </c>
      <c r="L569" s="21" t="s">
        <v>1758</v>
      </c>
      <c r="M569" s="21" t="s">
        <v>73</v>
      </c>
      <c r="N569" s="21"/>
    </row>
    <row r="570" spans="1:14" ht="64.05" customHeight="1">
      <c r="A570" s="20" t="s">
        <v>1745</v>
      </c>
      <c r="B570" s="20" t="s">
        <v>23</v>
      </c>
      <c r="C570" s="20" t="s">
        <v>103</v>
      </c>
      <c r="D570" s="20" t="s">
        <v>104</v>
      </c>
      <c r="E570" s="20" t="s">
        <v>1765</v>
      </c>
      <c r="F570" s="20">
        <v>1</v>
      </c>
      <c r="G570" s="20" t="s">
        <v>1754</v>
      </c>
      <c r="H570" s="20" t="s">
        <v>1755</v>
      </c>
      <c r="I570" s="21" t="s">
        <v>1756</v>
      </c>
      <c r="J570" s="21"/>
      <c r="K570" s="21" t="s">
        <v>1757</v>
      </c>
      <c r="L570" s="21" t="s">
        <v>1758</v>
      </c>
      <c r="M570" s="21" t="s">
        <v>73</v>
      </c>
      <c r="N570" s="21"/>
    </row>
    <row r="571" spans="1:14" ht="64.05" customHeight="1">
      <c r="A571" s="20" t="s">
        <v>1745</v>
      </c>
      <c r="B571" s="20" t="s">
        <v>23</v>
      </c>
      <c r="C571" s="20" t="s">
        <v>103</v>
      </c>
      <c r="D571" s="20" t="s">
        <v>104</v>
      </c>
      <c r="E571" s="20" t="s">
        <v>1766</v>
      </c>
      <c r="F571" s="20">
        <v>1</v>
      </c>
      <c r="G571" s="20" t="s">
        <v>1754</v>
      </c>
      <c r="H571" s="20" t="s">
        <v>1755</v>
      </c>
      <c r="I571" s="21" t="s">
        <v>1767</v>
      </c>
      <c r="J571" s="21"/>
      <c r="K571" s="21" t="s">
        <v>406</v>
      </c>
      <c r="L571" s="21" t="s">
        <v>1768</v>
      </c>
      <c r="M571" s="21" t="s">
        <v>73</v>
      </c>
      <c r="N571" s="21"/>
    </row>
    <row r="572" spans="1:14" ht="64.05" customHeight="1">
      <c r="A572" s="20" t="s">
        <v>1745</v>
      </c>
      <c r="B572" s="20" t="s">
        <v>23</v>
      </c>
      <c r="C572" s="20" t="s">
        <v>103</v>
      </c>
      <c r="D572" s="20" t="s">
        <v>104</v>
      </c>
      <c r="E572" s="20" t="s">
        <v>1769</v>
      </c>
      <c r="F572" s="20">
        <v>1</v>
      </c>
      <c r="G572" s="20" t="s">
        <v>1754</v>
      </c>
      <c r="H572" s="20" t="s">
        <v>1755</v>
      </c>
      <c r="I572" s="21" t="s">
        <v>1767</v>
      </c>
      <c r="J572" s="21"/>
      <c r="K572" s="21" t="s">
        <v>406</v>
      </c>
      <c r="L572" s="21" t="s">
        <v>1768</v>
      </c>
      <c r="M572" s="21" t="s">
        <v>73</v>
      </c>
      <c r="N572" s="21"/>
    </row>
    <row r="573" spans="1:14" ht="64.05" customHeight="1">
      <c r="A573" s="20" t="s">
        <v>1745</v>
      </c>
      <c r="B573" s="20" t="s">
        <v>23</v>
      </c>
      <c r="C573" s="20" t="s">
        <v>103</v>
      </c>
      <c r="D573" s="20" t="s">
        <v>104</v>
      </c>
      <c r="E573" s="20" t="s">
        <v>1770</v>
      </c>
      <c r="F573" s="20">
        <v>1</v>
      </c>
      <c r="G573" s="20" t="s">
        <v>139</v>
      </c>
      <c r="H573" s="20"/>
      <c r="I573" s="21" t="s">
        <v>1771</v>
      </c>
      <c r="J573" s="21"/>
      <c r="K573" s="21" t="s">
        <v>1772</v>
      </c>
      <c r="L573" s="21" t="s">
        <v>1773</v>
      </c>
      <c r="M573" s="21" t="s">
        <v>73</v>
      </c>
      <c r="N573" s="21"/>
    </row>
    <row r="574" spans="1:14" ht="64.05" customHeight="1">
      <c r="A574" s="20" t="s">
        <v>1745</v>
      </c>
      <c r="B574" s="20" t="s">
        <v>21</v>
      </c>
      <c r="C574" s="20" t="s">
        <v>724</v>
      </c>
      <c r="D574" s="20" t="s">
        <v>725</v>
      </c>
      <c r="E574" s="20" t="s">
        <v>1774</v>
      </c>
      <c r="F574" s="20">
        <v>1</v>
      </c>
      <c r="G574" s="20" t="s">
        <v>1775</v>
      </c>
      <c r="H574" s="20" t="s">
        <v>1776</v>
      </c>
      <c r="I574" s="21" t="s">
        <v>1777</v>
      </c>
      <c r="J574" s="21"/>
      <c r="K574" s="21" t="s">
        <v>1778</v>
      </c>
      <c r="L574" s="21" t="s">
        <v>1779</v>
      </c>
      <c r="M574" s="21" t="s">
        <v>62</v>
      </c>
      <c r="N574" s="21" t="s">
        <v>1752</v>
      </c>
    </row>
    <row r="575" spans="1:14" ht="64.05" customHeight="1">
      <c r="A575" s="20" t="s">
        <v>1745</v>
      </c>
      <c r="B575" s="20" t="s">
        <v>21</v>
      </c>
      <c r="C575" s="20" t="s">
        <v>724</v>
      </c>
      <c r="D575" s="20" t="s">
        <v>725</v>
      </c>
      <c r="E575" s="20" t="s">
        <v>1780</v>
      </c>
      <c r="F575" s="20">
        <v>1</v>
      </c>
      <c r="G575" s="20" t="s">
        <v>1781</v>
      </c>
      <c r="H575" s="20" t="s">
        <v>1782</v>
      </c>
      <c r="I575" s="21" t="s">
        <v>1783</v>
      </c>
      <c r="J575" s="21"/>
      <c r="K575" s="21" t="s">
        <v>406</v>
      </c>
      <c r="L575" s="21" t="s">
        <v>1784</v>
      </c>
      <c r="M575" s="21" t="s">
        <v>62</v>
      </c>
      <c r="N575" s="21" t="s">
        <v>1752</v>
      </c>
    </row>
    <row r="576" spans="1:14" ht="64.05" customHeight="1">
      <c r="A576" s="20" t="s">
        <v>1745</v>
      </c>
      <c r="B576" s="20" t="s">
        <v>21</v>
      </c>
      <c r="C576" s="20" t="s">
        <v>724</v>
      </c>
      <c r="D576" s="20" t="s">
        <v>725</v>
      </c>
      <c r="E576" s="20" t="s">
        <v>1785</v>
      </c>
      <c r="F576" s="20">
        <v>1</v>
      </c>
      <c r="G576" s="20" t="s">
        <v>1781</v>
      </c>
      <c r="H576" s="20" t="s">
        <v>1782</v>
      </c>
      <c r="I576" s="21" t="s">
        <v>1783</v>
      </c>
      <c r="J576" s="21"/>
      <c r="K576" s="21" t="s">
        <v>406</v>
      </c>
      <c r="L576" s="21" t="s">
        <v>1784</v>
      </c>
      <c r="M576" s="21" t="s">
        <v>62</v>
      </c>
      <c r="N576" s="21" t="s">
        <v>1752</v>
      </c>
    </row>
    <row r="577" spans="1:14" ht="64.05" customHeight="1">
      <c r="A577" s="20" t="s">
        <v>1745</v>
      </c>
      <c r="B577" s="20" t="s">
        <v>24</v>
      </c>
      <c r="C577" s="20" t="s">
        <v>426</v>
      </c>
      <c r="D577" s="20" t="s">
        <v>427</v>
      </c>
      <c r="E577" s="20" t="s">
        <v>1786</v>
      </c>
      <c r="F577" s="20">
        <v>1</v>
      </c>
      <c r="G577" s="20" t="s">
        <v>1787</v>
      </c>
      <c r="H577" s="20" t="s">
        <v>1788</v>
      </c>
      <c r="I577" s="21" t="s">
        <v>1789</v>
      </c>
      <c r="J577" s="21"/>
      <c r="K577" s="21" t="s">
        <v>78</v>
      </c>
      <c r="L577" s="21" t="s">
        <v>1790</v>
      </c>
      <c r="M577" s="21" t="s">
        <v>62</v>
      </c>
      <c r="N577" s="21" t="s">
        <v>130</v>
      </c>
    </row>
    <row r="578" spans="1:14" ht="64.05" customHeight="1">
      <c r="A578" s="20" t="s">
        <v>1745</v>
      </c>
      <c r="B578" s="20" t="s">
        <v>24</v>
      </c>
      <c r="C578" s="20" t="s">
        <v>426</v>
      </c>
      <c r="D578" s="20" t="s">
        <v>427</v>
      </c>
      <c r="E578" s="20" t="s">
        <v>1791</v>
      </c>
      <c r="F578" s="20">
        <v>1</v>
      </c>
      <c r="G578" s="20" t="s">
        <v>1787</v>
      </c>
      <c r="H578" s="20" t="s">
        <v>1788</v>
      </c>
      <c r="I578" s="21" t="s">
        <v>1789</v>
      </c>
      <c r="J578" s="21"/>
      <c r="K578" s="21" t="s">
        <v>78</v>
      </c>
      <c r="L578" s="21" t="s">
        <v>1792</v>
      </c>
      <c r="M578" s="21" t="s">
        <v>62</v>
      </c>
      <c r="N578" s="21" t="s">
        <v>130</v>
      </c>
    </row>
    <row r="579" spans="1:14" ht="64.05" customHeight="1">
      <c r="A579" s="20" t="s">
        <v>1745</v>
      </c>
      <c r="B579" s="20" t="s">
        <v>24</v>
      </c>
      <c r="C579" s="20" t="s">
        <v>426</v>
      </c>
      <c r="D579" s="20" t="s">
        <v>427</v>
      </c>
      <c r="E579" s="20" t="s">
        <v>1793</v>
      </c>
      <c r="F579" s="20">
        <v>1</v>
      </c>
      <c r="G579" s="20" t="s">
        <v>1787</v>
      </c>
      <c r="H579" s="20" t="s">
        <v>1788</v>
      </c>
      <c r="I579" s="21" t="s">
        <v>1794</v>
      </c>
      <c r="J579" s="21"/>
      <c r="K579" s="21" t="s">
        <v>406</v>
      </c>
      <c r="L579" s="21" t="s">
        <v>1795</v>
      </c>
      <c r="M579" s="21" t="s">
        <v>62</v>
      </c>
      <c r="N579" s="21" t="s">
        <v>130</v>
      </c>
    </row>
    <row r="580" spans="1:14" ht="64.05" customHeight="1">
      <c r="A580" s="20" t="s">
        <v>1745</v>
      </c>
      <c r="B580" s="20" t="s">
        <v>24</v>
      </c>
      <c r="C580" s="20" t="s">
        <v>426</v>
      </c>
      <c r="D580" s="20" t="s">
        <v>427</v>
      </c>
      <c r="E580" s="20" t="s">
        <v>1796</v>
      </c>
      <c r="F580" s="20">
        <v>1</v>
      </c>
      <c r="G580" s="20" t="s">
        <v>139</v>
      </c>
      <c r="H580" s="20"/>
      <c r="I580" s="21" t="s">
        <v>1797</v>
      </c>
      <c r="J580" s="21"/>
      <c r="K580" s="21" t="s">
        <v>406</v>
      </c>
      <c r="L580" s="21" t="s">
        <v>1798</v>
      </c>
      <c r="M580" s="21" t="s">
        <v>62</v>
      </c>
      <c r="N580" s="21" t="s">
        <v>63</v>
      </c>
    </row>
    <row r="581" spans="1:14" ht="64.05" customHeight="1">
      <c r="A581" s="20" t="s">
        <v>1745</v>
      </c>
      <c r="B581" s="20" t="s">
        <v>24</v>
      </c>
      <c r="C581" s="20" t="s">
        <v>426</v>
      </c>
      <c r="D581" s="20" t="s">
        <v>427</v>
      </c>
      <c r="E581" s="20" t="s">
        <v>1799</v>
      </c>
      <c r="F581" s="20">
        <v>1</v>
      </c>
      <c r="G581" s="20" t="s">
        <v>92</v>
      </c>
      <c r="H581" s="20"/>
      <c r="I581" s="21" t="s">
        <v>1797</v>
      </c>
      <c r="J581" s="21" t="s">
        <v>99</v>
      </c>
      <c r="K581" s="21" t="s">
        <v>406</v>
      </c>
      <c r="L581" s="21" t="s">
        <v>1800</v>
      </c>
      <c r="M581" s="21" t="s">
        <v>102</v>
      </c>
      <c r="N581" s="21"/>
    </row>
    <row r="582" spans="1:14" ht="64.05" customHeight="1">
      <c r="A582" s="20" t="s">
        <v>1745</v>
      </c>
      <c r="B582" s="20" t="s">
        <v>24</v>
      </c>
      <c r="C582" s="20" t="s">
        <v>426</v>
      </c>
      <c r="D582" s="20" t="s">
        <v>427</v>
      </c>
      <c r="E582" s="20" t="s">
        <v>1801</v>
      </c>
      <c r="F582" s="20">
        <v>1</v>
      </c>
      <c r="G582" s="20" t="s">
        <v>92</v>
      </c>
      <c r="H582" s="20"/>
      <c r="I582" s="21" t="s">
        <v>1797</v>
      </c>
      <c r="J582" s="21" t="s">
        <v>672</v>
      </c>
      <c r="K582" s="21" t="s">
        <v>406</v>
      </c>
      <c r="L582" s="21" t="s">
        <v>1802</v>
      </c>
      <c r="M582" s="21" t="s">
        <v>102</v>
      </c>
      <c r="N582" s="21"/>
    </row>
    <row r="583" spans="1:14" ht="64.05" customHeight="1">
      <c r="A583" s="20" t="s">
        <v>1745</v>
      </c>
      <c r="B583" s="20" t="s">
        <v>21</v>
      </c>
      <c r="C583" s="20" t="s">
        <v>207</v>
      </c>
      <c r="D583" s="20" t="s">
        <v>208</v>
      </c>
      <c r="E583" s="20" t="s">
        <v>1803</v>
      </c>
      <c r="F583" s="20">
        <v>1</v>
      </c>
      <c r="G583" s="20" t="s">
        <v>1804</v>
      </c>
      <c r="H583" s="20" t="s">
        <v>1805</v>
      </c>
      <c r="I583" s="21" t="s">
        <v>1806</v>
      </c>
      <c r="J583" s="21"/>
      <c r="K583" s="21" t="s">
        <v>406</v>
      </c>
      <c r="L583" s="21" t="s">
        <v>1807</v>
      </c>
      <c r="M583" s="21" t="s">
        <v>73</v>
      </c>
      <c r="N583" s="21"/>
    </row>
    <row r="584" spans="1:14" ht="64.05" customHeight="1">
      <c r="A584" s="20" t="s">
        <v>1745</v>
      </c>
      <c r="B584" s="20" t="s">
        <v>21</v>
      </c>
      <c r="C584" s="20" t="s">
        <v>207</v>
      </c>
      <c r="D584" s="20" t="s">
        <v>208</v>
      </c>
      <c r="E584" s="20" t="s">
        <v>1808</v>
      </c>
      <c r="F584" s="20">
        <v>1</v>
      </c>
      <c r="G584" s="20"/>
      <c r="H584" s="20"/>
      <c r="I584" s="21" t="s">
        <v>1767</v>
      </c>
      <c r="J584" s="21"/>
      <c r="K584" s="21" t="s">
        <v>406</v>
      </c>
      <c r="L584" s="21" t="s">
        <v>1809</v>
      </c>
      <c r="M584" s="21" t="s">
        <v>62</v>
      </c>
      <c r="N584" s="21" t="s">
        <v>63</v>
      </c>
    </row>
    <row r="585" spans="1:14" ht="64.05" customHeight="1">
      <c r="A585" s="20" t="s">
        <v>1745</v>
      </c>
      <c r="B585" s="20" t="s">
        <v>21</v>
      </c>
      <c r="C585" s="20" t="s">
        <v>207</v>
      </c>
      <c r="D585" s="20" t="s">
        <v>208</v>
      </c>
      <c r="E585" s="20" t="s">
        <v>1810</v>
      </c>
      <c r="F585" s="20">
        <v>1</v>
      </c>
      <c r="G585" s="20" t="s">
        <v>1811</v>
      </c>
      <c r="H585" s="20" t="s">
        <v>1812</v>
      </c>
      <c r="I585" s="21" t="s">
        <v>1813</v>
      </c>
      <c r="J585" s="21"/>
      <c r="K585" s="21" t="s">
        <v>78</v>
      </c>
      <c r="L585" s="21" t="s">
        <v>1814</v>
      </c>
      <c r="M585" s="21" t="s">
        <v>62</v>
      </c>
      <c r="N585" s="21" t="s">
        <v>130</v>
      </c>
    </row>
    <row r="586" spans="1:14" ht="64.05" customHeight="1">
      <c r="A586" s="20" t="s">
        <v>1745</v>
      </c>
      <c r="B586" s="20" t="s">
        <v>24</v>
      </c>
      <c r="C586" s="20" t="s">
        <v>431</v>
      </c>
      <c r="D586" s="20" t="s">
        <v>216</v>
      </c>
      <c r="E586" s="20" t="s">
        <v>1815</v>
      </c>
      <c r="F586" s="20">
        <v>1</v>
      </c>
      <c r="G586" s="20" t="s">
        <v>139</v>
      </c>
      <c r="H586" s="20"/>
      <c r="I586" s="21" t="s">
        <v>1797</v>
      </c>
      <c r="J586" s="21"/>
      <c r="K586" s="21" t="s">
        <v>1816</v>
      </c>
      <c r="L586" s="21" t="s">
        <v>1817</v>
      </c>
      <c r="M586" s="21" t="s">
        <v>62</v>
      </c>
      <c r="N586" s="21" t="s">
        <v>63</v>
      </c>
    </row>
    <row r="587" spans="1:14" ht="64.05" customHeight="1">
      <c r="A587" s="20" t="s">
        <v>1745</v>
      </c>
      <c r="B587" s="20" t="s">
        <v>24</v>
      </c>
      <c r="C587" s="20" t="s">
        <v>431</v>
      </c>
      <c r="D587" s="20" t="s">
        <v>216</v>
      </c>
      <c r="E587" s="20" t="s">
        <v>1818</v>
      </c>
      <c r="F587" s="20">
        <v>1</v>
      </c>
      <c r="G587" s="20" t="s">
        <v>139</v>
      </c>
      <c r="H587" s="20"/>
      <c r="I587" s="21" t="s">
        <v>1797</v>
      </c>
      <c r="J587" s="21"/>
      <c r="K587" s="21" t="s">
        <v>1816</v>
      </c>
      <c r="L587" s="21" t="s">
        <v>1817</v>
      </c>
      <c r="M587" s="21" t="s">
        <v>62</v>
      </c>
      <c r="N587" s="21" t="s">
        <v>63</v>
      </c>
    </row>
    <row r="588" spans="1:14" ht="64.05" customHeight="1">
      <c r="A588" s="20" t="s">
        <v>1745</v>
      </c>
      <c r="B588" s="20" t="s">
        <v>24</v>
      </c>
      <c r="C588" s="20" t="s">
        <v>431</v>
      </c>
      <c r="D588" s="20" t="s">
        <v>216</v>
      </c>
      <c r="E588" s="20" t="s">
        <v>1819</v>
      </c>
      <c r="F588" s="20">
        <v>1</v>
      </c>
      <c r="G588" s="20" t="s">
        <v>139</v>
      </c>
      <c r="H588" s="20"/>
      <c r="I588" s="21" t="s">
        <v>1797</v>
      </c>
      <c r="J588" s="21"/>
      <c r="K588" s="21" t="s">
        <v>1816</v>
      </c>
      <c r="L588" s="21" t="s">
        <v>1817</v>
      </c>
      <c r="M588" s="21" t="s">
        <v>62</v>
      </c>
      <c r="N588" s="21" t="s">
        <v>63</v>
      </c>
    </row>
    <row r="589" spans="1:14" ht="64.05" customHeight="1">
      <c r="A589" s="20" t="s">
        <v>1745</v>
      </c>
      <c r="B589" s="20" t="s">
        <v>24</v>
      </c>
      <c r="C589" s="20" t="s">
        <v>431</v>
      </c>
      <c r="D589" s="20" t="s">
        <v>216</v>
      </c>
      <c r="E589" s="20" t="s">
        <v>1820</v>
      </c>
      <c r="F589" s="20">
        <v>1</v>
      </c>
      <c r="G589" s="20" t="s">
        <v>139</v>
      </c>
      <c r="H589" s="20"/>
      <c r="I589" s="21" t="s">
        <v>1797</v>
      </c>
      <c r="J589" s="21"/>
      <c r="K589" s="21" t="s">
        <v>1816</v>
      </c>
      <c r="L589" s="21" t="s">
        <v>1817</v>
      </c>
      <c r="M589" s="21" t="s">
        <v>62</v>
      </c>
      <c r="N589" s="21" t="s">
        <v>63</v>
      </c>
    </row>
    <row r="590" spans="1:14" ht="64.05" customHeight="1">
      <c r="A590" s="20" t="s">
        <v>1745</v>
      </c>
      <c r="B590" s="20" t="s">
        <v>24</v>
      </c>
      <c r="C590" s="20" t="s">
        <v>431</v>
      </c>
      <c r="D590" s="20" t="s">
        <v>216</v>
      </c>
      <c r="E590" s="20" t="s">
        <v>1821</v>
      </c>
      <c r="F590" s="20">
        <v>1</v>
      </c>
      <c r="G590" s="20" t="s">
        <v>139</v>
      </c>
      <c r="H590" s="20"/>
      <c r="I590" s="21" t="s">
        <v>1797</v>
      </c>
      <c r="J590" s="21"/>
      <c r="K590" s="21" t="s">
        <v>1816</v>
      </c>
      <c r="L590" s="21" t="s">
        <v>1817</v>
      </c>
      <c r="M590" s="21" t="s">
        <v>62</v>
      </c>
      <c r="N590" s="21" t="s">
        <v>63</v>
      </c>
    </row>
    <row r="591" spans="1:14" ht="64.05" customHeight="1">
      <c r="A591" s="20" t="s">
        <v>1745</v>
      </c>
      <c r="B591" s="20" t="s">
        <v>24</v>
      </c>
      <c r="C591" s="20" t="s">
        <v>431</v>
      </c>
      <c r="D591" s="20" t="s">
        <v>216</v>
      </c>
      <c r="E591" s="20" t="s">
        <v>1822</v>
      </c>
      <c r="F591" s="20">
        <v>1</v>
      </c>
      <c r="G591" s="20" t="s">
        <v>1823</v>
      </c>
      <c r="H591" s="20"/>
      <c r="I591" s="21" t="s">
        <v>1797</v>
      </c>
      <c r="J591" s="21"/>
      <c r="K591" s="21" t="s">
        <v>406</v>
      </c>
      <c r="L591" s="21" t="s">
        <v>1824</v>
      </c>
      <c r="M591" s="21" t="s">
        <v>102</v>
      </c>
      <c r="N591" s="21"/>
    </row>
    <row r="592" spans="1:14" ht="64.05" customHeight="1">
      <c r="A592" s="20" t="s">
        <v>1745</v>
      </c>
      <c r="B592" s="20" t="s">
        <v>24</v>
      </c>
      <c r="C592" s="20" t="s">
        <v>431</v>
      </c>
      <c r="D592" s="20" t="s">
        <v>216</v>
      </c>
      <c r="E592" s="20" t="s">
        <v>1825</v>
      </c>
      <c r="F592" s="20">
        <v>1</v>
      </c>
      <c r="G592" s="20" t="s">
        <v>1826</v>
      </c>
      <c r="H592" s="20"/>
      <c r="I592" s="21" t="s">
        <v>1827</v>
      </c>
      <c r="J592" s="21" t="s">
        <v>245</v>
      </c>
      <c r="K592" s="21" t="s">
        <v>1828</v>
      </c>
      <c r="L592" s="21" t="s">
        <v>1829</v>
      </c>
      <c r="M592" s="21" t="s">
        <v>62</v>
      </c>
      <c r="N592" s="21" t="s">
        <v>719</v>
      </c>
    </row>
    <row r="593" spans="1:14" ht="64.05" customHeight="1">
      <c r="A593" s="20" t="s">
        <v>1745</v>
      </c>
      <c r="B593" s="20" t="s">
        <v>24</v>
      </c>
      <c r="C593" s="20" t="s">
        <v>431</v>
      </c>
      <c r="D593" s="20" t="s">
        <v>216</v>
      </c>
      <c r="E593" s="20" t="s">
        <v>1830</v>
      </c>
      <c r="F593" s="20">
        <v>1</v>
      </c>
      <c r="G593" s="20" t="s">
        <v>1826</v>
      </c>
      <c r="H593" s="20"/>
      <c r="I593" s="21" t="s">
        <v>1831</v>
      </c>
      <c r="J593" s="21" t="s">
        <v>245</v>
      </c>
      <c r="K593" s="21" t="s">
        <v>1832</v>
      </c>
      <c r="L593" s="21" t="s">
        <v>1829</v>
      </c>
      <c r="M593" s="21" t="s">
        <v>62</v>
      </c>
      <c r="N593" s="21" t="s">
        <v>719</v>
      </c>
    </row>
    <row r="594" spans="1:14" ht="64.05" customHeight="1">
      <c r="A594" s="20" t="s">
        <v>1745</v>
      </c>
      <c r="B594" s="20" t="s">
        <v>24</v>
      </c>
      <c r="C594" s="20" t="s">
        <v>431</v>
      </c>
      <c r="D594" s="20" t="s">
        <v>216</v>
      </c>
      <c r="E594" s="20" t="s">
        <v>1833</v>
      </c>
      <c r="F594" s="20">
        <v>1</v>
      </c>
      <c r="G594" s="20" t="s">
        <v>92</v>
      </c>
      <c r="H594" s="20"/>
      <c r="I594" s="21" t="s">
        <v>1834</v>
      </c>
      <c r="J594" s="21" t="s">
        <v>446</v>
      </c>
      <c r="K594" s="21" t="s">
        <v>1835</v>
      </c>
      <c r="L594" s="21" t="s">
        <v>1836</v>
      </c>
      <c r="M594" s="21" t="s">
        <v>102</v>
      </c>
      <c r="N594" s="21"/>
    </row>
    <row r="595" spans="1:14" ht="64.05" customHeight="1">
      <c r="A595" s="20" t="s">
        <v>1745</v>
      </c>
      <c r="B595" s="20" t="s">
        <v>21</v>
      </c>
      <c r="C595" s="20" t="s">
        <v>215</v>
      </c>
      <c r="D595" s="20" t="s">
        <v>216</v>
      </c>
      <c r="E595" s="20" t="s">
        <v>1837</v>
      </c>
      <c r="F595" s="20">
        <v>1</v>
      </c>
      <c r="G595" s="20" t="s">
        <v>92</v>
      </c>
      <c r="H595" s="20"/>
      <c r="I595" s="21" t="s">
        <v>1838</v>
      </c>
      <c r="J595" s="21"/>
      <c r="K595" s="21" t="s">
        <v>109</v>
      </c>
      <c r="L595" s="21" t="s">
        <v>1839</v>
      </c>
      <c r="M595" s="21" t="s">
        <v>73</v>
      </c>
      <c r="N595" s="21"/>
    </row>
    <row r="596" spans="1:14" ht="64.05" customHeight="1">
      <c r="A596" s="20" t="s">
        <v>1745</v>
      </c>
      <c r="B596" s="20" t="s">
        <v>21</v>
      </c>
      <c r="C596" s="20" t="s">
        <v>228</v>
      </c>
      <c r="D596" s="20" t="s">
        <v>229</v>
      </c>
      <c r="E596" s="20" t="s">
        <v>1840</v>
      </c>
      <c r="F596" s="20">
        <v>1</v>
      </c>
      <c r="G596" s="20" t="s">
        <v>92</v>
      </c>
      <c r="H596" s="20"/>
      <c r="I596" s="21" t="s">
        <v>1841</v>
      </c>
      <c r="J596" s="21" t="s">
        <v>446</v>
      </c>
      <c r="K596" s="21" t="s">
        <v>1842</v>
      </c>
      <c r="L596" s="21" t="s">
        <v>1843</v>
      </c>
      <c r="M596" s="21" t="s">
        <v>102</v>
      </c>
      <c r="N596" s="21"/>
    </row>
    <row r="597" spans="1:14" ht="64.05" customHeight="1">
      <c r="A597" s="20" t="s">
        <v>1745</v>
      </c>
      <c r="B597" s="20" t="s">
        <v>20</v>
      </c>
      <c r="C597" s="20" t="s">
        <v>55</v>
      </c>
      <c r="D597" s="20" t="s">
        <v>56</v>
      </c>
      <c r="E597" s="20" t="s">
        <v>1844</v>
      </c>
      <c r="F597" s="20">
        <v>1</v>
      </c>
      <c r="G597" s="20" t="s">
        <v>296</v>
      </c>
      <c r="H597" s="20" t="s">
        <v>1845</v>
      </c>
      <c r="I597" s="21" t="s">
        <v>141</v>
      </c>
      <c r="J597" s="21" t="s">
        <v>99</v>
      </c>
      <c r="K597" s="21" t="s">
        <v>109</v>
      </c>
      <c r="L597" s="21" t="s">
        <v>1846</v>
      </c>
      <c r="M597" s="21" t="s">
        <v>73</v>
      </c>
      <c r="N597" s="21"/>
    </row>
    <row r="598" spans="1:14" ht="64.05" customHeight="1">
      <c r="A598" s="20" t="s">
        <v>1745</v>
      </c>
      <c r="B598" s="20" t="s">
        <v>20</v>
      </c>
      <c r="C598" s="20" t="s">
        <v>55</v>
      </c>
      <c r="D598" s="20" t="s">
        <v>56</v>
      </c>
      <c r="E598" s="20" t="s">
        <v>1847</v>
      </c>
      <c r="F598" s="20">
        <v>1</v>
      </c>
      <c r="G598" s="20" t="s">
        <v>58</v>
      </c>
      <c r="H598" s="20" t="s">
        <v>1848</v>
      </c>
      <c r="I598" s="21" t="s">
        <v>1849</v>
      </c>
      <c r="J598" s="21"/>
      <c r="K598" s="21" t="s">
        <v>78</v>
      </c>
      <c r="L598" s="21" t="s">
        <v>1850</v>
      </c>
      <c r="M598" s="21" t="s">
        <v>73</v>
      </c>
      <c r="N598" s="21"/>
    </row>
    <row r="599" spans="1:14" ht="64.05" customHeight="1">
      <c r="A599" s="20" t="s">
        <v>1745</v>
      </c>
      <c r="B599" s="20" t="s">
        <v>20</v>
      </c>
      <c r="C599" s="20" t="s">
        <v>55</v>
      </c>
      <c r="D599" s="20" t="s">
        <v>56</v>
      </c>
      <c r="E599" s="20" t="s">
        <v>1851</v>
      </c>
      <c r="F599" s="20">
        <v>1</v>
      </c>
      <c r="G599" s="20" t="s">
        <v>58</v>
      </c>
      <c r="H599" s="20" t="s">
        <v>1848</v>
      </c>
      <c r="I599" s="21" t="s">
        <v>1849</v>
      </c>
      <c r="J599" s="21"/>
      <c r="K599" s="21" t="s">
        <v>78</v>
      </c>
      <c r="L599" s="21" t="s">
        <v>1850</v>
      </c>
      <c r="M599" s="21" t="s">
        <v>73</v>
      </c>
      <c r="N599" s="21"/>
    </row>
    <row r="600" spans="1:14" ht="64.05" customHeight="1">
      <c r="A600" s="20" t="s">
        <v>1745</v>
      </c>
      <c r="B600" s="20" t="s">
        <v>20</v>
      </c>
      <c r="C600" s="20" t="s">
        <v>55</v>
      </c>
      <c r="D600" s="20" t="s">
        <v>56</v>
      </c>
      <c r="E600" s="20" t="s">
        <v>1852</v>
      </c>
      <c r="F600" s="20">
        <v>1</v>
      </c>
      <c r="G600" s="20" t="s">
        <v>58</v>
      </c>
      <c r="H600" s="20" t="s">
        <v>1848</v>
      </c>
      <c r="I600" s="21" t="s">
        <v>1849</v>
      </c>
      <c r="J600" s="21"/>
      <c r="K600" s="21" t="s">
        <v>78</v>
      </c>
      <c r="L600" s="21" t="s">
        <v>1850</v>
      </c>
      <c r="M600" s="21" t="s">
        <v>73</v>
      </c>
      <c r="N600" s="21"/>
    </row>
    <row r="601" spans="1:14" ht="64.05" customHeight="1">
      <c r="A601" s="20" t="s">
        <v>1745</v>
      </c>
      <c r="B601" s="20" t="s">
        <v>20</v>
      </c>
      <c r="C601" s="20" t="s">
        <v>55</v>
      </c>
      <c r="D601" s="20" t="s">
        <v>56</v>
      </c>
      <c r="E601" s="20" t="s">
        <v>1853</v>
      </c>
      <c r="F601" s="20">
        <v>1</v>
      </c>
      <c r="G601" s="20" t="s">
        <v>58</v>
      </c>
      <c r="H601" s="20" t="s">
        <v>1848</v>
      </c>
      <c r="I601" s="21" t="s">
        <v>1849</v>
      </c>
      <c r="J601" s="21"/>
      <c r="K601" s="21" t="s">
        <v>78</v>
      </c>
      <c r="L601" s="21" t="s">
        <v>1850</v>
      </c>
      <c r="M601" s="21" t="s">
        <v>73</v>
      </c>
      <c r="N601" s="21"/>
    </row>
    <row r="602" spans="1:14" ht="64.05" customHeight="1">
      <c r="A602" s="20" t="s">
        <v>1745</v>
      </c>
      <c r="B602" s="20" t="s">
        <v>20</v>
      </c>
      <c r="C602" s="20" t="s">
        <v>55</v>
      </c>
      <c r="D602" s="20" t="s">
        <v>56</v>
      </c>
      <c r="E602" s="20" t="s">
        <v>1854</v>
      </c>
      <c r="F602" s="20">
        <v>1</v>
      </c>
      <c r="G602" s="20" t="s">
        <v>1855</v>
      </c>
      <c r="H602" s="20" t="s">
        <v>1848</v>
      </c>
      <c r="I602" s="21" t="s">
        <v>1849</v>
      </c>
      <c r="J602" s="21"/>
      <c r="K602" s="21" t="s">
        <v>78</v>
      </c>
      <c r="L602" s="21" t="s">
        <v>1850</v>
      </c>
      <c r="M602" s="21" t="s">
        <v>73</v>
      </c>
      <c r="N602" s="21"/>
    </row>
    <row r="603" spans="1:14" ht="64.05" customHeight="1">
      <c r="A603" s="20" t="s">
        <v>1745</v>
      </c>
      <c r="B603" s="20" t="s">
        <v>26</v>
      </c>
      <c r="C603" s="20" t="s">
        <v>196</v>
      </c>
      <c r="D603" s="20" t="s">
        <v>197</v>
      </c>
      <c r="E603" s="20" t="s">
        <v>1856</v>
      </c>
      <c r="F603" s="20">
        <v>1</v>
      </c>
      <c r="G603" s="20" t="s">
        <v>92</v>
      </c>
      <c r="H603" s="20"/>
      <c r="I603" s="21" t="s">
        <v>1857</v>
      </c>
      <c r="J603" s="21"/>
      <c r="K603" s="21" t="s">
        <v>1324</v>
      </c>
      <c r="L603" s="21" t="s">
        <v>1858</v>
      </c>
      <c r="M603" s="21" t="s">
        <v>102</v>
      </c>
      <c r="N603" s="21"/>
    </row>
    <row r="604" spans="1:14" ht="64.05" customHeight="1">
      <c r="A604" s="20" t="s">
        <v>1745</v>
      </c>
      <c r="B604" s="20" t="s">
        <v>24</v>
      </c>
      <c r="C604" s="20" t="s">
        <v>436</v>
      </c>
      <c r="D604" s="20" t="s">
        <v>437</v>
      </c>
      <c r="E604" s="20" t="s">
        <v>1859</v>
      </c>
      <c r="F604" s="20">
        <v>1</v>
      </c>
      <c r="G604" s="20" t="s">
        <v>139</v>
      </c>
      <c r="H604" s="20"/>
      <c r="I604" s="21" t="s">
        <v>1860</v>
      </c>
      <c r="J604" s="21"/>
      <c r="K604" s="21" t="s">
        <v>140</v>
      </c>
      <c r="L604" s="21" t="s">
        <v>1861</v>
      </c>
      <c r="M604" s="21" t="s">
        <v>62</v>
      </c>
      <c r="N604" s="21" t="s">
        <v>63</v>
      </c>
    </row>
    <row r="605" spans="1:14" ht="64.05" customHeight="1">
      <c r="A605" s="20" t="s">
        <v>1745</v>
      </c>
      <c r="B605" s="20" t="s">
        <v>28</v>
      </c>
      <c r="C605" s="20" t="s">
        <v>146</v>
      </c>
      <c r="D605" s="20" t="s">
        <v>147</v>
      </c>
      <c r="E605" s="20" t="s">
        <v>1862</v>
      </c>
      <c r="F605" s="20">
        <v>1</v>
      </c>
      <c r="G605" s="20" t="s">
        <v>1863</v>
      </c>
      <c r="H605" s="20" t="s">
        <v>831</v>
      </c>
      <c r="I605" s="21" t="s">
        <v>1864</v>
      </c>
      <c r="J605" s="21"/>
      <c r="K605" s="21" t="s">
        <v>1778</v>
      </c>
      <c r="L605" s="21" t="s">
        <v>1865</v>
      </c>
      <c r="M605" s="21" t="s">
        <v>62</v>
      </c>
      <c r="N605" s="21" t="s">
        <v>187</v>
      </c>
    </row>
    <row r="606" spans="1:14" ht="64.05" customHeight="1">
      <c r="A606" s="20" t="s">
        <v>1745</v>
      </c>
      <c r="B606" s="20" t="s">
        <v>28</v>
      </c>
      <c r="C606" s="20" t="s">
        <v>146</v>
      </c>
      <c r="D606" s="20" t="s">
        <v>147</v>
      </c>
      <c r="E606" s="20" t="s">
        <v>1866</v>
      </c>
      <c r="F606" s="20">
        <v>1</v>
      </c>
      <c r="G606" s="20" t="s">
        <v>1216</v>
      </c>
      <c r="H606" s="20" t="s">
        <v>1867</v>
      </c>
      <c r="I606" s="21" t="s">
        <v>1868</v>
      </c>
      <c r="J606" s="21"/>
      <c r="K606" s="21" t="s">
        <v>78</v>
      </c>
      <c r="L606" s="21" t="s">
        <v>1850</v>
      </c>
      <c r="M606" s="21" t="s">
        <v>73</v>
      </c>
      <c r="N606" s="21"/>
    </row>
    <row r="607" spans="1:14" ht="64.05" customHeight="1">
      <c r="A607" s="20" t="s">
        <v>1745</v>
      </c>
      <c r="B607" s="20" t="s">
        <v>28</v>
      </c>
      <c r="C607" s="20" t="s">
        <v>146</v>
      </c>
      <c r="D607" s="20" t="s">
        <v>147</v>
      </c>
      <c r="E607" s="20" t="s">
        <v>1869</v>
      </c>
      <c r="F607" s="20">
        <v>1</v>
      </c>
      <c r="G607" s="20" t="s">
        <v>1216</v>
      </c>
      <c r="H607" s="20" t="s">
        <v>1867</v>
      </c>
      <c r="I607" s="21" t="s">
        <v>1870</v>
      </c>
      <c r="J607" s="21"/>
      <c r="K607" s="21" t="s">
        <v>78</v>
      </c>
      <c r="L607" s="21" t="s">
        <v>1850</v>
      </c>
      <c r="M607" s="21" t="s">
        <v>73</v>
      </c>
      <c r="N607" s="21"/>
    </row>
    <row r="608" spans="1:14" ht="64.05" customHeight="1">
      <c r="A608" s="20" t="s">
        <v>1745</v>
      </c>
      <c r="B608" s="20" t="s">
        <v>28</v>
      </c>
      <c r="C608" s="20" t="s">
        <v>146</v>
      </c>
      <c r="D608" s="20" t="s">
        <v>147</v>
      </c>
      <c r="E608" s="20" t="s">
        <v>1871</v>
      </c>
      <c r="F608" s="20">
        <v>1</v>
      </c>
      <c r="G608" s="20" t="s">
        <v>149</v>
      </c>
      <c r="H608" s="20" t="s">
        <v>590</v>
      </c>
      <c r="I608" s="21" t="s">
        <v>1872</v>
      </c>
      <c r="J608" s="21"/>
      <c r="K608" s="21" t="s">
        <v>109</v>
      </c>
      <c r="L608" s="21" t="s">
        <v>1873</v>
      </c>
      <c r="M608" s="21" t="s">
        <v>62</v>
      </c>
      <c r="N608" s="21" t="s">
        <v>187</v>
      </c>
    </row>
    <row r="609" spans="1:14" ht="64.05" customHeight="1">
      <c r="A609" s="20" t="s">
        <v>1745</v>
      </c>
      <c r="B609" s="20" t="s">
        <v>32</v>
      </c>
      <c r="C609" s="20" t="s">
        <v>200</v>
      </c>
      <c r="D609" s="20" t="s">
        <v>201</v>
      </c>
      <c r="E609" s="20" t="s">
        <v>1874</v>
      </c>
      <c r="F609" s="20">
        <v>1</v>
      </c>
      <c r="G609" s="20" t="s">
        <v>1875</v>
      </c>
      <c r="H609" s="20" t="s">
        <v>847</v>
      </c>
      <c r="I609" s="21" t="s">
        <v>1849</v>
      </c>
      <c r="J609" s="21"/>
      <c r="K609" s="21" t="s">
        <v>1876</v>
      </c>
      <c r="L609" s="21" t="s">
        <v>1877</v>
      </c>
      <c r="M609" s="21" t="s">
        <v>73</v>
      </c>
      <c r="N609" s="21"/>
    </row>
    <row r="610" spans="1:14" ht="64.05" customHeight="1">
      <c r="A610" s="20" t="s">
        <v>1745</v>
      </c>
      <c r="B610" s="20" t="s">
        <v>32</v>
      </c>
      <c r="C610" s="20" t="s">
        <v>200</v>
      </c>
      <c r="D610" s="20" t="s">
        <v>201</v>
      </c>
      <c r="E610" s="20" t="s">
        <v>1878</v>
      </c>
      <c r="F610" s="20">
        <v>1</v>
      </c>
      <c r="G610" s="20" t="s">
        <v>1875</v>
      </c>
      <c r="H610" s="20" t="s">
        <v>847</v>
      </c>
      <c r="I610" s="21" t="s">
        <v>1849</v>
      </c>
      <c r="J610" s="21"/>
      <c r="K610" s="21" t="s">
        <v>1876</v>
      </c>
      <c r="L610" s="21" t="s">
        <v>1877</v>
      </c>
      <c r="M610" s="21" t="s">
        <v>73</v>
      </c>
      <c r="N610" s="21"/>
    </row>
    <row r="611" spans="1:14" ht="64.05" customHeight="1">
      <c r="A611" s="20" t="s">
        <v>1745</v>
      </c>
      <c r="B611" s="20" t="s">
        <v>32</v>
      </c>
      <c r="C611" s="20" t="s">
        <v>200</v>
      </c>
      <c r="D611" s="20" t="s">
        <v>201</v>
      </c>
      <c r="E611" s="20" t="s">
        <v>1879</v>
      </c>
      <c r="F611" s="20">
        <v>1</v>
      </c>
      <c r="G611" s="20" t="s">
        <v>1875</v>
      </c>
      <c r="H611" s="20" t="s">
        <v>847</v>
      </c>
      <c r="I611" s="21" t="s">
        <v>1849</v>
      </c>
      <c r="J611" s="21"/>
      <c r="K611" s="21" t="s">
        <v>1876</v>
      </c>
      <c r="L611" s="21" t="s">
        <v>1877</v>
      </c>
      <c r="M611" s="21" t="s">
        <v>73</v>
      </c>
      <c r="N611" s="21"/>
    </row>
    <row r="612" spans="1:14" ht="64.05" customHeight="1">
      <c r="A612" s="20" t="s">
        <v>1745</v>
      </c>
      <c r="B612" s="20" t="s">
        <v>32</v>
      </c>
      <c r="C612" s="20" t="s">
        <v>200</v>
      </c>
      <c r="D612" s="20" t="s">
        <v>201</v>
      </c>
      <c r="E612" s="20" t="s">
        <v>1880</v>
      </c>
      <c r="F612" s="20">
        <v>1</v>
      </c>
      <c r="G612" s="20" t="s">
        <v>1875</v>
      </c>
      <c r="H612" s="20" t="s">
        <v>847</v>
      </c>
      <c r="I612" s="21" t="s">
        <v>1849</v>
      </c>
      <c r="J612" s="21"/>
      <c r="K612" s="21" t="s">
        <v>1876</v>
      </c>
      <c r="L612" s="21" t="s">
        <v>1877</v>
      </c>
      <c r="M612" s="21" t="s">
        <v>73</v>
      </c>
      <c r="N612" s="21"/>
    </row>
    <row r="613" spans="1:14" ht="64.05" customHeight="1">
      <c r="A613" s="20" t="s">
        <v>1745</v>
      </c>
      <c r="B613" s="20" t="s">
        <v>32</v>
      </c>
      <c r="C613" s="20" t="s">
        <v>200</v>
      </c>
      <c r="D613" s="20" t="s">
        <v>201</v>
      </c>
      <c r="E613" s="20" t="s">
        <v>1881</v>
      </c>
      <c r="F613" s="20">
        <v>1</v>
      </c>
      <c r="G613" s="20" t="s">
        <v>139</v>
      </c>
      <c r="H613" s="20"/>
      <c r="I613" s="21" t="s">
        <v>1882</v>
      </c>
      <c r="J613" s="21"/>
      <c r="K613" s="21" t="s">
        <v>1778</v>
      </c>
      <c r="L613" s="21" t="s">
        <v>1883</v>
      </c>
      <c r="M613" s="21" t="s">
        <v>62</v>
      </c>
      <c r="N613" s="21" t="s">
        <v>63</v>
      </c>
    </row>
    <row r="614" spans="1:14" ht="64.05" customHeight="1">
      <c r="A614" s="20" t="s">
        <v>1745</v>
      </c>
      <c r="B614" s="20" t="s">
        <v>32</v>
      </c>
      <c r="C614" s="20" t="s">
        <v>200</v>
      </c>
      <c r="D614" s="20" t="s">
        <v>201</v>
      </c>
      <c r="E614" s="20" t="s">
        <v>1884</v>
      </c>
      <c r="F614" s="20">
        <v>1</v>
      </c>
      <c r="G614" s="20" t="s">
        <v>92</v>
      </c>
      <c r="H614" s="20"/>
      <c r="I614" s="21" t="s">
        <v>1849</v>
      </c>
      <c r="J614" s="21"/>
      <c r="K614" s="21" t="s">
        <v>1876</v>
      </c>
      <c r="L614" s="21" t="s">
        <v>1885</v>
      </c>
      <c r="M614" s="21" t="s">
        <v>73</v>
      </c>
      <c r="N614" s="21"/>
    </row>
    <row r="615" spans="1:14" ht="64.05" customHeight="1">
      <c r="A615" s="20" t="s">
        <v>1745</v>
      </c>
      <c r="B615" s="20" t="s">
        <v>32</v>
      </c>
      <c r="C615" s="20" t="s">
        <v>200</v>
      </c>
      <c r="D615" s="20" t="s">
        <v>201</v>
      </c>
      <c r="E615" s="20" t="s">
        <v>1886</v>
      </c>
      <c r="F615" s="20">
        <v>1</v>
      </c>
      <c r="G615" s="20" t="s">
        <v>1887</v>
      </c>
      <c r="H615" s="20"/>
      <c r="I615" s="21" t="s">
        <v>1849</v>
      </c>
      <c r="J615" s="21"/>
      <c r="K615" s="21" t="s">
        <v>1876</v>
      </c>
      <c r="L615" s="21" t="s">
        <v>1885</v>
      </c>
      <c r="M615" s="21" t="s">
        <v>73</v>
      </c>
      <c r="N615" s="21"/>
    </row>
    <row r="616" spans="1:14" ht="64.05" customHeight="1">
      <c r="A616" s="20" t="s">
        <v>1745</v>
      </c>
      <c r="B616" s="20" t="s">
        <v>28</v>
      </c>
      <c r="C616" s="20" t="s">
        <v>167</v>
      </c>
      <c r="D616" s="20" t="s">
        <v>168</v>
      </c>
      <c r="E616" s="20" t="s">
        <v>1888</v>
      </c>
      <c r="F616" s="20">
        <v>1</v>
      </c>
      <c r="G616" s="20" t="s">
        <v>92</v>
      </c>
      <c r="H616" s="20"/>
      <c r="I616" s="21" t="s">
        <v>1889</v>
      </c>
      <c r="J616" s="21"/>
      <c r="K616" s="21" t="s">
        <v>109</v>
      </c>
      <c r="L616" s="21" t="s">
        <v>1890</v>
      </c>
      <c r="M616" s="21" t="s">
        <v>73</v>
      </c>
      <c r="N616" s="21"/>
    </row>
    <row r="617" spans="1:14" ht="64.05" customHeight="1">
      <c r="A617" s="20" t="s">
        <v>1745</v>
      </c>
      <c r="B617" s="20" t="s">
        <v>24</v>
      </c>
      <c r="C617" s="20" t="s">
        <v>136</v>
      </c>
      <c r="D617" s="20" t="s">
        <v>674</v>
      </c>
      <c r="E617" s="20" t="s">
        <v>1891</v>
      </c>
      <c r="F617" s="20">
        <v>1</v>
      </c>
      <c r="G617" s="20" t="s">
        <v>1892</v>
      </c>
      <c r="H617" s="20" t="s">
        <v>56</v>
      </c>
      <c r="I617" s="21" t="s">
        <v>1893</v>
      </c>
      <c r="J617" s="21"/>
      <c r="K617" s="21" t="s">
        <v>1894</v>
      </c>
      <c r="L617" s="21" t="s">
        <v>1895</v>
      </c>
      <c r="M617" s="21" t="s">
        <v>62</v>
      </c>
      <c r="N617" s="21" t="s">
        <v>63</v>
      </c>
    </row>
    <row r="618" spans="1:14" ht="64.05" customHeight="1">
      <c r="A618" s="20" t="s">
        <v>1745</v>
      </c>
      <c r="B618" s="20" t="s">
        <v>24</v>
      </c>
      <c r="C618" s="20" t="s">
        <v>136</v>
      </c>
      <c r="D618" s="20" t="s">
        <v>674</v>
      </c>
      <c r="E618" s="20" t="s">
        <v>1896</v>
      </c>
      <c r="F618" s="20">
        <v>1</v>
      </c>
      <c r="G618" s="20" t="s">
        <v>1897</v>
      </c>
      <c r="H618" s="20" t="s">
        <v>1898</v>
      </c>
      <c r="I618" s="21" t="s">
        <v>112</v>
      </c>
      <c r="J618" s="21"/>
      <c r="K618" s="21"/>
      <c r="L618" s="21" t="s">
        <v>1899</v>
      </c>
      <c r="M618" s="21" t="s">
        <v>62</v>
      </c>
      <c r="N618" s="21" t="s">
        <v>63</v>
      </c>
    </row>
    <row r="619" spans="1:14" ht="64.05" customHeight="1">
      <c r="A619" s="20" t="s">
        <v>1745</v>
      </c>
      <c r="B619" s="20" t="s">
        <v>22</v>
      </c>
      <c r="C619" s="20" t="s">
        <v>370</v>
      </c>
      <c r="D619" s="20" t="s">
        <v>371</v>
      </c>
      <c r="E619" s="20" t="s">
        <v>1900</v>
      </c>
      <c r="F619" s="20">
        <v>1</v>
      </c>
      <c r="G619" s="20" t="s">
        <v>1901</v>
      </c>
      <c r="H619" s="20" t="s">
        <v>1848</v>
      </c>
      <c r="I619" s="21" t="s">
        <v>1902</v>
      </c>
      <c r="J619" s="21" t="s">
        <v>245</v>
      </c>
      <c r="K619" s="21" t="s">
        <v>1903</v>
      </c>
      <c r="L619" s="21" t="s">
        <v>1904</v>
      </c>
      <c r="M619" s="21" t="s">
        <v>73</v>
      </c>
      <c r="N619" s="21"/>
    </row>
    <row r="620" spans="1:14" ht="64.05" customHeight="1">
      <c r="A620" s="20" t="s">
        <v>1745</v>
      </c>
      <c r="B620" s="20" t="s">
        <v>22</v>
      </c>
      <c r="C620" s="20" t="s">
        <v>370</v>
      </c>
      <c r="D620" s="20" t="s">
        <v>371</v>
      </c>
      <c r="E620" s="20" t="s">
        <v>1905</v>
      </c>
      <c r="F620" s="20">
        <v>1</v>
      </c>
      <c r="G620" s="20" t="s">
        <v>1901</v>
      </c>
      <c r="H620" s="20" t="s">
        <v>1848</v>
      </c>
      <c r="I620" s="21" t="s">
        <v>1902</v>
      </c>
      <c r="J620" s="21" t="s">
        <v>245</v>
      </c>
      <c r="K620" s="21" t="s">
        <v>1903</v>
      </c>
      <c r="L620" s="21" t="s">
        <v>1906</v>
      </c>
      <c r="M620" s="21" t="s">
        <v>62</v>
      </c>
      <c r="N620" s="21" t="s">
        <v>719</v>
      </c>
    </row>
    <row r="621" spans="1:14" ht="64.05" customHeight="1">
      <c r="A621" s="20" t="s">
        <v>1745</v>
      </c>
      <c r="B621" s="20" t="s">
        <v>25</v>
      </c>
      <c r="C621" s="20" t="s">
        <v>131</v>
      </c>
      <c r="D621" s="20" t="s">
        <v>132</v>
      </c>
      <c r="E621" s="20" t="s">
        <v>1907</v>
      </c>
      <c r="F621" s="20">
        <v>1</v>
      </c>
      <c r="G621" s="20" t="s">
        <v>92</v>
      </c>
      <c r="H621" s="20"/>
      <c r="I621" s="21" t="s">
        <v>140</v>
      </c>
      <c r="J621" s="21"/>
      <c r="K621" s="21" t="s">
        <v>1908</v>
      </c>
      <c r="L621" s="21" t="s">
        <v>1909</v>
      </c>
      <c r="M621" s="21" t="s">
        <v>102</v>
      </c>
      <c r="N621" s="21"/>
    </row>
    <row r="622" spans="1:14" ht="64.05" customHeight="1">
      <c r="A622" s="20" t="s">
        <v>1745</v>
      </c>
      <c r="B622" s="20" t="s">
        <v>25</v>
      </c>
      <c r="C622" s="20" t="s">
        <v>131</v>
      </c>
      <c r="D622" s="20" t="s">
        <v>132</v>
      </c>
      <c r="E622" s="20" t="s">
        <v>1910</v>
      </c>
      <c r="F622" s="20">
        <v>1</v>
      </c>
      <c r="G622" s="20" t="s">
        <v>92</v>
      </c>
      <c r="H622" s="20"/>
      <c r="I622" s="21" t="s">
        <v>1911</v>
      </c>
      <c r="J622" s="21"/>
      <c r="K622" s="21" t="s">
        <v>1912</v>
      </c>
      <c r="L622" s="21" t="s">
        <v>1909</v>
      </c>
      <c r="M622" s="21" t="s">
        <v>102</v>
      </c>
      <c r="N622" s="21"/>
    </row>
    <row r="623" spans="1:14" ht="64.05" customHeight="1">
      <c r="A623" s="20" t="s">
        <v>1745</v>
      </c>
      <c r="B623" s="20" t="s">
        <v>25</v>
      </c>
      <c r="C623" s="20" t="s">
        <v>131</v>
      </c>
      <c r="D623" s="20" t="s">
        <v>132</v>
      </c>
      <c r="E623" s="20" t="s">
        <v>1913</v>
      </c>
      <c r="F623" s="20">
        <v>1</v>
      </c>
      <c r="G623" s="20" t="s">
        <v>92</v>
      </c>
      <c r="H623" s="20"/>
      <c r="I623" s="21" t="s">
        <v>1911</v>
      </c>
      <c r="J623" s="21"/>
      <c r="K623" s="21" t="s">
        <v>1914</v>
      </c>
      <c r="L623" s="21" t="s">
        <v>1909</v>
      </c>
      <c r="M623" s="21" t="s">
        <v>102</v>
      </c>
      <c r="N623" s="21"/>
    </row>
    <row r="624" spans="1:14" ht="64.05" customHeight="1">
      <c r="A624" s="20" t="s">
        <v>1745</v>
      </c>
      <c r="B624" s="20" t="s">
        <v>25</v>
      </c>
      <c r="C624" s="20" t="s">
        <v>131</v>
      </c>
      <c r="D624" s="20" t="s">
        <v>132</v>
      </c>
      <c r="E624" s="20" t="s">
        <v>1915</v>
      </c>
      <c r="F624" s="20">
        <v>1</v>
      </c>
      <c r="G624" s="20" t="s">
        <v>92</v>
      </c>
      <c r="H624" s="20"/>
      <c r="I624" s="21" t="s">
        <v>1911</v>
      </c>
      <c r="J624" s="21"/>
      <c r="K624" s="21" t="s">
        <v>1914</v>
      </c>
      <c r="L624" s="21" t="s">
        <v>1909</v>
      </c>
      <c r="M624" s="21" t="s">
        <v>102</v>
      </c>
      <c r="N624" s="21"/>
    </row>
    <row r="625" spans="1:14" ht="64.05" customHeight="1">
      <c r="A625" s="20" t="s">
        <v>1745</v>
      </c>
      <c r="B625" s="20" t="s">
        <v>25</v>
      </c>
      <c r="C625" s="20" t="s">
        <v>131</v>
      </c>
      <c r="D625" s="20" t="s">
        <v>132</v>
      </c>
      <c r="E625" s="20" t="s">
        <v>1916</v>
      </c>
      <c r="F625" s="20">
        <v>1</v>
      </c>
      <c r="G625" s="20" t="s">
        <v>92</v>
      </c>
      <c r="H625" s="20"/>
      <c r="I625" s="21" t="s">
        <v>1911</v>
      </c>
      <c r="J625" s="21"/>
      <c r="K625" s="21" t="s">
        <v>1914</v>
      </c>
      <c r="L625" s="21" t="s">
        <v>1909</v>
      </c>
      <c r="M625" s="21" t="s">
        <v>102</v>
      </c>
      <c r="N625" s="21"/>
    </row>
    <row r="626" spans="1:14" ht="64.05" customHeight="1">
      <c r="A626" s="20" t="s">
        <v>1745</v>
      </c>
      <c r="B626" s="20" t="s">
        <v>20</v>
      </c>
      <c r="C626" s="20" t="s">
        <v>65</v>
      </c>
      <c r="D626" s="20" t="s">
        <v>66</v>
      </c>
      <c r="E626" s="20" t="s">
        <v>1917</v>
      </c>
      <c r="F626" s="20">
        <v>1</v>
      </c>
      <c r="G626" s="20" t="s">
        <v>92</v>
      </c>
      <c r="H626" s="20"/>
      <c r="I626" s="21" t="s">
        <v>1918</v>
      </c>
      <c r="J626" s="21"/>
      <c r="K626" s="21" t="s">
        <v>1919</v>
      </c>
      <c r="L626" s="21" t="s">
        <v>1920</v>
      </c>
      <c r="M626" s="21" t="s">
        <v>73</v>
      </c>
      <c r="N626" s="21"/>
    </row>
    <row r="627" spans="1:14" ht="64.05" customHeight="1">
      <c r="A627" s="20" t="s">
        <v>1745</v>
      </c>
      <c r="B627" s="20" t="s">
        <v>20</v>
      </c>
      <c r="C627" s="20" t="s">
        <v>65</v>
      </c>
      <c r="D627" s="20" t="s">
        <v>66</v>
      </c>
      <c r="E627" s="20" t="s">
        <v>1921</v>
      </c>
      <c r="F627" s="20">
        <v>1</v>
      </c>
      <c r="G627" s="20" t="s">
        <v>92</v>
      </c>
      <c r="H627" s="20"/>
      <c r="I627" s="21" t="s">
        <v>1918</v>
      </c>
      <c r="J627" s="21"/>
      <c r="K627" s="21" t="s">
        <v>1919</v>
      </c>
      <c r="L627" s="21" t="s">
        <v>1920</v>
      </c>
      <c r="M627" s="21" t="s">
        <v>73</v>
      </c>
      <c r="N627" s="21"/>
    </row>
    <row r="628" spans="1:14" ht="64.05" customHeight="1">
      <c r="A628" s="20" t="s">
        <v>1745</v>
      </c>
      <c r="B628" s="20" t="s">
        <v>20</v>
      </c>
      <c r="C628" s="20" t="s">
        <v>65</v>
      </c>
      <c r="D628" s="20" t="s">
        <v>66</v>
      </c>
      <c r="E628" s="20" t="s">
        <v>1922</v>
      </c>
      <c r="F628" s="20">
        <v>1</v>
      </c>
      <c r="G628" s="20" t="s">
        <v>92</v>
      </c>
      <c r="H628" s="20"/>
      <c r="I628" s="21" t="s">
        <v>1918</v>
      </c>
      <c r="J628" s="21"/>
      <c r="K628" s="21" t="s">
        <v>1919</v>
      </c>
      <c r="L628" s="21" t="s">
        <v>1920</v>
      </c>
      <c r="M628" s="21" t="s">
        <v>73</v>
      </c>
      <c r="N628" s="21"/>
    </row>
    <row r="629" spans="1:14" ht="64.05" customHeight="1">
      <c r="A629" s="20" t="s">
        <v>1745</v>
      </c>
      <c r="B629" s="20" t="s">
        <v>20</v>
      </c>
      <c r="C629" s="20" t="s">
        <v>65</v>
      </c>
      <c r="D629" s="20" t="s">
        <v>66</v>
      </c>
      <c r="E629" s="20" t="s">
        <v>1923</v>
      </c>
      <c r="F629" s="20">
        <v>1</v>
      </c>
      <c r="G629" s="20" t="s">
        <v>92</v>
      </c>
      <c r="H629" s="20"/>
      <c r="I629" s="21" t="s">
        <v>1918</v>
      </c>
      <c r="J629" s="21"/>
      <c r="K629" s="21" t="s">
        <v>1919</v>
      </c>
      <c r="L629" s="21" t="s">
        <v>1920</v>
      </c>
      <c r="M629" s="21" t="s">
        <v>73</v>
      </c>
      <c r="N629" s="21"/>
    </row>
    <row r="630" spans="1:14" ht="64.05" customHeight="1">
      <c r="A630" s="20" t="s">
        <v>1745</v>
      </c>
      <c r="B630" s="20" t="s">
        <v>20</v>
      </c>
      <c r="C630" s="20" t="s">
        <v>65</v>
      </c>
      <c r="D630" s="20" t="s">
        <v>66</v>
      </c>
      <c r="E630" s="20" t="s">
        <v>1924</v>
      </c>
      <c r="F630" s="20">
        <v>1</v>
      </c>
      <c r="G630" s="20" t="s">
        <v>92</v>
      </c>
      <c r="H630" s="20"/>
      <c r="I630" s="21" t="s">
        <v>1918</v>
      </c>
      <c r="J630" s="21"/>
      <c r="K630" s="21" t="s">
        <v>1919</v>
      </c>
      <c r="L630" s="21" t="s">
        <v>1920</v>
      </c>
      <c r="M630" s="21" t="s">
        <v>73</v>
      </c>
      <c r="N630" s="21"/>
    </row>
    <row r="631" spans="1:14" ht="64.05" customHeight="1">
      <c r="A631" s="20" t="s">
        <v>1745</v>
      </c>
      <c r="B631" s="20" t="s">
        <v>20</v>
      </c>
      <c r="C631" s="20" t="s">
        <v>65</v>
      </c>
      <c r="D631" s="20" t="s">
        <v>66</v>
      </c>
      <c r="E631" s="20" t="s">
        <v>1925</v>
      </c>
      <c r="F631" s="20">
        <v>1</v>
      </c>
      <c r="G631" s="20" t="s">
        <v>92</v>
      </c>
      <c r="H631" s="20"/>
      <c r="I631" s="21" t="s">
        <v>1918</v>
      </c>
      <c r="J631" s="21"/>
      <c r="K631" s="21" t="s">
        <v>1919</v>
      </c>
      <c r="L631" s="21" t="s">
        <v>1920</v>
      </c>
      <c r="M631" s="21" t="s">
        <v>73</v>
      </c>
      <c r="N631" s="21"/>
    </row>
    <row r="632" spans="1:14" ht="64.05" customHeight="1">
      <c r="A632" s="20" t="s">
        <v>1745</v>
      </c>
      <c r="B632" s="20" t="s">
        <v>20</v>
      </c>
      <c r="C632" s="20" t="s">
        <v>65</v>
      </c>
      <c r="D632" s="20" t="s">
        <v>66</v>
      </c>
      <c r="E632" s="20" t="s">
        <v>1926</v>
      </c>
      <c r="F632" s="20">
        <v>1</v>
      </c>
      <c r="G632" s="20" t="s">
        <v>92</v>
      </c>
      <c r="H632" s="20"/>
      <c r="I632" s="21" t="s">
        <v>1918</v>
      </c>
      <c r="J632" s="21"/>
      <c r="K632" s="21" t="s">
        <v>1919</v>
      </c>
      <c r="L632" s="21" t="s">
        <v>1920</v>
      </c>
      <c r="M632" s="21" t="s">
        <v>73</v>
      </c>
      <c r="N632" s="21"/>
    </row>
    <row r="633" spans="1:14" ht="64.05" customHeight="1">
      <c r="A633" s="20" t="s">
        <v>1745</v>
      </c>
      <c r="B633" s="20" t="s">
        <v>29</v>
      </c>
      <c r="C633" s="20" t="s">
        <v>1084</v>
      </c>
      <c r="D633" s="20" t="s">
        <v>1085</v>
      </c>
      <c r="E633" s="20" t="s">
        <v>1927</v>
      </c>
      <c r="F633" s="20">
        <v>1</v>
      </c>
      <c r="G633" s="20" t="s">
        <v>1928</v>
      </c>
      <c r="H633" s="20" t="s">
        <v>132</v>
      </c>
      <c r="I633" s="21" t="s">
        <v>1929</v>
      </c>
      <c r="J633" s="21"/>
      <c r="K633" s="21" t="s">
        <v>109</v>
      </c>
      <c r="L633" s="21" t="s">
        <v>1930</v>
      </c>
      <c r="M633" s="21" t="s">
        <v>73</v>
      </c>
      <c r="N633" s="21"/>
    </row>
    <row r="634" spans="1:14" ht="64.05" customHeight="1">
      <c r="A634" s="20" t="s">
        <v>1745</v>
      </c>
      <c r="B634" s="20" t="s">
        <v>29</v>
      </c>
      <c r="C634" s="20" t="s">
        <v>1084</v>
      </c>
      <c r="D634" s="20" t="s">
        <v>1085</v>
      </c>
      <c r="E634" s="20" t="s">
        <v>1931</v>
      </c>
      <c r="F634" s="20">
        <v>1</v>
      </c>
      <c r="G634" s="20" t="s">
        <v>92</v>
      </c>
      <c r="H634" s="20"/>
      <c r="I634" s="21" t="s">
        <v>1932</v>
      </c>
      <c r="J634" s="21"/>
      <c r="K634" s="21" t="s">
        <v>109</v>
      </c>
      <c r="L634" s="21" t="s">
        <v>1930</v>
      </c>
      <c r="M634" s="21" t="s">
        <v>73</v>
      </c>
      <c r="N634" s="21"/>
    </row>
    <row r="635" spans="1:14" ht="64.05" customHeight="1">
      <c r="A635" s="20" t="s">
        <v>1745</v>
      </c>
      <c r="B635" s="20" t="s">
        <v>20</v>
      </c>
      <c r="C635" s="20" t="s">
        <v>65</v>
      </c>
      <c r="D635" s="20" t="s">
        <v>66</v>
      </c>
      <c r="E635" s="20" t="s">
        <v>1933</v>
      </c>
      <c r="F635" s="20">
        <v>1</v>
      </c>
      <c r="G635" s="20" t="s">
        <v>1934</v>
      </c>
      <c r="H635" s="20" t="s">
        <v>1935</v>
      </c>
      <c r="I635" s="21" t="s">
        <v>1936</v>
      </c>
      <c r="J635" s="21"/>
      <c r="K635" s="21" t="s">
        <v>109</v>
      </c>
      <c r="L635" s="21" t="s">
        <v>1937</v>
      </c>
      <c r="M635" s="21" t="s">
        <v>62</v>
      </c>
      <c r="N635" s="21" t="s">
        <v>1938</v>
      </c>
    </row>
    <row r="636" spans="1:14" ht="64.05" customHeight="1">
      <c r="A636" s="20" t="s">
        <v>1745</v>
      </c>
      <c r="B636" s="20" t="s">
        <v>29</v>
      </c>
      <c r="C636" s="20" t="s">
        <v>1084</v>
      </c>
      <c r="D636" s="20" t="s">
        <v>1085</v>
      </c>
      <c r="E636" s="20" t="s">
        <v>1939</v>
      </c>
      <c r="F636" s="20">
        <v>1</v>
      </c>
      <c r="G636" s="20"/>
      <c r="H636" s="20"/>
      <c r="I636" s="21" t="s">
        <v>1940</v>
      </c>
      <c r="J636" s="21"/>
      <c r="K636" s="21" t="s">
        <v>109</v>
      </c>
      <c r="L636" s="21" t="s">
        <v>1930</v>
      </c>
      <c r="M636" s="21" t="s">
        <v>73</v>
      </c>
      <c r="N636" s="21"/>
    </row>
    <row r="637" spans="1:14" ht="64.05" customHeight="1">
      <c r="A637" s="20" t="s">
        <v>1745</v>
      </c>
      <c r="B637" s="20" t="s">
        <v>30</v>
      </c>
      <c r="C637" s="20" t="s">
        <v>188</v>
      </c>
      <c r="D637" s="20" t="s">
        <v>189</v>
      </c>
      <c r="E637" s="20" t="s">
        <v>1941</v>
      </c>
      <c r="F637" s="20">
        <v>1</v>
      </c>
      <c r="G637" s="20" t="s">
        <v>1942</v>
      </c>
      <c r="H637" s="20" t="s">
        <v>1782</v>
      </c>
      <c r="I637" s="21" t="s">
        <v>1943</v>
      </c>
      <c r="J637" s="21"/>
      <c r="K637" s="21"/>
      <c r="L637" s="21" t="s">
        <v>1944</v>
      </c>
      <c r="M637" s="21" t="s">
        <v>73</v>
      </c>
      <c r="N637" s="21"/>
    </row>
    <row r="638" spans="1:14" ht="64.05" customHeight="1">
      <c r="A638" s="20" t="s">
        <v>1745</v>
      </c>
      <c r="B638" s="20" t="s">
        <v>30</v>
      </c>
      <c r="C638" s="20" t="s">
        <v>188</v>
      </c>
      <c r="D638" s="20" t="s">
        <v>189</v>
      </c>
      <c r="E638" s="20" t="s">
        <v>1945</v>
      </c>
      <c r="F638" s="20">
        <v>1</v>
      </c>
      <c r="G638" s="20" t="s">
        <v>1236</v>
      </c>
      <c r="H638" s="20" t="s">
        <v>1946</v>
      </c>
      <c r="I638" s="21" t="s">
        <v>1943</v>
      </c>
      <c r="J638" s="21"/>
      <c r="K638" s="21"/>
      <c r="L638" s="21" t="s">
        <v>1944</v>
      </c>
      <c r="M638" s="21" t="s">
        <v>73</v>
      </c>
      <c r="N638" s="21"/>
    </row>
    <row r="639" spans="1:14" ht="64.05" customHeight="1">
      <c r="A639" s="20" t="s">
        <v>1745</v>
      </c>
      <c r="B639" s="20" t="s">
        <v>30</v>
      </c>
      <c r="C639" s="20" t="s">
        <v>188</v>
      </c>
      <c r="D639" s="20" t="s">
        <v>189</v>
      </c>
      <c r="E639" s="20" t="s">
        <v>1947</v>
      </c>
      <c r="F639" s="20">
        <v>1</v>
      </c>
      <c r="G639" s="20" t="s">
        <v>1948</v>
      </c>
      <c r="H639" s="20" t="s">
        <v>1946</v>
      </c>
      <c r="I639" s="21" t="s">
        <v>1943</v>
      </c>
      <c r="J639" s="21"/>
      <c r="K639" s="21"/>
      <c r="L639" s="21" t="s">
        <v>1944</v>
      </c>
      <c r="M639" s="21" t="s">
        <v>73</v>
      </c>
      <c r="N639" s="21"/>
    </row>
    <row r="640" spans="1:14" ht="64.05" customHeight="1">
      <c r="A640" s="20" t="s">
        <v>1745</v>
      </c>
      <c r="B640" s="20" t="s">
        <v>30</v>
      </c>
      <c r="C640" s="20" t="s">
        <v>188</v>
      </c>
      <c r="D640" s="20" t="s">
        <v>189</v>
      </c>
      <c r="E640" s="20" t="s">
        <v>1949</v>
      </c>
      <c r="F640" s="20">
        <v>1</v>
      </c>
      <c r="G640" s="20" t="s">
        <v>1950</v>
      </c>
      <c r="H640" s="20" t="s">
        <v>1951</v>
      </c>
      <c r="I640" s="21" t="s">
        <v>1943</v>
      </c>
      <c r="J640" s="21"/>
      <c r="K640" s="21"/>
      <c r="L640" s="21" t="s">
        <v>1944</v>
      </c>
      <c r="M640" s="21" t="s">
        <v>73</v>
      </c>
      <c r="N640" s="21"/>
    </row>
    <row r="641" spans="1:14" ht="64.05" customHeight="1">
      <c r="A641" s="20" t="s">
        <v>1745</v>
      </c>
      <c r="B641" s="20" t="s">
        <v>30</v>
      </c>
      <c r="C641" s="20" t="s">
        <v>188</v>
      </c>
      <c r="D641" s="20" t="s">
        <v>189</v>
      </c>
      <c r="E641" s="20" t="s">
        <v>1952</v>
      </c>
      <c r="F641" s="20">
        <v>1</v>
      </c>
      <c r="G641" s="20" t="s">
        <v>1950</v>
      </c>
      <c r="H641" s="20" t="s">
        <v>1951</v>
      </c>
      <c r="I641" s="21" t="s">
        <v>1943</v>
      </c>
      <c r="J641" s="21"/>
      <c r="K641" s="21"/>
      <c r="L641" s="21" t="s">
        <v>1944</v>
      </c>
      <c r="M641" s="21" t="s">
        <v>73</v>
      </c>
      <c r="N641" s="21"/>
    </row>
    <row r="642" spans="1:14" ht="64.05" customHeight="1">
      <c r="A642" s="20" t="s">
        <v>1745</v>
      </c>
      <c r="B642" s="20" t="s">
        <v>30</v>
      </c>
      <c r="C642" s="20" t="s">
        <v>188</v>
      </c>
      <c r="D642" s="20" t="s">
        <v>189</v>
      </c>
      <c r="E642" s="20" t="s">
        <v>1953</v>
      </c>
      <c r="F642" s="20">
        <v>1</v>
      </c>
      <c r="G642" s="20" t="s">
        <v>1950</v>
      </c>
      <c r="H642" s="20" t="s">
        <v>1951</v>
      </c>
      <c r="I642" s="21" t="s">
        <v>1954</v>
      </c>
      <c r="J642" s="21"/>
      <c r="K642" s="21"/>
      <c r="L642" s="21" t="s">
        <v>1944</v>
      </c>
      <c r="M642" s="21" t="s">
        <v>73</v>
      </c>
      <c r="N642" s="21"/>
    </row>
    <row r="643" spans="1:14" ht="64.05" customHeight="1">
      <c r="A643" s="20" t="s">
        <v>1745</v>
      </c>
      <c r="B643" s="20" t="s">
        <v>30</v>
      </c>
      <c r="C643" s="20" t="s">
        <v>188</v>
      </c>
      <c r="D643" s="20" t="s">
        <v>189</v>
      </c>
      <c r="E643" s="20" t="s">
        <v>1955</v>
      </c>
      <c r="F643" s="20">
        <v>1</v>
      </c>
      <c r="G643" s="20" t="s">
        <v>1956</v>
      </c>
      <c r="H643" s="20" t="s">
        <v>1957</v>
      </c>
      <c r="I643" s="21" t="s">
        <v>1958</v>
      </c>
      <c r="J643" s="21"/>
      <c r="K643" s="21"/>
      <c r="L643" s="21" t="s">
        <v>1944</v>
      </c>
      <c r="M643" s="21" t="s">
        <v>73</v>
      </c>
      <c r="N643" s="21"/>
    </row>
    <row r="644" spans="1:14" ht="64.05" customHeight="1">
      <c r="A644" s="20" t="s">
        <v>1745</v>
      </c>
      <c r="B644" s="20" t="s">
        <v>30</v>
      </c>
      <c r="C644" s="20" t="s">
        <v>188</v>
      </c>
      <c r="D644" s="20" t="s">
        <v>189</v>
      </c>
      <c r="E644" s="20" t="s">
        <v>1959</v>
      </c>
      <c r="F644" s="20">
        <v>1</v>
      </c>
      <c r="G644" s="20" t="s">
        <v>1956</v>
      </c>
      <c r="H644" s="20" t="s">
        <v>1957</v>
      </c>
      <c r="I644" s="21" t="s">
        <v>1960</v>
      </c>
      <c r="J644" s="21"/>
      <c r="K644" s="21"/>
      <c r="L644" s="21" t="s">
        <v>1944</v>
      </c>
      <c r="M644" s="21" t="s">
        <v>73</v>
      </c>
      <c r="N644" s="21"/>
    </row>
    <row r="645" spans="1:14" ht="64.05" customHeight="1">
      <c r="A645" s="20" t="s">
        <v>1745</v>
      </c>
      <c r="B645" s="20" t="s">
        <v>30</v>
      </c>
      <c r="C645" s="20" t="s">
        <v>188</v>
      </c>
      <c r="D645" s="20" t="s">
        <v>189</v>
      </c>
      <c r="E645" s="20" t="s">
        <v>1961</v>
      </c>
      <c r="F645" s="20">
        <v>1</v>
      </c>
      <c r="G645" s="20" t="s">
        <v>1956</v>
      </c>
      <c r="H645" s="20" t="s">
        <v>1957</v>
      </c>
      <c r="I645" s="21" t="s">
        <v>1962</v>
      </c>
      <c r="J645" s="21"/>
      <c r="K645" s="21"/>
      <c r="L645" s="21" t="s">
        <v>1944</v>
      </c>
      <c r="M645" s="21" t="s">
        <v>73</v>
      </c>
      <c r="N645" s="21"/>
    </row>
    <row r="646" spans="1:14" ht="64.05" customHeight="1">
      <c r="A646" s="20" t="s">
        <v>1745</v>
      </c>
      <c r="B646" s="20" t="s">
        <v>30</v>
      </c>
      <c r="C646" s="20" t="s">
        <v>188</v>
      </c>
      <c r="D646" s="20" t="s">
        <v>189</v>
      </c>
      <c r="E646" s="20" t="s">
        <v>1963</v>
      </c>
      <c r="F646" s="20">
        <v>1</v>
      </c>
      <c r="G646" s="20" t="s">
        <v>1956</v>
      </c>
      <c r="H646" s="20" t="s">
        <v>1957</v>
      </c>
      <c r="I646" s="21" t="s">
        <v>1964</v>
      </c>
      <c r="J646" s="21"/>
      <c r="K646" s="21"/>
      <c r="L646" s="21" t="s">
        <v>1944</v>
      </c>
      <c r="M646" s="21" t="s">
        <v>73</v>
      </c>
      <c r="N646" s="21"/>
    </row>
    <row r="647" spans="1:14" ht="64.05" customHeight="1">
      <c r="A647" s="20" t="s">
        <v>1745</v>
      </c>
      <c r="B647" s="20" t="s">
        <v>30</v>
      </c>
      <c r="C647" s="20" t="s">
        <v>188</v>
      </c>
      <c r="D647" s="20" t="s">
        <v>189</v>
      </c>
      <c r="E647" s="20" t="s">
        <v>1965</v>
      </c>
      <c r="F647" s="20">
        <v>1</v>
      </c>
      <c r="G647" s="20" t="s">
        <v>1956</v>
      </c>
      <c r="H647" s="20" t="s">
        <v>1957</v>
      </c>
      <c r="I647" s="21" t="s">
        <v>1966</v>
      </c>
      <c r="J647" s="21"/>
      <c r="K647" s="21"/>
      <c r="L647" s="21" t="s">
        <v>1944</v>
      </c>
      <c r="M647" s="21" t="s">
        <v>73</v>
      </c>
      <c r="N647" s="21"/>
    </row>
    <row r="648" spans="1:14" ht="64.05" customHeight="1">
      <c r="A648" s="20" t="s">
        <v>1745</v>
      </c>
      <c r="B648" s="20" t="s">
        <v>22</v>
      </c>
      <c r="C648" s="20" t="s">
        <v>370</v>
      </c>
      <c r="D648" s="20" t="s">
        <v>371</v>
      </c>
      <c r="E648" s="20" t="s">
        <v>1967</v>
      </c>
      <c r="F648" s="20">
        <v>1</v>
      </c>
      <c r="G648" s="20" t="s">
        <v>92</v>
      </c>
      <c r="H648" s="20"/>
      <c r="I648" s="21" t="s">
        <v>112</v>
      </c>
      <c r="J648" s="21"/>
      <c r="K648" s="21"/>
      <c r="L648" s="21" t="s">
        <v>1968</v>
      </c>
      <c r="M648" s="21" t="s">
        <v>102</v>
      </c>
      <c r="N648" s="21"/>
    </row>
    <row r="649" spans="1:14" ht="64.05" customHeight="1">
      <c r="A649" s="20" t="s">
        <v>1745</v>
      </c>
      <c r="B649" s="20" t="s">
        <v>22</v>
      </c>
      <c r="C649" s="20" t="s">
        <v>370</v>
      </c>
      <c r="D649" s="20" t="s">
        <v>371</v>
      </c>
      <c r="E649" s="20" t="s">
        <v>1969</v>
      </c>
      <c r="F649" s="20">
        <v>1</v>
      </c>
      <c r="G649" s="20" t="s">
        <v>92</v>
      </c>
      <c r="H649" s="20"/>
      <c r="I649" s="21" t="s">
        <v>112</v>
      </c>
      <c r="J649" s="21"/>
      <c r="K649" s="21"/>
      <c r="L649" s="21" t="s">
        <v>1968</v>
      </c>
      <c r="M649" s="21" t="s">
        <v>102</v>
      </c>
      <c r="N649" s="21"/>
    </row>
    <row r="650" spans="1:14" ht="64.05" customHeight="1">
      <c r="A650" s="20" t="s">
        <v>1745</v>
      </c>
      <c r="B650" s="20" t="s">
        <v>22</v>
      </c>
      <c r="C650" s="20" t="s">
        <v>370</v>
      </c>
      <c r="D650" s="20" t="s">
        <v>371</v>
      </c>
      <c r="E650" s="20" t="s">
        <v>1970</v>
      </c>
      <c r="F650" s="20">
        <v>1</v>
      </c>
      <c r="G650" s="20" t="s">
        <v>92</v>
      </c>
      <c r="H650" s="20"/>
      <c r="I650" s="21" t="s">
        <v>112</v>
      </c>
      <c r="J650" s="21"/>
      <c r="K650" s="21"/>
      <c r="L650" s="21" t="s">
        <v>1968</v>
      </c>
      <c r="M650" s="21" t="s">
        <v>102</v>
      </c>
      <c r="N650" s="21"/>
    </row>
    <row r="651" spans="1:14" ht="64.05" customHeight="1">
      <c r="A651" s="20" t="s">
        <v>1745</v>
      </c>
      <c r="B651" s="20" t="s">
        <v>22</v>
      </c>
      <c r="C651" s="20" t="s">
        <v>370</v>
      </c>
      <c r="D651" s="20" t="s">
        <v>371</v>
      </c>
      <c r="E651" s="20" t="s">
        <v>1971</v>
      </c>
      <c r="F651" s="20">
        <v>1</v>
      </c>
      <c r="G651" s="20" t="s">
        <v>92</v>
      </c>
      <c r="H651" s="20"/>
      <c r="I651" s="21" t="s">
        <v>112</v>
      </c>
      <c r="J651" s="21"/>
      <c r="K651" s="21"/>
      <c r="L651" s="21" t="s">
        <v>1968</v>
      </c>
      <c r="M651" s="21" t="s">
        <v>102</v>
      </c>
      <c r="N651" s="21"/>
    </row>
    <row r="652" spans="1:14" ht="64.05" customHeight="1">
      <c r="A652" s="20" t="s">
        <v>1745</v>
      </c>
      <c r="B652" s="20" t="s">
        <v>22</v>
      </c>
      <c r="C652" s="20" t="s">
        <v>370</v>
      </c>
      <c r="D652" s="20" t="s">
        <v>371</v>
      </c>
      <c r="E652" s="20" t="s">
        <v>1972</v>
      </c>
      <c r="F652" s="20">
        <v>1</v>
      </c>
      <c r="G652" s="20" t="s">
        <v>92</v>
      </c>
      <c r="H652" s="20"/>
      <c r="I652" s="21" t="s">
        <v>112</v>
      </c>
      <c r="J652" s="21"/>
      <c r="K652" s="21"/>
      <c r="L652" s="21" t="s">
        <v>1968</v>
      </c>
      <c r="M652" s="21" t="s">
        <v>102</v>
      </c>
      <c r="N652" s="21"/>
    </row>
    <row r="653" spans="1:14" ht="64.05" customHeight="1">
      <c r="A653" s="20" t="s">
        <v>1745</v>
      </c>
      <c r="B653" s="20" t="s">
        <v>22</v>
      </c>
      <c r="C653" s="20" t="s">
        <v>370</v>
      </c>
      <c r="D653" s="20" t="s">
        <v>371</v>
      </c>
      <c r="E653" s="20" t="s">
        <v>1973</v>
      </c>
      <c r="F653" s="20">
        <v>1</v>
      </c>
      <c r="G653" s="20" t="s">
        <v>92</v>
      </c>
      <c r="H653" s="20"/>
      <c r="I653" s="21" t="s">
        <v>112</v>
      </c>
      <c r="J653" s="21"/>
      <c r="K653" s="21"/>
      <c r="L653" s="21" t="s">
        <v>1968</v>
      </c>
      <c r="M653" s="21" t="s">
        <v>102</v>
      </c>
      <c r="N653" s="21"/>
    </row>
    <row r="654" spans="1:14" ht="64.05" customHeight="1">
      <c r="A654" s="20" t="s">
        <v>1745</v>
      </c>
      <c r="B654" s="20" t="s">
        <v>22</v>
      </c>
      <c r="C654" s="20" t="s">
        <v>370</v>
      </c>
      <c r="D654" s="20" t="s">
        <v>371</v>
      </c>
      <c r="E654" s="20" t="s">
        <v>1974</v>
      </c>
      <c r="F654" s="20">
        <v>1</v>
      </c>
      <c r="G654" s="20" t="s">
        <v>92</v>
      </c>
      <c r="H654" s="20"/>
      <c r="I654" s="21" t="s">
        <v>112</v>
      </c>
      <c r="J654" s="21"/>
      <c r="K654" s="21"/>
      <c r="L654" s="21" t="s">
        <v>1968</v>
      </c>
      <c r="M654" s="21" t="s">
        <v>102</v>
      </c>
      <c r="N654" s="21"/>
    </row>
    <row r="655" spans="1:14" ht="64.05" customHeight="1">
      <c r="A655" s="20" t="s">
        <v>1745</v>
      </c>
      <c r="B655" s="20" t="s">
        <v>22</v>
      </c>
      <c r="C655" s="20" t="s">
        <v>370</v>
      </c>
      <c r="D655" s="20" t="s">
        <v>371</v>
      </c>
      <c r="E655" s="20" t="s">
        <v>1975</v>
      </c>
      <c r="F655" s="20">
        <v>1</v>
      </c>
      <c r="G655" s="20" t="s">
        <v>92</v>
      </c>
      <c r="H655" s="20"/>
      <c r="I655" s="21" t="s">
        <v>112</v>
      </c>
      <c r="J655" s="21"/>
      <c r="K655" s="21"/>
      <c r="L655" s="21" t="s">
        <v>1968</v>
      </c>
      <c r="M655" s="21" t="s">
        <v>102</v>
      </c>
      <c r="N655" s="21"/>
    </row>
    <row r="656" spans="1:14" ht="64.05" customHeight="1">
      <c r="A656" s="20" t="s">
        <v>1745</v>
      </c>
      <c r="B656" s="20" t="s">
        <v>22</v>
      </c>
      <c r="C656" s="20" t="s">
        <v>370</v>
      </c>
      <c r="D656" s="20" t="s">
        <v>371</v>
      </c>
      <c r="E656" s="20" t="s">
        <v>1976</v>
      </c>
      <c r="F656" s="20">
        <v>1</v>
      </c>
      <c r="G656" s="20" t="s">
        <v>92</v>
      </c>
      <c r="H656" s="20"/>
      <c r="I656" s="21" t="s">
        <v>1977</v>
      </c>
      <c r="J656" s="21"/>
      <c r="K656" s="21"/>
      <c r="L656" s="21" t="s">
        <v>1978</v>
      </c>
      <c r="M656" s="21" t="s">
        <v>102</v>
      </c>
      <c r="N656" s="21"/>
    </row>
    <row r="657" spans="1:14" ht="64.05" customHeight="1">
      <c r="A657" s="20" t="s">
        <v>1745</v>
      </c>
      <c r="B657" s="20" t="s">
        <v>29</v>
      </c>
      <c r="C657" s="20" t="s">
        <v>1084</v>
      </c>
      <c r="D657" s="20" t="s">
        <v>1085</v>
      </c>
      <c r="E657" s="20" t="s">
        <v>1979</v>
      </c>
      <c r="F657" s="20">
        <v>1</v>
      </c>
      <c r="G657" s="20" t="s">
        <v>1980</v>
      </c>
      <c r="H657" s="20" t="s">
        <v>201</v>
      </c>
      <c r="I657" s="21" t="s">
        <v>1981</v>
      </c>
      <c r="J657" s="21" t="s">
        <v>245</v>
      </c>
      <c r="K657" s="21"/>
      <c r="L657" s="21" t="s">
        <v>1982</v>
      </c>
      <c r="M657" s="21" t="s">
        <v>62</v>
      </c>
      <c r="N657" s="21" t="s">
        <v>1435</v>
      </c>
    </row>
    <row r="658" spans="1:14" ht="64.05" customHeight="1">
      <c r="A658" s="20" t="s">
        <v>1745</v>
      </c>
      <c r="B658" s="20" t="s">
        <v>29</v>
      </c>
      <c r="C658" s="20" t="s">
        <v>1084</v>
      </c>
      <c r="D658" s="20" t="s">
        <v>1085</v>
      </c>
      <c r="E658" s="20" t="s">
        <v>1983</v>
      </c>
      <c r="F658" s="20">
        <v>1</v>
      </c>
      <c r="G658" s="20" t="s">
        <v>1980</v>
      </c>
      <c r="H658" s="20" t="s">
        <v>201</v>
      </c>
      <c r="I658" s="21" t="s">
        <v>1984</v>
      </c>
      <c r="J658" s="21" t="s">
        <v>245</v>
      </c>
      <c r="K658" s="21"/>
      <c r="L658" s="21" t="s">
        <v>1985</v>
      </c>
      <c r="M658" s="21" t="s">
        <v>62</v>
      </c>
      <c r="N658" s="21" t="s">
        <v>1435</v>
      </c>
    </row>
    <row r="659" spans="1:14" ht="64.05" customHeight="1">
      <c r="A659" s="20" t="s">
        <v>1745</v>
      </c>
      <c r="B659" s="20" t="s">
        <v>30</v>
      </c>
      <c r="C659" s="20" t="s">
        <v>188</v>
      </c>
      <c r="D659" s="20" t="s">
        <v>189</v>
      </c>
      <c r="E659" s="20" t="s">
        <v>1986</v>
      </c>
      <c r="F659" s="20">
        <v>1</v>
      </c>
      <c r="G659" s="20" t="s">
        <v>1987</v>
      </c>
      <c r="H659" s="20" t="s">
        <v>1988</v>
      </c>
      <c r="I659" s="21" t="s">
        <v>1989</v>
      </c>
      <c r="J659" s="21"/>
      <c r="K659" s="21" t="s">
        <v>109</v>
      </c>
      <c r="L659" s="21" t="s">
        <v>1990</v>
      </c>
      <c r="M659" s="21" t="s">
        <v>73</v>
      </c>
      <c r="N659" s="21"/>
    </row>
    <row r="660" spans="1:14" ht="64.05" customHeight="1">
      <c r="A660" s="20" t="s">
        <v>1745</v>
      </c>
      <c r="B660" s="20" t="s">
        <v>30</v>
      </c>
      <c r="C660" s="20" t="s">
        <v>188</v>
      </c>
      <c r="D660" s="20" t="s">
        <v>189</v>
      </c>
      <c r="E660" s="20" t="s">
        <v>1991</v>
      </c>
      <c r="F660" s="20">
        <v>1</v>
      </c>
      <c r="G660" s="20" t="s">
        <v>1534</v>
      </c>
      <c r="H660" s="20" t="s">
        <v>1992</v>
      </c>
      <c r="I660" s="21" t="s">
        <v>1993</v>
      </c>
      <c r="J660" s="21"/>
      <c r="K660" s="21"/>
      <c r="L660" s="21" t="s">
        <v>1994</v>
      </c>
      <c r="M660" s="21" t="s">
        <v>73</v>
      </c>
      <c r="N660" s="21"/>
    </row>
    <row r="661" spans="1:14" ht="64.05" customHeight="1">
      <c r="A661" s="20" t="s">
        <v>1745</v>
      </c>
      <c r="B661" s="20" t="s">
        <v>30</v>
      </c>
      <c r="C661" s="20" t="s">
        <v>188</v>
      </c>
      <c r="D661" s="20" t="s">
        <v>189</v>
      </c>
      <c r="E661" s="20" t="s">
        <v>1995</v>
      </c>
      <c r="F661" s="20">
        <v>1</v>
      </c>
      <c r="G661" s="20" t="s">
        <v>1534</v>
      </c>
      <c r="H661" s="20" t="s">
        <v>1992</v>
      </c>
      <c r="I661" s="21" t="s">
        <v>1996</v>
      </c>
      <c r="J661" s="21"/>
      <c r="K661" s="21"/>
      <c r="L661" s="21" t="s">
        <v>1994</v>
      </c>
      <c r="M661" s="21" t="s">
        <v>73</v>
      </c>
      <c r="N661" s="21"/>
    </row>
    <row r="662" spans="1:14" ht="64.05" customHeight="1">
      <c r="A662" s="20" t="s">
        <v>1745</v>
      </c>
      <c r="B662" s="20" t="s">
        <v>30</v>
      </c>
      <c r="C662" s="20" t="s">
        <v>188</v>
      </c>
      <c r="D662" s="20" t="s">
        <v>189</v>
      </c>
      <c r="E662" s="20" t="s">
        <v>1997</v>
      </c>
      <c r="F662" s="20">
        <v>1</v>
      </c>
      <c r="G662" s="20" t="s">
        <v>1987</v>
      </c>
      <c r="H662" s="20" t="s">
        <v>1988</v>
      </c>
      <c r="I662" s="21" t="s">
        <v>1998</v>
      </c>
      <c r="J662" s="21"/>
      <c r="K662" s="21"/>
      <c r="L662" s="21" t="s">
        <v>1994</v>
      </c>
      <c r="M662" s="21" t="s">
        <v>73</v>
      </c>
      <c r="N662" s="21"/>
    </row>
    <row r="663" spans="1:14" ht="64.05" customHeight="1">
      <c r="A663" s="20" t="s">
        <v>1745</v>
      </c>
      <c r="B663" s="20" t="s">
        <v>30</v>
      </c>
      <c r="C663" s="20" t="s">
        <v>188</v>
      </c>
      <c r="D663" s="20" t="s">
        <v>255</v>
      </c>
      <c r="E663" s="20" t="s">
        <v>1999</v>
      </c>
      <c r="F663" s="20">
        <v>1</v>
      </c>
      <c r="G663" s="20" t="s">
        <v>1987</v>
      </c>
      <c r="H663" s="20" t="s">
        <v>1988</v>
      </c>
      <c r="I663" s="21" t="s">
        <v>2000</v>
      </c>
      <c r="J663" s="21"/>
      <c r="K663" s="21"/>
      <c r="L663" s="21" t="s">
        <v>1994</v>
      </c>
      <c r="M663" s="21" t="s">
        <v>73</v>
      </c>
      <c r="N663" s="21"/>
    </row>
    <row r="664" spans="1:14" ht="64.05" customHeight="1">
      <c r="A664" s="20" t="s">
        <v>1745</v>
      </c>
      <c r="B664" s="20" t="s">
        <v>30</v>
      </c>
      <c r="C664" s="20" t="s">
        <v>188</v>
      </c>
      <c r="D664" s="20" t="s">
        <v>189</v>
      </c>
      <c r="E664" s="20" t="s">
        <v>2001</v>
      </c>
      <c r="F664" s="20">
        <v>1</v>
      </c>
      <c r="G664" s="20" t="s">
        <v>2002</v>
      </c>
      <c r="H664" s="20" t="s">
        <v>1951</v>
      </c>
      <c r="I664" s="21" t="s">
        <v>2003</v>
      </c>
      <c r="J664" s="21"/>
      <c r="K664" s="21"/>
      <c r="L664" s="21" t="s">
        <v>2004</v>
      </c>
      <c r="M664" s="21" t="s">
        <v>73</v>
      </c>
      <c r="N664" s="21"/>
    </row>
    <row r="665" spans="1:14" ht="64.05" customHeight="1">
      <c r="A665" s="20" t="s">
        <v>1745</v>
      </c>
      <c r="B665" s="20" t="s">
        <v>30</v>
      </c>
      <c r="C665" s="20" t="s">
        <v>188</v>
      </c>
      <c r="D665" s="20" t="s">
        <v>189</v>
      </c>
      <c r="E665" s="20" t="s">
        <v>2005</v>
      </c>
      <c r="F665" s="20">
        <v>1</v>
      </c>
      <c r="G665" s="20" t="s">
        <v>1236</v>
      </c>
      <c r="H665" s="20" t="s">
        <v>1946</v>
      </c>
      <c r="I665" s="21" t="s">
        <v>2006</v>
      </c>
      <c r="J665" s="21"/>
      <c r="K665" s="21"/>
      <c r="L665" s="21" t="s">
        <v>2004</v>
      </c>
      <c r="M665" s="21" t="s">
        <v>73</v>
      </c>
      <c r="N665" s="21"/>
    </row>
    <row r="666" spans="1:14" ht="64.05" customHeight="1">
      <c r="A666" s="20" t="s">
        <v>1745</v>
      </c>
      <c r="B666" s="20" t="s">
        <v>29</v>
      </c>
      <c r="C666" s="20" t="s">
        <v>1084</v>
      </c>
      <c r="D666" s="20" t="s">
        <v>1085</v>
      </c>
      <c r="E666" s="20" t="s">
        <v>2007</v>
      </c>
      <c r="F666" s="20">
        <v>1</v>
      </c>
      <c r="G666" s="20" t="s">
        <v>92</v>
      </c>
      <c r="H666" s="20"/>
      <c r="I666" s="21" t="s">
        <v>2008</v>
      </c>
      <c r="J666" s="21"/>
      <c r="K666" s="21"/>
      <c r="L666" s="21" t="s">
        <v>2009</v>
      </c>
      <c r="M666" s="21" t="s">
        <v>62</v>
      </c>
      <c r="N666" s="21" t="s">
        <v>63</v>
      </c>
    </row>
    <row r="667" spans="1:14" ht="64.05" customHeight="1">
      <c r="A667" s="20" t="s">
        <v>1745</v>
      </c>
      <c r="B667" s="20" t="s">
        <v>24</v>
      </c>
      <c r="C667" s="20" t="s">
        <v>443</v>
      </c>
      <c r="D667" s="20" t="s">
        <v>444</v>
      </c>
      <c r="E667" s="20" t="s">
        <v>2010</v>
      </c>
      <c r="F667" s="20">
        <v>1</v>
      </c>
      <c r="G667" s="20" t="s">
        <v>92</v>
      </c>
      <c r="H667" s="20"/>
      <c r="I667" s="21" t="s">
        <v>2011</v>
      </c>
      <c r="J667" s="21"/>
      <c r="K667" s="21" t="s">
        <v>599</v>
      </c>
      <c r="L667" s="21" t="s">
        <v>2012</v>
      </c>
      <c r="M667" s="21" t="s">
        <v>73</v>
      </c>
      <c r="N667" s="21"/>
    </row>
    <row r="668" spans="1:14" ht="64.05" customHeight="1">
      <c r="A668" s="20" t="s">
        <v>1745</v>
      </c>
      <c r="B668" s="20" t="s">
        <v>24</v>
      </c>
      <c r="C668" s="20" t="s">
        <v>443</v>
      </c>
      <c r="D668" s="20" t="s">
        <v>444</v>
      </c>
      <c r="E668" s="20" t="s">
        <v>2013</v>
      </c>
      <c r="F668" s="20">
        <v>1</v>
      </c>
      <c r="G668" s="20" t="s">
        <v>92</v>
      </c>
      <c r="H668" s="20"/>
      <c r="I668" s="21" t="s">
        <v>2014</v>
      </c>
      <c r="J668" s="21"/>
      <c r="K668" s="21" t="s">
        <v>599</v>
      </c>
      <c r="L668" s="21" t="s">
        <v>2012</v>
      </c>
      <c r="M668" s="21" t="s">
        <v>73</v>
      </c>
      <c r="N668" s="21"/>
    </row>
    <row r="669" spans="1:14" ht="64.05" customHeight="1">
      <c r="A669" s="20" t="s">
        <v>2015</v>
      </c>
      <c r="B669" s="20" t="s">
        <v>20</v>
      </c>
      <c r="C669" s="20" t="s">
        <v>55</v>
      </c>
      <c r="D669" s="20" t="s">
        <v>56</v>
      </c>
      <c r="E669" s="20" t="s">
        <v>2016</v>
      </c>
      <c r="F669" s="20">
        <v>1</v>
      </c>
      <c r="G669" s="20" t="s">
        <v>2017</v>
      </c>
      <c r="H669" s="20" t="s">
        <v>59</v>
      </c>
      <c r="I669" s="21" t="s">
        <v>406</v>
      </c>
      <c r="J669" s="21"/>
      <c r="K669" s="21" t="s">
        <v>406</v>
      </c>
      <c r="L669" s="21" t="s">
        <v>2018</v>
      </c>
      <c r="M669" s="21" t="s">
        <v>62</v>
      </c>
      <c r="N669" s="21" t="s">
        <v>63</v>
      </c>
    </row>
    <row r="670" spans="1:14" ht="64.05" customHeight="1">
      <c r="A670" s="20" t="s">
        <v>2015</v>
      </c>
      <c r="B670" s="20" t="s">
        <v>22</v>
      </c>
      <c r="C670" s="20" t="s">
        <v>779</v>
      </c>
      <c r="D670" s="20" t="s">
        <v>780</v>
      </c>
      <c r="E670" s="20" t="s">
        <v>2019</v>
      </c>
      <c r="F670" s="20">
        <v>1</v>
      </c>
      <c r="G670" s="20" t="s">
        <v>92</v>
      </c>
      <c r="H670" s="20"/>
      <c r="I670" s="21" t="s">
        <v>517</v>
      </c>
      <c r="J670" s="21"/>
      <c r="K670" s="21"/>
      <c r="L670" s="21" t="s">
        <v>2020</v>
      </c>
      <c r="M670" s="21" t="s">
        <v>102</v>
      </c>
      <c r="N670" s="21"/>
    </row>
    <row r="671" spans="1:14" ht="64.05" customHeight="1">
      <c r="A671" s="20" t="s">
        <v>2015</v>
      </c>
      <c r="B671" s="20" t="s">
        <v>22</v>
      </c>
      <c r="C671" s="20" t="s">
        <v>2021</v>
      </c>
      <c r="D671" s="20" t="s">
        <v>197</v>
      </c>
      <c r="E671" s="20" t="s">
        <v>2022</v>
      </c>
      <c r="F671" s="20">
        <v>1</v>
      </c>
      <c r="G671" s="20" t="s">
        <v>92</v>
      </c>
      <c r="H671" s="20"/>
      <c r="I671" s="21" t="s">
        <v>406</v>
      </c>
      <c r="J671" s="21"/>
      <c r="K671" s="21"/>
      <c r="L671" s="21" t="s">
        <v>2023</v>
      </c>
      <c r="M671" s="21" t="s">
        <v>102</v>
      </c>
      <c r="N671" s="21"/>
    </row>
    <row r="672" spans="1:14" ht="64.05" customHeight="1">
      <c r="A672" s="20" t="s">
        <v>2015</v>
      </c>
      <c r="B672" s="20" t="s">
        <v>22</v>
      </c>
      <c r="C672" s="20" t="s">
        <v>1149</v>
      </c>
      <c r="D672" s="20" t="s">
        <v>197</v>
      </c>
      <c r="E672" s="20" t="s">
        <v>2024</v>
      </c>
      <c r="F672" s="20">
        <v>1</v>
      </c>
      <c r="G672" s="20" t="s">
        <v>92</v>
      </c>
      <c r="H672" s="20"/>
      <c r="I672" s="21" t="s">
        <v>406</v>
      </c>
      <c r="J672" s="21"/>
      <c r="K672" s="21" t="s">
        <v>406</v>
      </c>
      <c r="L672" s="21" t="s">
        <v>2025</v>
      </c>
      <c r="M672" s="21" t="s">
        <v>102</v>
      </c>
      <c r="N672" s="21"/>
    </row>
    <row r="673" spans="1:14" ht="64.05" customHeight="1">
      <c r="A673" s="20" t="s">
        <v>2015</v>
      </c>
      <c r="B673" s="20" t="s">
        <v>22</v>
      </c>
      <c r="C673" s="20" t="s">
        <v>370</v>
      </c>
      <c r="D673" s="20" t="s">
        <v>371</v>
      </c>
      <c r="E673" s="20" t="s">
        <v>2026</v>
      </c>
      <c r="F673" s="20">
        <v>1</v>
      </c>
      <c r="G673" s="20" t="s">
        <v>92</v>
      </c>
      <c r="H673" s="20"/>
      <c r="I673" s="21" t="s">
        <v>112</v>
      </c>
      <c r="J673" s="21"/>
      <c r="K673" s="21" t="s">
        <v>2027</v>
      </c>
      <c r="L673" s="21" t="s">
        <v>2028</v>
      </c>
      <c r="M673" s="21" t="s">
        <v>102</v>
      </c>
      <c r="N673" s="21"/>
    </row>
    <row r="674" spans="1:14" ht="64.05" customHeight="1">
      <c r="A674" s="20" t="s">
        <v>2015</v>
      </c>
      <c r="B674" s="20" t="s">
        <v>22</v>
      </c>
      <c r="C674" s="20" t="s">
        <v>370</v>
      </c>
      <c r="D674" s="20" t="s">
        <v>371</v>
      </c>
      <c r="E674" s="20" t="s">
        <v>2029</v>
      </c>
      <c r="F674" s="20">
        <v>1</v>
      </c>
      <c r="G674" s="20" t="s">
        <v>92</v>
      </c>
      <c r="H674" s="20"/>
      <c r="I674" s="21" t="s">
        <v>112</v>
      </c>
      <c r="J674" s="21"/>
      <c r="K674" s="21" t="s">
        <v>2027</v>
      </c>
      <c r="L674" s="21" t="s">
        <v>2028</v>
      </c>
      <c r="M674" s="21" t="s">
        <v>102</v>
      </c>
      <c r="N674" s="21"/>
    </row>
    <row r="675" spans="1:14" ht="64.05" customHeight="1">
      <c r="A675" s="20" t="s">
        <v>2015</v>
      </c>
      <c r="B675" s="20" t="s">
        <v>22</v>
      </c>
      <c r="C675" s="20" t="s">
        <v>370</v>
      </c>
      <c r="D675" s="20" t="s">
        <v>371</v>
      </c>
      <c r="E675" s="20" t="s">
        <v>2030</v>
      </c>
      <c r="F675" s="20">
        <v>1</v>
      </c>
      <c r="G675" s="20" t="s">
        <v>92</v>
      </c>
      <c r="H675" s="20"/>
      <c r="I675" s="21" t="s">
        <v>112</v>
      </c>
      <c r="J675" s="21"/>
      <c r="K675" s="21" t="s">
        <v>2027</v>
      </c>
      <c r="L675" s="21" t="s">
        <v>2028</v>
      </c>
      <c r="M675" s="21" t="s">
        <v>102</v>
      </c>
      <c r="N675" s="21"/>
    </row>
    <row r="676" spans="1:14" ht="64.05" customHeight="1">
      <c r="A676" s="20" t="s">
        <v>2015</v>
      </c>
      <c r="B676" s="20" t="s">
        <v>22</v>
      </c>
      <c r="C676" s="20" t="s">
        <v>370</v>
      </c>
      <c r="D676" s="20" t="s">
        <v>371</v>
      </c>
      <c r="E676" s="20" t="s">
        <v>2031</v>
      </c>
      <c r="F676" s="20">
        <v>1</v>
      </c>
      <c r="G676" s="20" t="s">
        <v>92</v>
      </c>
      <c r="H676" s="20"/>
      <c r="I676" s="21" t="s">
        <v>112</v>
      </c>
      <c r="J676" s="21"/>
      <c r="K676" s="21" t="s">
        <v>2027</v>
      </c>
      <c r="L676" s="21" t="s">
        <v>2028</v>
      </c>
      <c r="M676" s="21" t="s">
        <v>102</v>
      </c>
      <c r="N676" s="21"/>
    </row>
    <row r="677" spans="1:14" ht="64.05" customHeight="1">
      <c r="A677" s="20" t="s">
        <v>2015</v>
      </c>
      <c r="B677" s="20" t="s">
        <v>24</v>
      </c>
      <c r="C677" s="20" t="s">
        <v>436</v>
      </c>
      <c r="D677" s="20" t="s">
        <v>437</v>
      </c>
      <c r="E677" s="20" t="s">
        <v>2032</v>
      </c>
      <c r="F677" s="20">
        <v>1</v>
      </c>
      <c r="G677" s="20" t="s">
        <v>175</v>
      </c>
      <c r="H677" s="20" t="s">
        <v>2033</v>
      </c>
      <c r="I677" s="21"/>
      <c r="J677" s="21"/>
      <c r="K677" s="21" t="s">
        <v>960</v>
      </c>
      <c r="L677" s="21" t="s">
        <v>2034</v>
      </c>
      <c r="M677" s="21" t="s">
        <v>62</v>
      </c>
      <c r="N677" s="21" t="s">
        <v>130</v>
      </c>
    </row>
    <row r="678" spans="1:14" ht="64.05" customHeight="1">
      <c r="A678" s="20" t="s">
        <v>2015</v>
      </c>
      <c r="B678" s="20" t="s">
        <v>24</v>
      </c>
      <c r="C678" s="20" t="s">
        <v>436</v>
      </c>
      <c r="D678" s="20" t="s">
        <v>437</v>
      </c>
      <c r="E678" s="20" t="s">
        <v>2035</v>
      </c>
      <c r="F678" s="20">
        <v>1</v>
      </c>
      <c r="G678" s="20" t="s">
        <v>175</v>
      </c>
      <c r="H678" s="20" t="s">
        <v>2033</v>
      </c>
      <c r="I678" s="21"/>
      <c r="J678" s="21"/>
      <c r="K678" s="21" t="s">
        <v>960</v>
      </c>
      <c r="L678" s="21" t="s">
        <v>2034</v>
      </c>
      <c r="M678" s="21" t="s">
        <v>62</v>
      </c>
      <c r="N678" s="21" t="s">
        <v>130</v>
      </c>
    </row>
    <row r="679" spans="1:14" ht="64.05" customHeight="1">
      <c r="A679" s="20" t="s">
        <v>2015</v>
      </c>
      <c r="B679" s="20" t="s">
        <v>24</v>
      </c>
      <c r="C679" s="20" t="s">
        <v>436</v>
      </c>
      <c r="D679" s="20" t="s">
        <v>437</v>
      </c>
      <c r="E679" s="20" t="s">
        <v>2036</v>
      </c>
      <c r="F679" s="20">
        <v>1</v>
      </c>
      <c r="G679" s="20" t="s">
        <v>175</v>
      </c>
      <c r="H679" s="20" t="s">
        <v>2033</v>
      </c>
      <c r="I679" s="21"/>
      <c r="J679" s="21"/>
      <c r="K679" s="21" t="s">
        <v>960</v>
      </c>
      <c r="L679" s="21" t="s">
        <v>2034</v>
      </c>
      <c r="M679" s="21" t="s">
        <v>62</v>
      </c>
      <c r="N679" s="21" t="s">
        <v>130</v>
      </c>
    </row>
    <row r="680" spans="1:14" ht="64.05" customHeight="1">
      <c r="A680" s="20" t="s">
        <v>2015</v>
      </c>
      <c r="B680" s="20" t="s">
        <v>24</v>
      </c>
      <c r="C680" s="20" t="s">
        <v>436</v>
      </c>
      <c r="D680" s="20" t="s">
        <v>437</v>
      </c>
      <c r="E680" s="20" t="s">
        <v>2037</v>
      </c>
      <c r="F680" s="20">
        <v>1</v>
      </c>
      <c r="G680" s="20" t="s">
        <v>508</v>
      </c>
      <c r="H680" s="20" t="s">
        <v>2038</v>
      </c>
      <c r="I680" s="21"/>
      <c r="J680" s="21"/>
      <c r="K680" s="21" t="s">
        <v>109</v>
      </c>
      <c r="L680" s="21" t="s">
        <v>2039</v>
      </c>
      <c r="M680" s="21" t="s">
        <v>62</v>
      </c>
      <c r="N680" s="21" t="s">
        <v>1752</v>
      </c>
    </row>
    <row r="681" spans="1:14" ht="64.05" customHeight="1">
      <c r="A681" s="20" t="s">
        <v>2015</v>
      </c>
      <c r="B681" s="20" t="s">
        <v>24</v>
      </c>
      <c r="C681" s="20" t="s">
        <v>436</v>
      </c>
      <c r="D681" s="20" t="s">
        <v>437</v>
      </c>
      <c r="E681" s="20" t="s">
        <v>2040</v>
      </c>
      <c r="F681" s="20">
        <v>1</v>
      </c>
      <c r="G681" s="20" t="s">
        <v>92</v>
      </c>
      <c r="H681" s="20"/>
      <c r="I681" s="21"/>
      <c r="J681" s="21"/>
      <c r="K681" s="21"/>
      <c r="L681" s="21" t="s">
        <v>2041</v>
      </c>
      <c r="M681" s="21" t="s">
        <v>62</v>
      </c>
      <c r="N681" s="21" t="s">
        <v>63</v>
      </c>
    </row>
    <row r="682" spans="1:14" ht="64.05" customHeight="1">
      <c r="A682" s="20" t="s">
        <v>2015</v>
      </c>
      <c r="B682" s="20" t="s">
        <v>24</v>
      </c>
      <c r="C682" s="20" t="s">
        <v>436</v>
      </c>
      <c r="D682" s="20" t="s">
        <v>437</v>
      </c>
      <c r="E682" s="20" t="s">
        <v>2042</v>
      </c>
      <c r="F682" s="20">
        <v>1</v>
      </c>
      <c r="G682" s="20" t="s">
        <v>249</v>
      </c>
      <c r="H682" s="20" t="s">
        <v>2043</v>
      </c>
      <c r="I682" s="21"/>
      <c r="J682" s="21"/>
      <c r="K682" s="21"/>
      <c r="L682" s="21" t="s">
        <v>2044</v>
      </c>
      <c r="M682" s="21" t="s">
        <v>62</v>
      </c>
      <c r="N682" s="21" t="s">
        <v>1752</v>
      </c>
    </row>
    <row r="683" spans="1:14" ht="64.05" customHeight="1">
      <c r="A683" s="20" t="s">
        <v>2015</v>
      </c>
      <c r="B683" s="20" t="s">
        <v>24</v>
      </c>
      <c r="C683" s="20" t="s">
        <v>136</v>
      </c>
      <c r="D683" s="20" t="s">
        <v>674</v>
      </c>
      <c r="E683" s="20" t="s">
        <v>2045</v>
      </c>
      <c r="F683" s="20">
        <v>1</v>
      </c>
      <c r="G683" s="20" t="s">
        <v>2046</v>
      </c>
      <c r="H683" s="20"/>
      <c r="I683" s="21" t="s">
        <v>408</v>
      </c>
      <c r="J683" s="21"/>
      <c r="K683" s="21" t="s">
        <v>406</v>
      </c>
      <c r="L683" s="21" t="s">
        <v>2047</v>
      </c>
      <c r="M683" s="21" t="s">
        <v>73</v>
      </c>
      <c r="N683" s="21"/>
    </row>
    <row r="684" spans="1:14" ht="64.05" customHeight="1">
      <c r="A684" s="20" t="s">
        <v>2015</v>
      </c>
      <c r="B684" s="20" t="s">
        <v>24</v>
      </c>
      <c r="C684" s="20" t="s">
        <v>136</v>
      </c>
      <c r="D684" s="20" t="s">
        <v>674</v>
      </c>
      <c r="E684" s="20" t="s">
        <v>2048</v>
      </c>
      <c r="F684" s="20">
        <v>1</v>
      </c>
      <c r="G684" s="20" t="s">
        <v>2046</v>
      </c>
      <c r="H684" s="20"/>
      <c r="I684" s="21" t="s">
        <v>408</v>
      </c>
      <c r="J684" s="21"/>
      <c r="K684" s="21" t="s">
        <v>406</v>
      </c>
      <c r="L684" s="21" t="s">
        <v>2047</v>
      </c>
      <c r="M684" s="21" t="s">
        <v>73</v>
      </c>
      <c r="N684" s="21"/>
    </row>
    <row r="685" spans="1:14" ht="64.05" customHeight="1">
      <c r="A685" s="20" t="s">
        <v>2015</v>
      </c>
      <c r="B685" s="20" t="s">
        <v>24</v>
      </c>
      <c r="C685" s="20" t="s">
        <v>136</v>
      </c>
      <c r="D685" s="20" t="s">
        <v>674</v>
      </c>
      <c r="E685" s="20" t="s">
        <v>2049</v>
      </c>
      <c r="F685" s="20">
        <v>1</v>
      </c>
      <c r="G685" s="20" t="s">
        <v>2046</v>
      </c>
      <c r="H685" s="20"/>
      <c r="I685" s="21" t="s">
        <v>408</v>
      </c>
      <c r="J685" s="21"/>
      <c r="K685" s="21" t="s">
        <v>406</v>
      </c>
      <c r="L685" s="21" t="s">
        <v>2050</v>
      </c>
      <c r="M685" s="21" t="s">
        <v>73</v>
      </c>
      <c r="N685" s="21"/>
    </row>
    <row r="686" spans="1:14" ht="64.05" customHeight="1">
      <c r="A686" s="20" t="s">
        <v>2015</v>
      </c>
      <c r="B686" s="20" t="s">
        <v>24</v>
      </c>
      <c r="C686" s="20" t="s">
        <v>136</v>
      </c>
      <c r="D686" s="20" t="s">
        <v>674</v>
      </c>
      <c r="E686" s="20" t="s">
        <v>2051</v>
      </c>
      <c r="F686" s="20">
        <v>1</v>
      </c>
      <c r="G686" s="20" t="s">
        <v>2046</v>
      </c>
      <c r="H686" s="20"/>
      <c r="I686" s="21" t="s">
        <v>2052</v>
      </c>
      <c r="J686" s="21"/>
      <c r="K686" s="21" t="s">
        <v>109</v>
      </c>
      <c r="L686" s="21" t="s">
        <v>2053</v>
      </c>
      <c r="M686" s="21" t="s">
        <v>73</v>
      </c>
      <c r="N686" s="21"/>
    </row>
    <row r="687" spans="1:14" ht="64.05" customHeight="1">
      <c r="A687" s="20" t="s">
        <v>2015</v>
      </c>
      <c r="B687" s="20" t="s">
        <v>24</v>
      </c>
      <c r="C687" s="20" t="s">
        <v>136</v>
      </c>
      <c r="D687" s="20" t="s">
        <v>674</v>
      </c>
      <c r="E687" s="20" t="s">
        <v>2054</v>
      </c>
      <c r="F687" s="20">
        <v>1</v>
      </c>
      <c r="G687" s="20" t="s">
        <v>92</v>
      </c>
      <c r="H687" s="20"/>
      <c r="I687" s="21" t="s">
        <v>2055</v>
      </c>
      <c r="J687" s="21" t="s">
        <v>672</v>
      </c>
      <c r="K687" s="21"/>
      <c r="L687" s="21" t="s">
        <v>2056</v>
      </c>
      <c r="M687" s="21" t="s">
        <v>102</v>
      </c>
      <c r="N687" s="21"/>
    </row>
    <row r="688" spans="1:14" ht="64.05" customHeight="1">
      <c r="A688" s="20" t="s">
        <v>2015</v>
      </c>
      <c r="B688" s="20" t="s">
        <v>24</v>
      </c>
      <c r="C688" s="20" t="s">
        <v>136</v>
      </c>
      <c r="D688" s="20" t="s">
        <v>674</v>
      </c>
      <c r="E688" s="20" t="s">
        <v>2057</v>
      </c>
      <c r="F688" s="20">
        <v>1</v>
      </c>
      <c r="G688" s="20" t="s">
        <v>92</v>
      </c>
      <c r="H688" s="20"/>
      <c r="I688" s="21" t="s">
        <v>2058</v>
      </c>
      <c r="J688" s="21" t="s">
        <v>99</v>
      </c>
      <c r="K688" s="21"/>
      <c r="L688" s="21" t="s">
        <v>2059</v>
      </c>
      <c r="M688" s="21" t="s">
        <v>102</v>
      </c>
      <c r="N688" s="21"/>
    </row>
    <row r="689" spans="1:14" ht="64.05" customHeight="1">
      <c r="A689" s="20" t="s">
        <v>2015</v>
      </c>
      <c r="B689" s="20" t="s">
        <v>24</v>
      </c>
      <c r="C689" s="20" t="s">
        <v>443</v>
      </c>
      <c r="D689" s="20" t="s">
        <v>444</v>
      </c>
      <c r="E689" s="20" t="s">
        <v>2060</v>
      </c>
      <c r="F689" s="20">
        <v>1</v>
      </c>
      <c r="G689" s="20"/>
      <c r="H689" s="20"/>
      <c r="I689" s="21" t="s">
        <v>2061</v>
      </c>
      <c r="J689" s="21"/>
      <c r="K689" s="21" t="s">
        <v>320</v>
      </c>
      <c r="L689" s="21" t="s">
        <v>2062</v>
      </c>
      <c r="M689" s="21" t="s">
        <v>62</v>
      </c>
      <c r="N689" s="21" t="s">
        <v>187</v>
      </c>
    </row>
    <row r="690" spans="1:14" ht="64.05" customHeight="1">
      <c r="A690" s="20" t="s">
        <v>2015</v>
      </c>
      <c r="B690" s="20" t="s">
        <v>28</v>
      </c>
      <c r="C690" s="20" t="s">
        <v>146</v>
      </c>
      <c r="D690" s="20" t="s">
        <v>147</v>
      </c>
      <c r="E690" s="20" t="s">
        <v>2063</v>
      </c>
      <c r="F690" s="20">
        <v>1</v>
      </c>
      <c r="G690" s="20" t="s">
        <v>2064</v>
      </c>
      <c r="H690" s="20" t="s">
        <v>505</v>
      </c>
      <c r="I690" s="21" t="s">
        <v>2065</v>
      </c>
      <c r="J690" s="21"/>
      <c r="K690" s="21"/>
      <c r="L690" s="21" t="s">
        <v>2066</v>
      </c>
      <c r="M690" s="21" t="s">
        <v>62</v>
      </c>
      <c r="N690" s="21" t="s">
        <v>187</v>
      </c>
    </row>
    <row r="691" spans="1:14" ht="64.05" customHeight="1">
      <c r="A691" s="20" t="s">
        <v>2015</v>
      </c>
      <c r="B691" s="20" t="s">
        <v>28</v>
      </c>
      <c r="C691" s="20" t="s">
        <v>146</v>
      </c>
      <c r="D691" s="20" t="s">
        <v>147</v>
      </c>
      <c r="E691" s="20" t="s">
        <v>2067</v>
      </c>
      <c r="F691" s="20">
        <v>1</v>
      </c>
      <c r="G691" s="20" t="s">
        <v>149</v>
      </c>
      <c r="H691" s="20" t="s">
        <v>1217</v>
      </c>
      <c r="I691" s="21" t="s">
        <v>2068</v>
      </c>
      <c r="J691" s="21"/>
      <c r="K691" s="21"/>
      <c r="L691" s="21" t="s">
        <v>2069</v>
      </c>
      <c r="M691" s="21" t="s">
        <v>62</v>
      </c>
      <c r="N691" s="21" t="s">
        <v>187</v>
      </c>
    </row>
    <row r="692" spans="1:14" ht="64.05" customHeight="1">
      <c r="A692" s="20" t="s">
        <v>2015</v>
      </c>
      <c r="B692" s="20" t="s">
        <v>28</v>
      </c>
      <c r="C692" s="20" t="s">
        <v>146</v>
      </c>
      <c r="D692" s="20" t="s">
        <v>147</v>
      </c>
      <c r="E692" s="20" t="s">
        <v>2070</v>
      </c>
      <c r="F692" s="20">
        <v>1</v>
      </c>
      <c r="G692" s="20" t="s">
        <v>149</v>
      </c>
      <c r="H692" s="20" t="s">
        <v>1217</v>
      </c>
      <c r="I692" s="21" t="s">
        <v>2068</v>
      </c>
      <c r="J692" s="21"/>
      <c r="K692" s="21"/>
      <c r="L692" s="21" t="s">
        <v>2069</v>
      </c>
      <c r="M692" s="21" t="s">
        <v>62</v>
      </c>
      <c r="N692" s="21" t="s">
        <v>187</v>
      </c>
    </row>
    <row r="693" spans="1:14" ht="64.05" customHeight="1">
      <c r="A693" s="20" t="s">
        <v>2015</v>
      </c>
      <c r="B693" s="20" t="s">
        <v>28</v>
      </c>
      <c r="C693" s="20" t="s">
        <v>167</v>
      </c>
      <c r="D693" s="20" t="s">
        <v>168</v>
      </c>
      <c r="E693" s="20" t="s">
        <v>2071</v>
      </c>
      <c r="F693" s="20">
        <v>1</v>
      </c>
      <c r="G693" s="20" t="s">
        <v>2046</v>
      </c>
      <c r="H693" s="20"/>
      <c r="I693" s="21" t="s">
        <v>408</v>
      </c>
      <c r="J693" s="21"/>
      <c r="K693" s="21" t="s">
        <v>406</v>
      </c>
      <c r="L693" s="21" t="s">
        <v>2072</v>
      </c>
      <c r="M693" s="21" t="s">
        <v>73</v>
      </c>
      <c r="N693" s="21"/>
    </row>
    <row r="694" spans="1:14" ht="64.05" customHeight="1">
      <c r="A694" s="20" t="s">
        <v>2015</v>
      </c>
      <c r="B694" s="20" t="s">
        <v>28</v>
      </c>
      <c r="C694" s="20" t="s">
        <v>167</v>
      </c>
      <c r="D694" s="20" t="s">
        <v>168</v>
      </c>
      <c r="E694" s="20" t="s">
        <v>2073</v>
      </c>
      <c r="F694" s="20">
        <v>1</v>
      </c>
      <c r="G694" s="20" t="s">
        <v>2046</v>
      </c>
      <c r="H694" s="20"/>
      <c r="I694" s="21" t="s">
        <v>408</v>
      </c>
      <c r="J694" s="21"/>
      <c r="K694" s="21" t="s">
        <v>406</v>
      </c>
      <c r="L694" s="21" t="s">
        <v>2074</v>
      </c>
      <c r="M694" s="21" t="s">
        <v>73</v>
      </c>
      <c r="N694" s="21"/>
    </row>
    <row r="695" spans="1:14" ht="64.05" customHeight="1">
      <c r="A695" s="20" t="s">
        <v>2015</v>
      </c>
      <c r="B695" s="20" t="s">
        <v>30</v>
      </c>
      <c r="C695" s="20" t="s">
        <v>180</v>
      </c>
      <c r="D695" s="20" t="s">
        <v>181</v>
      </c>
      <c r="E695" s="20" t="s">
        <v>2075</v>
      </c>
      <c r="F695" s="20">
        <v>1</v>
      </c>
      <c r="G695" s="20" t="s">
        <v>2076</v>
      </c>
      <c r="H695" s="20" t="s">
        <v>2077</v>
      </c>
      <c r="I695" s="21" t="s">
        <v>2078</v>
      </c>
      <c r="J695" s="21" t="s">
        <v>99</v>
      </c>
      <c r="K695" s="21" t="s">
        <v>2079</v>
      </c>
      <c r="L695" s="21" t="s">
        <v>2080</v>
      </c>
      <c r="M695" s="21" t="s">
        <v>62</v>
      </c>
      <c r="N695" s="21" t="s">
        <v>1752</v>
      </c>
    </row>
    <row r="696" spans="1:14" ht="64.05" customHeight="1">
      <c r="A696" s="20" t="s">
        <v>2015</v>
      </c>
      <c r="B696" s="20" t="s">
        <v>30</v>
      </c>
      <c r="C696" s="20" t="s">
        <v>180</v>
      </c>
      <c r="D696" s="20" t="s">
        <v>181</v>
      </c>
      <c r="E696" s="20" t="s">
        <v>2081</v>
      </c>
      <c r="F696" s="20">
        <v>1</v>
      </c>
      <c r="G696" s="20" t="s">
        <v>2076</v>
      </c>
      <c r="H696" s="20" t="s">
        <v>2077</v>
      </c>
      <c r="I696" s="21" t="s">
        <v>2078</v>
      </c>
      <c r="J696" s="21"/>
      <c r="K696" s="21" t="s">
        <v>2079</v>
      </c>
      <c r="L696" s="21" t="s">
        <v>2080</v>
      </c>
      <c r="M696" s="21" t="s">
        <v>62</v>
      </c>
      <c r="N696" s="21" t="s">
        <v>1752</v>
      </c>
    </row>
    <row r="697" spans="1:14" ht="64.05" customHeight="1">
      <c r="A697" s="20" t="s">
        <v>2015</v>
      </c>
      <c r="B697" s="20" t="s">
        <v>26</v>
      </c>
      <c r="C697" s="20" t="s">
        <v>196</v>
      </c>
      <c r="D697" s="20" t="s">
        <v>197</v>
      </c>
      <c r="E697" s="20" t="s">
        <v>2082</v>
      </c>
      <c r="F697" s="20">
        <v>1</v>
      </c>
      <c r="G697" s="20" t="s">
        <v>92</v>
      </c>
      <c r="H697" s="20"/>
      <c r="I697" s="21" t="s">
        <v>2083</v>
      </c>
      <c r="J697" s="21"/>
      <c r="K697" s="21" t="s">
        <v>2084</v>
      </c>
      <c r="L697" s="21" t="s">
        <v>2085</v>
      </c>
      <c r="M697" s="21" t="s">
        <v>102</v>
      </c>
      <c r="N697" s="21"/>
    </row>
    <row r="698" spans="1:14" ht="64.05" customHeight="1">
      <c r="A698" s="20" t="s">
        <v>2015</v>
      </c>
      <c r="B698" s="20" t="s">
        <v>26</v>
      </c>
      <c r="C698" s="20" t="s">
        <v>196</v>
      </c>
      <c r="D698" s="20" t="s">
        <v>197</v>
      </c>
      <c r="E698" s="20" t="s">
        <v>2086</v>
      </c>
      <c r="F698" s="20">
        <v>1</v>
      </c>
      <c r="G698" s="20" t="s">
        <v>92</v>
      </c>
      <c r="H698" s="20"/>
      <c r="I698" s="21" t="s">
        <v>406</v>
      </c>
      <c r="J698" s="21"/>
      <c r="K698" s="21" t="s">
        <v>408</v>
      </c>
      <c r="L698" s="21" t="s">
        <v>2087</v>
      </c>
      <c r="M698" s="21" t="s">
        <v>102</v>
      </c>
      <c r="N698" s="21"/>
    </row>
    <row r="699" spans="1:14" ht="64.05" customHeight="1">
      <c r="A699" s="20" t="s">
        <v>2015</v>
      </c>
      <c r="B699" s="20" t="s">
        <v>33</v>
      </c>
      <c r="C699" s="20" t="s">
        <v>2088</v>
      </c>
      <c r="D699" s="20" t="s">
        <v>660</v>
      </c>
      <c r="E699" s="20" t="s">
        <v>2089</v>
      </c>
      <c r="F699" s="20">
        <v>1</v>
      </c>
      <c r="G699" s="20" t="s">
        <v>2090</v>
      </c>
      <c r="H699" s="20" t="s">
        <v>2091</v>
      </c>
      <c r="I699" s="21" t="s">
        <v>2092</v>
      </c>
      <c r="J699" s="21" t="s">
        <v>245</v>
      </c>
      <c r="K699" s="21"/>
      <c r="L699" s="21" t="s">
        <v>2093</v>
      </c>
      <c r="M699" s="21" t="s">
        <v>62</v>
      </c>
      <c r="N699" s="21" t="s">
        <v>1435</v>
      </c>
    </row>
    <row r="700" spans="1:14" ht="64.05" customHeight="1">
      <c r="A700" s="20" t="s">
        <v>2015</v>
      </c>
      <c r="B700" s="20" t="s">
        <v>33</v>
      </c>
      <c r="C700" s="20" t="s">
        <v>2088</v>
      </c>
      <c r="D700" s="20" t="s">
        <v>660</v>
      </c>
      <c r="E700" s="20" t="s">
        <v>2094</v>
      </c>
      <c r="F700" s="20">
        <v>1</v>
      </c>
      <c r="G700" s="20" t="s">
        <v>2090</v>
      </c>
      <c r="H700" s="20" t="s">
        <v>2091</v>
      </c>
      <c r="I700" s="21" t="s">
        <v>2092</v>
      </c>
      <c r="J700" s="21" t="s">
        <v>245</v>
      </c>
      <c r="K700" s="21"/>
      <c r="L700" s="21" t="s">
        <v>2093</v>
      </c>
      <c r="M700" s="21" t="s">
        <v>62</v>
      </c>
      <c r="N700" s="21" t="s">
        <v>1435</v>
      </c>
    </row>
    <row r="701" spans="1:14" ht="64.05" customHeight="1">
      <c r="A701" s="20" t="s">
        <v>2015</v>
      </c>
      <c r="B701" s="20" t="s">
        <v>33</v>
      </c>
      <c r="C701" s="20" t="s">
        <v>2088</v>
      </c>
      <c r="D701" s="20" t="s">
        <v>660</v>
      </c>
      <c r="E701" s="20" t="s">
        <v>2095</v>
      </c>
      <c r="F701" s="20">
        <v>1</v>
      </c>
      <c r="G701" s="20" t="s">
        <v>2090</v>
      </c>
      <c r="H701" s="20" t="s">
        <v>2091</v>
      </c>
      <c r="I701" s="21" t="s">
        <v>2092</v>
      </c>
      <c r="J701" s="21" t="s">
        <v>245</v>
      </c>
      <c r="K701" s="21"/>
      <c r="L701" s="21" t="s">
        <v>2096</v>
      </c>
      <c r="M701" s="21" t="s">
        <v>62</v>
      </c>
      <c r="N701" s="21" t="s">
        <v>1435</v>
      </c>
    </row>
    <row r="702" spans="1:14" ht="64.05" customHeight="1">
      <c r="A702" s="20" t="s">
        <v>2015</v>
      </c>
      <c r="B702" s="20" t="s">
        <v>33</v>
      </c>
      <c r="C702" s="20" t="s">
        <v>2088</v>
      </c>
      <c r="D702" s="20" t="s">
        <v>660</v>
      </c>
      <c r="E702" s="20" t="s">
        <v>2097</v>
      </c>
      <c r="F702" s="20">
        <v>1</v>
      </c>
      <c r="G702" s="20" t="s">
        <v>2090</v>
      </c>
      <c r="H702" s="20" t="s">
        <v>2091</v>
      </c>
      <c r="I702" s="21" t="s">
        <v>2092</v>
      </c>
      <c r="J702" s="21" t="s">
        <v>245</v>
      </c>
      <c r="K702" s="21"/>
      <c r="L702" s="21" t="s">
        <v>2096</v>
      </c>
      <c r="M702" s="21" t="s">
        <v>62</v>
      </c>
      <c r="N702" s="21" t="s">
        <v>1435</v>
      </c>
    </row>
    <row r="703" spans="1:14" ht="64.05" customHeight="1">
      <c r="A703" s="20" t="s">
        <v>2015</v>
      </c>
      <c r="B703" s="20" t="s">
        <v>33</v>
      </c>
      <c r="C703" s="20" t="s">
        <v>2088</v>
      </c>
      <c r="D703" s="20" t="s">
        <v>660</v>
      </c>
      <c r="E703" s="20" t="s">
        <v>2098</v>
      </c>
      <c r="F703" s="20">
        <v>1</v>
      </c>
      <c r="G703" s="20" t="s">
        <v>2090</v>
      </c>
      <c r="H703" s="20" t="s">
        <v>2091</v>
      </c>
      <c r="I703" s="21" t="s">
        <v>2092</v>
      </c>
      <c r="J703" s="21" t="s">
        <v>245</v>
      </c>
      <c r="K703" s="21"/>
      <c r="L703" s="21" t="s">
        <v>2096</v>
      </c>
      <c r="M703" s="21" t="s">
        <v>62</v>
      </c>
      <c r="N703" s="21" t="s">
        <v>1435</v>
      </c>
    </row>
    <row r="704" spans="1:14" ht="64.05" customHeight="1">
      <c r="A704" s="20" t="s">
        <v>2015</v>
      </c>
      <c r="B704" s="20" t="s">
        <v>33</v>
      </c>
      <c r="C704" s="20" t="s">
        <v>2088</v>
      </c>
      <c r="D704" s="20" t="s">
        <v>660</v>
      </c>
      <c r="E704" s="20" t="s">
        <v>2099</v>
      </c>
      <c r="F704" s="20">
        <v>1</v>
      </c>
      <c r="G704" s="20" t="s">
        <v>2090</v>
      </c>
      <c r="H704" s="20" t="s">
        <v>2091</v>
      </c>
      <c r="I704" s="21" t="s">
        <v>2092</v>
      </c>
      <c r="J704" s="21" t="s">
        <v>245</v>
      </c>
      <c r="K704" s="21"/>
      <c r="L704" s="21" t="s">
        <v>2096</v>
      </c>
      <c r="M704" s="21" t="s">
        <v>62</v>
      </c>
      <c r="N704" s="21" t="s">
        <v>1435</v>
      </c>
    </row>
    <row r="705" spans="1:14" ht="64.05" customHeight="1">
      <c r="A705" s="20" t="s">
        <v>2015</v>
      </c>
      <c r="B705" s="20" t="s">
        <v>33</v>
      </c>
      <c r="C705" s="20" t="s">
        <v>2088</v>
      </c>
      <c r="D705" s="20" t="s">
        <v>660</v>
      </c>
      <c r="E705" s="20" t="s">
        <v>2100</v>
      </c>
      <c r="F705" s="20">
        <v>1</v>
      </c>
      <c r="G705" s="20" t="s">
        <v>2090</v>
      </c>
      <c r="H705" s="20" t="s">
        <v>2091</v>
      </c>
      <c r="I705" s="21" t="s">
        <v>2092</v>
      </c>
      <c r="J705" s="21" t="s">
        <v>245</v>
      </c>
      <c r="K705" s="21"/>
      <c r="L705" s="21" t="s">
        <v>2096</v>
      </c>
      <c r="M705" s="21" t="s">
        <v>62</v>
      </c>
      <c r="N705" s="21" t="s">
        <v>1435</v>
      </c>
    </row>
    <row r="706" spans="1:14" ht="64.05" customHeight="1">
      <c r="A706" s="20" t="s">
        <v>2015</v>
      </c>
      <c r="B706" s="20" t="s">
        <v>33</v>
      </c>
      <c r="C706" s="20" t="s">
        <v>2088</v>
      </c>
      <c r="D706" s="20" t="s">
        <v>660</v>
      </c>
      <c r="E706" s="20" t="s">
        <v>2101</v>
      </c>
      <c r="F706" s="20">
        <v>1</v>
      </c>
      <c r="G706" s="20" t="s">
        <v>2090</v>
      </c>
      <c r="H706" s="20" t="s">
        <v>2091</v>
      </c>
      <c r="I706" s="21" t="s">
        <v>2092</v>
      </c>
      <c r="J706" s="21" t="s">
        <v>245</v>
      </c>
      <c r="K706" s="21"/>
      <c r="L706" s="21" t="s">
        <v>2096</v>
      </c>
      <c r="M706" s="21" t="s">
        <v>62</v>
      </c>
      <c r="N706" s="21" t="s">
        <v>1435</v>
      </c>
    </row>
    <row r="707" spans="1:14" ht="64.05" customHeight="1">
      <c r="A707" s="20" t="s">
        <v>2015</v>
      </c>
      <c r="B707" s="20" t="s">
        <v>33</v>
      </c>
      <c r="C707" s="20" t="s">
        <v>2088</v>
      </c>
      <c r="D707" s="20" t="s">
        <v>660</v>
      </c>
      <c r="E707" s="20" t="s">
        <v>2102</v>
      </c>
      <c r="F707" s="20">
        <v>1</v>
      </c>
      <c r="G707" s="20" t="s">
        <v>2090</v>
      </c>
      <c r="H707" s="20" t="s">
        <v>2091</v>
      </c>
      <c r="I707" s="21" t="s">
        <v>2092</v>
      </c>
      <c r="J707" s="21" t="s">
        <v>245</v>
      </c>
      <c r="K707" s="21"/>
      <c r="L707" s="21" t="s">
        <v>2096</v>
      </c>
      <c r="M707" s="21" t="s">
        <v>62</v>
      </c>
      <c r="N707" s="21" t="s">
        <v>1435</v>
      </c>
    </row>
    <row r="708" spans="1:14" ht="64.05" customHeight="1">
      <c r="A708" s="20" t="s">
        <v>2015</v>
      </c>
      <c r="B708" s="20" t="s">
        <v>33</v>
      </c>
      <c r="C708" s="20" t="s">
        <v>2103</v>
      </c>
      <c r="D708" s="20" t="s">
        <v>2104</v>
      </c>
      <c r="E708" s="20" t="s">
        <v>2105</v>
      </c>
      <c r="F708" s="20">
        <v>1</v>
      </c>
      <c r="G708" s="20" t="s">
        <v>139</v>
      </c>
      <c r="H708" s="20"/>
      <c r="I708" s="21"/>
      <c r="J708" s="21"/>
      <c r="K708" s="21"/>
      <c r="L708" s="21" t="s">
        <v>2106</v>
      </c>
      <c r="M708" s="21" t="s">
        <v>62</v>
      </c>
      <c r="N708" s="21" t="s">
        <v>63</v>
      </c>
    </row>
    <row r="709" spans="1:14" ht="64.05" customHeight="1">
      <c r="A709" s="20" t="s">
        <v>2015</v>
      </c>
      <c r="B709" s="20" t="s">
        <v>31</v>
      </c>
      <c r="C709" s="20" t="s">
        <v>491</v>
      </c>
      <c r="D709" s="20" t="s">
        <v>492</v>
      </c>
      <c r="E709" s="20" t="s">
        <v>2107</v>
      </c>
      <c r="F709" s="20">
        <v>1</v>
      </c>
      <c r="G709" s="20" t="s">
        <v>715</v>
      </c>
      <c r="H709" s="20" t="s">
        <v>2108</v>
      </c>
      <c r="I709" s="21" t="s">
        <v>2078</v>
      </c>
      <c r="J709" s="21"/>
      <c r="K709" s="21" t="s">
        <v>109</v>
      </c>
      <c r="L709" s="21" t="s">
        <v>2109</v>
      </c>
      <c r="M709" s="21" t="s">
        <v>62</v>
      </c>
      <c r="N709" s="21" t="s">
        <v>1752</v>
      </c>
    </row>
    <row r="710" spans="1:14" ht="64.05" customHeight="1">
      <c r="A710" s="20" t="s">
        <v>2015</v>
      </c>
      <c r="B710" s="20" t="s">
        <v>32</v>
      </c>
      <c r="C710" s="20" t="s">
        <v>200</v>
      </c>
      <c r="D710" s="20" t="s">
        <v>201</v>
      </c>
      <c r="E710" s="20" t="s">
        <v>2110</v>
      </c>
      <c r="F710" s="20">
        <v>1</v>
      </c>
      <c r="G710" s="20" t="s">
        <v>139</v>
      </c>
      <c r="H710" s="20"/>
      <c r="I710" s="21" t="s">
        <v>2111</v>
      </c>
      <c r="J710" s="21"/>
      <c r="K710" s="21" t="s">
        <v>109</v>
      </c>
      <c r="L710" s="21" t="s">
        <v>2112</v>
      </c>
      <c r="M710" s="21" t="s">
        <v>73</v>
      </c>
      <c r="N710" s="21"/>
    </row>
    <row r="711" spans="1:14" ht="64.05" customHeight="1">
      <c r="A711" s="20" t="s">
        <v>2113</v>
      </c>
      <c r="B711" s="20" t="s">
        <v>20</v>
      </c>
      <c r="C711" s="20" t="s">
        <v>55</v>
      </c>
      <c r="D711" s="20" t="s">
        <v>56</v>
      </c>
      <c r="E711" s="20" t="s">
        <v>2114</v>
      </c>
      <c r="F711" s="20">
        <v>1</v>
      </c>
      <c r="G711" s="20" t="s">
        <v>311</v>
      </c>
      <c r="H711" s="20" t="s">
        <v>1555</v>
      </c>
      <c r="I711" s="21" t="s">
        <v>406</v>
      </c>
      <c r="J711" s="21"/>
      <c r="K711" s="21" t="s">
        <v>408</v>
      </c>
      <c r="L711" s="21" t="s">
        <v>2115</v>
      </c>
      <c r="M711" s="21" t="s">
        <v>62</v>
      </c>
      <c r="N711" s="21" t="s">
        <v>63</v>
      </c>
    </row>
    <row r="712" spans="1:14" ht="64.05" customHeight="1">
      <c r="A712" s="20" t="s">
        <v>2113</v>
      </c>
      <c r="B712" s="20" t="s">
        <v>20</v>
      </c>
      <c r="C712" s="20" t="s">
        <v>65</v>
      </c>
      <c r="D712" s="20" t="s">
        <v>66</v>
      </c>
      <c r="E712" s="20" t="s">
        <v>2116</v>
      </c>
      <c r="F712" s="20">
        <v>1</v>
      </c>
      <c r="G712" s="20"/>
      <c r="H712" s="20"/>
      <c r="I712" s="21" t="s">
        <v>2117</v>
      </c>
      <c r="J712" s="21" t="s">
        <v>245</v>
      </c>
      <c r="K712" s="21"/>
      <c r="L712" s="21" t="s">
        <v>2118</v>
      </c>
      <c r="M712" s="21" t="s">
        <v>73</v>
      </c>
      <c r="N712" s="21"/>
    </row>
    <row r="713" spans="1:14" ht="64.05" customHeight="1">
      <c r="A713" s="20" t="s">
        <v>2113</v>
      </c>
      <c r="B713" s="20" t="s">
        <v>20</v>
      </c>
      <c r="C713" s="20" t="s">
        <v>65</v>
      </c>
      <c r="D713" s="20" t="s">
        <v>66</v>
      </c>
      <c r="E713" s="20" t="s">
        <v>2119</v>
      </c>
      <c r="F713" s="20">
        <v>1</v>
      </c>
      <c r="G713" s="20" t="s">
        <v>75</v>
      </c>
      <c r="H713" s="20" t="s">
        <v>970</v>
      </c>
      <c r="I713" s="21" t="s">
        <v>2120</v>
      </c>
      <c r="J713" s="21"/>
      <c r="K713" s="21"/>
      <c r="L713" s="21" t="s">
        <v>2121</v>
      </c>
      <c r="M713" s="21" t="s">
        <v>73</v>
      </c>
      <c r="N713" s="21"/>
    </row>
    <row r="714" spans="1:14" ht="64.05" customHeight="1">
      <c r="A714" s="20" t="s">
        <v>2113</v>
      </c>
      <c r="B714" s="20" t="s">
        <v>22</v>
      </c>
      <c r="C714" s="20" t="s">
        <v>779</v>
      </c>
      <c r="D714" s="20" t="s">
        <v>780</v>
      </c>
      <c r="E714" s="20" t="s">
        <v>2122</v>
      </c>
      <c r="F714" s="20">
        <v>1</v>
      </c>
      <c r="G714" s="20" t="s">
        <v>2123</v>
      </c>
      <c r="H714" s="20"/>
      <c r="I714" s="21" t="s">
        <v>2124</v>
      </c>
      <c r="J714" s="21"/>
      <c r="K714" s="21"/>
      <c r="L714" s="21" t="s">
        <v>2125</v>
      </c>
      <c r="M714" s="21" t="s">
        <v>62</v>
      </c>
      <c r="N714" s="21" t="s">
        <v>2126</v>
      </c>
    </row>
    <row r="715" spans="1:14" ht="64.05" customHeight="1">
      <c r="A715" s="20" t="s">
        <v>2113</v>
      </c>
      <c r="B715" s="20" t="s">
        <v>22</v>
      </c>
      <c r="C715" s="20" t="s">
        <v>1149</v>
      </c>
      <c r="D715" s="20" t="s">
        <v>1150</v>
      </c>
      <c r="E715" s="20" t="s">
        <v>2127</v>
      </c>
      <c r="F715" s="20">
        <v>1</v>
      </c>
      <c r="G715" s="20" t="s">
        <v>139</v>
      </c>
      <c r="H715" s="20"/>
      <c r="I715" s="21"/>
      <c r="J715" s="21"/>
      <c r="K715" s="21"/>
      <c r="L715" s="21" t="s">
        <v>2128</v>
      </c>
      <c r="M715" s="21" t="s">
        <v>102</v>
      </c>
      <c r="N715" s="21"/>
    </row>
    <row r="716" spans="1:14" ht="64.05" customHeight="1">
      <c r="A716" s="20" t="s">
        <v>2113</v>
      </c>
      <c r="B716" s="20" t="s">
        <v>22</v>
      </c>
      <c r="C716" s="20" t="s">
        <v>1149</v>
      </c>
      <c r="D716" s="20" t="s">
        <v>1150</v>
      </c>
      <c r="E716" s="20" t="s">
        <v>2129</v>
      </c>
      <c r="F716" s="20">
        <v>1</v>
      </c>
      <c r="G716" s="20" t="s">
        <v>92</v>
      </c>
      <c r="H716" s="20"/>
      <c r="I716" s="21" t="s">
        <v>408</v>
      </c>
      <c r="J716" s="21"/>
      <c r="K716" s="21" t="s">
        <v>408</v>
      </c>
      <c r="L716" s="21" t="s">
        <v>2130</v>
      </c>
      <c r="M716" s="21" t="s">
        <v>102</v>
      </c>
      <c r="N716" s="21"/>
    </row>
    <row r="717" spans="1:14" ht="64.05" customHeight="1">
      <c r="A717" s="20" t="s">
        <v>2113</v>
      </c>
      <c r="B717" s="20" t="s">
        <v>22</v>
      </c>
      <c r="C717" s="20" t="s">
        <v>370</v>
      </c>
      <c r="D717" s="20" t="s">
        <v>371</v>
      </c>
      <c r="E717" s="20" t="s">
        <v>2131</v>
      </c>
      <c r="F717" s="20">
        <v>1</v>
      </c>
      <c r="G717" s="20" t="s">
        <v>92</v>
      </c>
      <c r="H717" s="20"/>
      <c r="I717" s="21"/>
      <c r="J717" s="21"/>
      <c r="K717" s="21" t="s">
        <v>1714</v>
      </c>
      <c r="L717" s="21" t="s">
        <v>2132</v>
      </c>
      <c r="M717" s="21" t="s">
        <v>62</v>
      </c>
      <c r="N717" s="21" t="s">
        <v>712</v>
      </c>
    </row>
    <row r="718" spans="1:14" ht="64.05" customHeight="1">
      <c r="A718" s="20" t="s">
        <v>2113</v>
      </c>
      <c r="B718" s="20" t="s">
        <v>25</v>
      </c>
      <c r="C718" s="20" t="s">
        <v>115</v>
      </c>
      <c r="D718" s="20" t="s">
        <v>116</v>
      </c>
      <c r="E718" s="20" t="s">
        <v>2133</v>
      </c>
      <c r="F718" s="20">
        <v>1</v>
      </c>
      <c r="G718" s="20" t="s">
        <v>411</v>
      </c>
      <c r="H718" s="20"/>
      <c r="I718" s="21" t="s">
        <v>2134</v>
      </c>
      <c r="J718" s="21"/>
      <c r="K718" s="21"/>
      <c r="L718" s="21" t="s">
        <v>2135</v>
      </c>
      <c r="M718" s="21" t="s">
        <v>73</v>
      </c>
      <c r="N718" s="21"/>
    </row>
    <row r="719" spans="1:14" ht="64.05" customHeight="1">
      <c r="A719" s="20" t="s">
        <v>2113</v>
      </c>
      <c r="B719" s="20" t="s">
        <v>25</v>
      </c>
      <c r="C719" s="20" t="s">
        <v>115</v>
      </c>
      <c r="D719" s="20" t="s">
        <v>116</v>
      </c>
      <c r="E719" s="20" t="s">
        <v>2136</v>
      </c>
      <c r="F719" s="20">
        <v>1</v>
      </c>
      <c r="G719" s="20" t="s">
        <v>92</v>
      </c>
      <c r="H719" s="20"/>
      <c r="I719" s="21" t="s">
        <v>2137</v>
      </c>
      <c r="J719" s="21"/>
      <c r="K719" s="21"/>
      <c r="L719" s="21" t="s">
        <v>2138</v>
      </c>
      <c r="M719" s="21" t="s">
        <v>62</v>
      </c>
      <c r="N719" s="21" t="s">
        <v>957</v>
      </c>
    </row>
    <row r="720" spans="1:14" ht="64.05" customHeight="1">
      <c r="A720" s="20" t="s">
        <v>2113</v>
      </c>
      <c r="B720" s="20" t="s">
        <v>25</v>
      </c>
      <c r="C720" s="20" t="s">
        <v>115</v>
      </c>
      <c r="D720" s="20" t="s">
        <v>116</v>
      </c>
      <c r="E720" s="20" t="s">
        <v>2139</v>
      </c>
      <c r="F720" s="20">
        <v>1</v>
      </c>
      <c r="G720" s="20" t="s">
        <v>92</v>
      </c>
      <c r="H720" s="20"/>
      <c r="I720" s="21" t="s">
        <v>2137</v>
      </c>
      <c r="J720" s="21"/>
      <c r="K720" s="21"/>
      <c r="L720" s="21" t="s">
        <v>2140</v>
      </c>
      <c r="M720" s="21" t="s">
        <v>62</v>
      </c>
      <c r="N720" s="21" t="s">
        <v>957</v>
      </c>
    </row>
    <row r="721" spans="1:14" ht="64.05" customHeight="1">
      <c r="A721" s="20" t="s">
        <v>2113</v>
      </c>
      <c r="B721" s="20" t="s">
        <v>25</v>
      </c>
      <c r="C721" s="20" t="s">
        <v>115</v>
      </c>
      <c r="D721" s="20" t="s">
        <v>116</v>
      </c>
      <c r="E721" s="20" t="s">
        <v>2141</v>
      </c>
      <c r="F721" s="20">
        <v>1</v>
      </c>
      <c r="G721" s="20" t="s">
        <v>92</v>
      </c>
      <c r="H721" s="20"/>
      <c r="I721" s="21"/>
      <c r="J721" s="21"/>
      <c r="K721" s="21"/>
      <c r="L721" s="21" t="s">
        <v>2142</v>
      </c>
      <c r="M721" s="21" t="s">
        <v>62</v>
      </c>
      <c r="N721" s="21" t="s">
        <v>957</v>
      </c>
    </row>
    <row r="722" spans="1:14" ht="64.05" customHeight="1">
      <c r="A722" s="20" t="s">
        <v>2113</v>
      </c>
      <c r="B722" s="20" t="s">
        <v>25</v>
      </c>
      <c r="C722" s="20" t="s">
        <v>131</v>
      </c>
      <c r="D722" s="20" t="s">
        <v>132</v>
      </c>
      <c r="E722" s="20" t="s">
        <v>2143</v>
      </c>
      <c r="F722" s="20">
        <v>1</v>
      </c>
      <c r="G722" s="20" t="s">
        <v>2144</v>
      </c>
      <c r="H722" s="20" t="s">
        <v>2145</v>
      </c>
      <c r="I722" s="21" t="s">
        <v>415</v>
      </c>
      <c r="J722" s="21"/>
      <c r="K722" s="21" t="s">
        <v>109</v>
      </c>
      <c r="L722" s="21" t="s">
        <v>2146</v>
      </c>
      <c r="M722" s="21" t="s">
        <v>73</v>
      </c>
      <c r="N722" s="21"/>
    </row>
    <row r="723" spans="1:14" ht="64.05" customHeight="1">
      <c r="A723" s="20" t="s">
        <v>2113</v>
      </c>
      <c r="B723" s="20" t="s">
        <v>25</v>
      </c>
      <c r="C723" s="20" t="s">
        <v>131</v>
      </c>
      <c r="D723" s="20" t="s">
        <v>132</v>
      </c>
      <c r="E723" s="20" t="s">
        <v>2147</v>
      </c>
      <c r="F723" s="20">
        <v>1</v>
      </c>
      <c r="G723" s="20" t="s">
        <v>2144</v>
      </c>
      <c r="H723" s="20" t="s">
        <v>2145</v>
      </c>
      <c r="I723" s="21" t="s">
        <v>415</v>
      </c>
      <c r="J723" s="21"/>
      <c r="K723" s="21" t="s">
        <v>109</v>
      </c>
      <c r="L723" s="21" t="s">
        <v>2146</v>
      </c>
      <c r="M723" s="21" t="s">
        <v>73</v>
      </c>
      <c r="N723" s="21"/>
    </row>
    <row r="724" spans="1:14" ht="64.05" customHeight="1">
      <c r="A724" s="20" t="s">
        <v>2113</v>
      </c>
      <c r="B724" s="20" t="s">
        <v>25</v>
      </c>
      <c r="C724" s="20" t="s">
        <v>131</v>
      </c>
      <c r="D724" s="20" t="s">
        <v>132</v>
      </c>
      <c r="E724" s="20" t="s">
        <v>2148</v>
      </c>
      <c r="F724" s="20">
        <v>1</v>
      </c>
      <c r="G724" s="20" t="s">
        <v>2144</v>
      </c>
      <c r="H724" s="20" t="s">
        <v>2145</v>
      </c>
      <c r="I724" s="21" t="s">
        <v>415</v>
      </c>
      <c r="J724" s="21"/>
      <c r="K724" s="21" t="s">
        <v>109</v>
      </c>
      <c r="L724" s="21" t="s">
        <v>2146</v>
      </c>
      <c r="M724" s="21" t="s">
        <v>73</v>
      </c>
      <c r="N724" s="21"/>
    </row>
    <row r="725" spans="1:14" ht="64.05" customHeight="1">
      <c r="A725" s="20" t="s">
        <v>2113</v>
      </c>
      <c r="B725" s="20" t="s">
        <v>25</v>
      </c>
      <c r="C725" s="20" t="s">
        <v>131</v>
      </c>
      <c r="D725" s="20" t="s">
        <v>132</v>
      </c>
      <c r="E725" s="20" t="s">
        <v>2149</v>
      </c>
      <c r="F725" s="20">
        <v>1</v>
      </c>
      <c r="G725" s="20" t="s">
        <v>422</v>
      </c>
      <c r="H725" s="20" t="s">
        <v>1152</v>
      </c>
      <c r="I725" s="21" t="s">
        <v>415</v>
      </c>
      <c r="J725" s="21"/>
      <c r="K725" s="21" t="s">
        <v>109</v>
      </c>
      <c r="L725" s="21" t="s">
        <v>2146</v>
      </c>
      <c r="M725" s="21" t="s">
        <v>73</v>
      </c>
      <c r="N725" s="21"/>
    </row>
    <row r="726" spans="1:14" ht="64.05" customHeight="1">
      <c r="A726" s="20" t="s">
        <v>2113</v>
      </c>
      <c r="B726" s="20" t="s">
        <v>24</v>
      </c>
      <c r="C726" s="20" t="s">
        <v>426</v>
      </c>
      <c r="D726" s="20" t="s">
        <v>427</v>
      </c>
      <c r="E726" s="20" t="s">
        <v>2150</v>
      </c>
      <c r="F726" s="20">
        <v>1</v>
      </c>
      <c r="G726" s="20"/>
      <c r="H726" s="20"/>
      <c r="I726" s="21" t="s">
        <v>2151</v>
      </c>
      <c r="J726" s="21"/>
      <c r="K726" s="21" t="s">
        <v>2152</v>
      </c>
      <c r="L726" s="21" t="s">
        <v>2153</v>
      </c>
      <c r="M726" s="21" t="s">
        <v>62</v>
      </c>
      <c r="N726" s="21"/>
    </row>
    <row r="727" spans="1:14" ht="64.05" customHeight="1">
      <c r="A727" s="20" t="s">
        <v>2113</v>
      </c>
      <c r="B727" s="20" t="s">
        <v>24</v>
      </c>
      <c r="C727" s="20" t="s">
        <v>436</v>
      </c>
      <c r="D727" s="20" t="s">
        <v>437</v>
      </c>
      <c r="E727" s="20" t="s">
        <v>2154</v>
      </c>
      <c r="F727" s="20">
        <v>1</v>
      </c>
      <c r="G727" s="20" t="s">
        <v>2155</v>
      </c>
      <c r="H727" s="20" t="s">
        <v>2145</v>
      </c>
      <c r="I727" s="21" t="s">
        <v>2156</v>
      </c>
      <c r="J727" s="21"/>
      <c r="K727" s="21" t="s">
        <v>109</v>
      </c>
      <c r="L727" s="21" t="s">
        <v>2157</v>
      </c>
      <c r="M727" s="21" t="s">
        <v>62</v>
      </c>
      <c r="N727" s="21" t="s">
        <v>130</v>
      </c>
    </row>
    <row r="728" spans="1:14" ht="64.05" customHeight="1">
      <c r="A728" s="20" t="s">
        <v>2113</v>
      </c>
      <c r="B728" s="20" t="s">
        <v>24</v>
      </c>
      <c r="C728" s="20" t="s">
        <v>443</v>
      </c>
      <c r="D728" s="20" t="s">
        <v>444</v>
      </c>
      <c r="E728" s="20" t="s">
        <v>2158</v>
      </c>
      <c r="F728" s="20">
        <v>1</v>
      </c>
      <c r="G728" s="20" t="s">
        <v>139</v>
      </c>
      <c r="H728" s="20"/>
      <c r="I728" s="21"/>
      <c r="J728" s="21"/>
      <c r="K728" s="21"/>
      <c r="L728" s="21" t="s">
        <v>2159</v>
      </c>
      <c r="M728" s="21" t="s">
        <v>62</v>
      </c>
      <c r="N728" s="21" t="s">
        <v>520</v>
      </c>
    </row>
    <row r="729" spans="1:14" ht="64.05" customHeight="1">
      <c r="A729" s="20" t="s">
        <v>2113</v>
      </c>
      <c r="B729" s="20" t="s">
        <v>24</v>
      </c>
      <c r="C729" s="20" t="s">
        <v>443</v>
      </c>
      <c r="D729" s="20" t="s">
        <v>444</v>
      </c>
      <c r="E729" s="20" t="s">
        <v>2160</v>
      </c>
      <c r="F729" s="20">
        <v>1</v>
      </c>
      <c r="G729" s="20" t="s">
        <v>92</v>
      </c>
      <c r="H729" s="20"/>
      <c r="I729" s="21"/>
      <c r="J729" s="21" t="s">
        <v>99</v>
      </c>
      <c r="K729" s="21"/>
      <c r="L729" s="21" t="s">
        <v>2161</v>
      </c>
      <c r="M729" s="21" t="s">
        <v>102</v>
      </c>
      <c r="N729" s="21"/>
    </row>
    <row r="730" spans="1:14" ht="64.05" customHeight="1">
      <c r="A730" s="20" t="s">
        <v>2113</v>
      </c>
      <c r="B730" s="20" t="s">
        <v>28</v>
      </c>
      <c r="C730" s="20" t="s">
        <v>448</v>
      </c>
      <c r="D730" s="20" t="s">
        <v>449</v>
      </c>
      <c r="E730" s="20" t="s">
        <v>2162</v>
      </c>
      <c r="F730" s="20">
        <v>1</v>
      </c>
      <c r="G730" s="20" t="s">
        <v>92</v>
      </c>
      <c r="H730" s="20"/>
      <c r="I730" s="21" t="s">
        <v>2163</v>
      </c>
      <c r="J730" s="21"/>
      <c r="K730" s="21"/>
      <c r="L730" s="21" t="s">
        <v>2164</v>
      </c>
      <c r="M730" s="21" t="s">
        <v>102</v>
      </c>
      <c r="N730" s="21"/>
    </row>
    <row r="731" spans="1:14" ht="64.05" customHeight="1">
      <c r="A731" s="20" t="s">
        <v>2113</v>
      </c>
      <c r="B731" s="20" t="s">
        <v>28</v>
      </c>
      <c r="C731" s="20" t="s">
        <v>448</v>
      </c>
      <c r="D731" s="20" t="s">
        <v>449</v>
      </c>
      <c r="E731" s="20" t="s">
        <v>2165</v>
      </c>
      <c r="F731" s="20">
        <v>1</v>
      </c>
      <c r="G731" s="20" t="s">
        <v>92</v>
      </c>
      <c r="H731" s="20"/>
      <c r="I731" s="21" t="s">
        <v>2163</v>
      </c>
      <c r="J731" s="21"/>
      <c r="K731" s="21"/>
      <c r="L731" s="21" t="s">
        <v>2164</v>
      </c>
      <c r="M731" s="21" t="s">
        <v>102</v>
      </c>
      <c r="N731" s="21"/>
    </row>
    <row r="732" spans="1:14" ht="64.05" customHeight="1">
      <c r="A732" s="20" t="s">
        <v>2113</v>
      </c>
      <c r="B732" s="20" t="s">
        <v>28</v>
      </c>
      <c r="C732" s="20" t="s">
        <v>146</v>
      </c>
      <c r="D732" s="20" t="s">
        <v>147</v>
      </c>
      <c r="E732" s="20" t="s">
        <v>2166</v>
      </c>
      <c r="F732" s="20">
        <v>1</v>
      </c>
      <c r="G732" s="20" t="s">
        <v>2167</v>
      </c>
      <c r="H732" s="20" t="s">
        <v>2168</v>
      </c>
      <c r="I732" s="21" t="s">
        <v>2169</v>
      </c>
      <c r="J732" s="21"/>
      <c r="K732" s="21" t="s">
        <v>109</v>
      </c>
      <c r="L732" s="21" t="s">
        <v>2170</v>
      </c>
      <c r="M732" s="21" t="s">
        <v>62</v>
      </c>
      <c r="N732" s="21" t="s">
        <v>303</v>
      </c>
    </row>
    <row r="733" spans="1:14" ht="64.05" customHeight="1">
      <c r="A733" s="20" t="s">
        <v>2113</v>
      </c>
      <c r="B733" s="20" t="s">
        <v>28</v>
      </c>
      <c r="C733" s="20" t="s">
        <v>146</v>
      </c>
      <c r="D733" s="20" t="s">
        <v>147</v>
      </c>
      <c r="E733" s="20" t="s">
        <v>2171</v>
      </c>
      <c r="F733" s="20">
        <v>1</v>
      </c>
      <c r="G733" s="20" t="s">
        <v>2167</v>
      </c>
      <c r="H733" s="20" t="s">
        <v>2168</v>
      </c>
      <c r="I733" s="21" t="s">
        <v>2169</v>
      </c>
      <c r="J733" s="21"/>
      <c r="K733" s="21" t="s">
        <v>109</v>
      </c>
      <c r="L733" s="21" t="s">
        <v>2170</v>
      </c>
      <c r="M733" s="21" t="s">
        <v>62</v>
      </c>
      <c r="N733" s="21" t="s">
        <v>303</v>
      </c>
    </row>
    <row r="734" spans="1:14" ht="64.05" customHeight="1">
      <c r="A734" s="20" t="s">
        <v>2113</v>
      </c>
      <c r="B734" s="20" t="s">
        <v>28</v>
      </c>
      <c r="C734" s="20" t="s">
        <v>146</v>
      </c>
      <c r="D734" s="20" t="s">
        <v>147</v>
      </c>
      <c r="E734" s="20" t="s">
        <v>2172</v>
      </c>
      <c r="F734" s="20">
        <v>1</v>
      </c>
      <c r="G734" s="20" t="s">
        <v>2173</v>
      </c>
      <c r="H734" s="20" t="s">
        <v>2174</v>
      </c>
      <c r="I734" s="21" t="s">
        <v>119</v>
      </c>
      <c r="J734" s="21"/>
      <c r="K734" s="21" t="s">
        <v>2175</v>
      </c>
      <c r="L734" s="21" t="s">
        <v>2176</v>
      </c>
      <c r="M734" s="21" t="s">
        <v>102</v>
      </c>
      <c r="N734" s="21"/>
    </row>
    <row r="735" spans="1:14" ht="64.05" customHeight="1">
      <c r="A735" s="20" t="s">
        <v>2113</v>
      </c>
      <c r="B735" s="20" t="s">
        <v>28</v>
      </c>
      <c r="C735" s="20" t="s">
        <v>146</v>
      </c>
      <c r="D735" s="20" t="s">
        <v>147</v>
      </c>
      <c r="E735" s="20" t="s">
        <v>2177</v>
      </c>
      <c r="F735" s="20">
        <v>1</v>
      </c>
      <c r="G735" s="20" t="s">
        <v>2173</v>
      </c>
      <c r="H735" s="20" t="s">
        <v>2174</v>
      </c>
      <c r="I735" s="21" t="s">
        <v>119</v>
      </c>
      <c r="J735" s="21"/>
      <c r="K735" s="21" t="s">
        <v>2175</v>
      </c>
      <c r="L735" s="21" t="s">
        <v>2176</v>
      </c>
      <c r="M735" s="21" t="s">
        <v>102</v>
      </c>
      <c r="N735" s="21"/>
    </row>
    <row r="736" spans="1:14" ht="64.05" customHeight="1">
      <c r="A736" s="20" t="s">
        <v>2113</v>
      </c>
      <c r="B736" s="20" t="s">
        <v>28</v>
      </c>
      <c r="C736" s="20" t="s">
        <v>146</v>
      </c>
      <c r="D736" s="20" t="s">
        <v>147</v>
      </c>
      <c r="E736" s="20" t="s">
        <v>2178</v>
      </c>
      <c r="F736" s="20">
        <v>1</v>
      </c>
      <c r="G736" s="20" t="s">
        <v>2173</v>
      </c>
      <c r="H736" s="20" t="s">
        <v>2174</v>
      </c>
      <c r="I736" s="21" t="s">
        <v>119</v>
      </c>
      <c r="J736" s="21"/>
      <c r="K736" s="21" t="s">
        <v>2175</v>
      </c>
      <c r="L736" s="21" t="s">
        <v>2176</v>
      </c>
      <c r="M736" s="21" t="s">
        <v>102</v>
      </c>
      <c r="N736" s="21"/>
    </row>
    <row r="737" spans="1:14" ht="64.05" customHeight="1">
      <c r="A737" s="20" t="s">
        <v>2113</v>
      </c>
      <c r="B737" s="20" t="s">
        <v>28</v>
      </c>
      <c r="C737" s="20" t="s">
        <v>146</v>
      </c>
      <c r="D737" s="20" t="s">
        <v>147</v>
      </c>
      <c r="E737" s="20" t="s">
        <v>2179</v>
      </c>
      <c r="F737" s="20">
        <v>1</v>
      </c>
      <c r="G737" s="20" t="s">
        <v>2173</v>
      </c>
      <c r="H737" s="20" t="s">
        <v>2174</v>
      </c>
      <c r="I737" s="21" t="s">
        <v>119</v>
      </c>
      <c r="J737" s="21"/>
      <c r="K737" s="21" t="s">
        <v>2175</v>
      </c>
      <c r="L737" s="21" t="s">
        <v>2180</v>
      </c>
      <c r="M737" s="21" t="s">
        <v>102</v>
      </c>
      <c r="N737" s="21"/>
    </row>
    <row r="738" spans="1:14" ht="64.05" customHeight="1">
      <c r="A738" s="20" t="s">
        <v>2113</v>
      </c>
      <c r="B738" s="20" t="s">
        <v>28</v>
      </c>
      <c r="C738" s="20" t="s">
        <v>167</v>
      </c>
      <c r="D738" s="20" t="s">
        <v>168</v>
      </c>
      <c r="E738" s="20" t="s">
        <v>2181</v>
      </c>
      <c r="F738" s="20">
        <v>1</v>
      </c>
      <c r="G738" s="20" t="s">
        <v>1950</v>
      </c>
      <c r="H738" s="20" t="s">
        <v>2182</v>
      </c>
      <c r="I738" s="21" t="s">
        <v>2183</v>
      </c>
      <c r="J738" s="21"/>
      <c r="K738" s="21"/>
      <c r="L738" s="21" t="s">
        <v>2184</v>
      </c>
      <c r="M738" s="21" t="s">
        <v>62</v>
      </c>
      <c r="N738" s="21" t="s">
        <v>130</v>
      </c>
    </row>
    <row r="739" spans="1:14" ht="64.05" customHeight="1">
      <c r="A739" s="20" t="s">
        <v>2113</v>
      </c>
      <c r="B739" s="20" t="s">
        <v>28</v>
      </c>
      <c r="C739" s="20" t="s">
        <v>167</v>
      </c>
      <c r="D739" s="20" t="s">
        <v>168</v>
      </c>
      <c r="E739" s="20" t="s">
        <v>2185</v>
      </c>
      <c r="F739" s="20">
        <v>1</v>
      </c>
      <c r="G739" s="20" t="s">
        <v>1950</v>
      </c>
      <c r="H739" s="20" t="s">
        <v>2182</v>
      </c>
      <c r="I739" s="21" t="s">
        <v>2186</v>
      </c>
      <c r="J739" s="21"/>
      <c r="K739" s="21"/>
      <c r="L739" s="21" t="s">
        <v>2184</v>
      </c>
      <c r="M739" s="21" t="s">
        <v>62</v>
      </c>
      <c r="N739" s="21" t="s">
        <v>130</v>
      </c>
    </row>
    <row r="740" spans="1:14" ht="64.05" customHeight="1">
      <c r="A740" s="20" t="s">
        <v>2113</v>
      </c>
      <c r="B740" s="20" t="s">
        <v>28</v>
      </c>
      <c r="C740" s="20" t="s">
        <v>167</v>
      </c>
      <c r="D740" s="20" t="s">
        <v>168</v>
      </c>
      <c r="E740" s="20" t="s">
        <v>2187</v>
      </c>
      <c r="F740" s="20">
        <v>1</v>
      </c>
      <c r="G740" s="20" t="s">
        <v>454</v>
      </c>
      <c r="H740" s="20" t="s">
        <v>2188</v>
      </c>
      <c r="I740" s="21" t="s">
        <v>2189</v>
      </c>
      <c r="J740" s="21"/>
      <c r="K740" s="21"/>
      <c r="L740" s="21" t="s">
        <v>2190</v>
      </c>
      <c r="M740" s="21" t="s">
        <v>62</v>
      </c>
      <c r="N740" s="21" t="s">
        <v>130</v>
      </c>
    </row>
    <row r="741" spans="1:14" ht="64.05" customHeight="1">
      <c r="A741" s="20" t="s">
        <v>2113</v>
      </c>
      <c r="B741" s="20" t="s">
        <v>31</v>
      </c>
      <c r="C741" s="20" t="s">
        <v>491</v>
      </c>
      <c r="D741" s="20" t="s">
        <v>492</v>
      </c>
      <c r="E741" s="20" t="s">
        <v>2191</v>
      </c>
      <c r="F741" s="20">
        <v>1</v>
      </c>
      <c r="G741" s="20" t="s">
        <v>2192</v>
      </c>
      <c r="H741" s="20"/>
      <c r="I741" s="21" t="s">
        <v>517</v>
      </c>
      <c r="J741" s="21"/>
      <c r="K741" s="21"/>
      <c r="L741" s="21" t="s">
        <v>2193</v>
      </c>
      <c r="M741" s="21" t="s">
        <v>62</v>
      </c>
      <c r="N741" s="21" t="s">
        <v>951</v>
      </c>
    </row>
    <row r="742" spans="1:14" ht="64.05" customHeight="1">
      <c r="A742" s="20" t="s">
        <v>2113</v>
      </c>
      <c r="B742" s="20" t="s">
        <v>31</v>
      </c>
      <c r="C742" s="20" t="s">
        <v>491</v>
      </c>
      <c r="D742" s="20" t="s">
        <v>492</v>
      </c>
      <c r="E742" s="20" t="s">
        <v>2194</v>
      </c>
      <c r="F742" s="20">
        <v>1</v>
      </c>
      <c r="G742" s="20" t="s">
        <v>2192</v>
      </c>
      <c r="H742" s="20"/>
      <c r="I742" s="21" t="s">
        <v>517</v>
      </c>
      <c r="J742" s="21"/>
      <c r="K742" s="21"/>
      <c r="L742" s="21" t="s">
        <v>2195</v>
      </c>
      <c r="M742" s="21" t="s">
        <v>62</v>
      </c>
      <c r="N742" s="21" t="s">
        <v>951</v>
      </c>
    </row>
    <row r="743" spans="1:14" ht="64.05" customHeight="1">
      <c r="A743" s="20" t="s">
        <v>2196</v>
      </c>
      <c r="B743" s="20" t="s">
        <v>20</v>
      </c>
      <c r="C743" s="20" t="s">
        <v>55</v>
      </c>
      <c r="D743" s="20" t="s">
        <v>56</v>
      </c>
      <c r="E743" s="20" t="s">
        <v>2197</v>
      </c>
      <c r="F743" s="20">
        <v>1</v>
      </c>
      <c r="G743" s="20" t="s">
        <v>139</v>
      </c>
      <c r="H743" s="20"/>
      <c r="I743" s="21" t="s">
        <v>112</v>
      </c>
      <c r="J743" s="21"/>
      <c r="K743" s="21" t="s">
        <v>2198</v>
      </c>
      <c r="L743" s="21" t="s">
        <v>2199</v>
      </c>
      <c r="M743" s="21" t="s">
        <v>73</v>
      </c>
      <c r="N743" s="21"/>
    </row>
    <row r="744" spans="1:14" ht="64.05" customHeight="1">
      <c r="A744" s="20" t="s">
        <v>2196</v>
      </c>
      <c r="B744" s="20" t="s">
        <v>20</v>
      </c>
      <c r="C744" s="20" t="s">
        <v>55</v>
      </c>
      <c r="D744" s="20" t="s">
        <v>56</v>
      </c>
      <c r="E744" s="20" t="s">
        <v>2200</v>
      </c>
      <c r="F744" s="20">
        <v>1</v>
      </c>
      <c r="G744" s="20" t="s">
        <v>92</v>
      </c>
      <c r="H744" s="20"/>
      <c r="I744" s="21" t="s">
        <v>2201</v>
      </c>
      <c r="J744" s="21"/>
      <c r="K744" s="21" t="s">
        <v>109</v>
      </c>
      <c r="L744" s="21" t="s">
        <v>2202</v>
      </c>
      <c r="M744" s="21" t="s">
        <v>73</v>
      </c>
      <c r="N744" s="21"/>
    </row>
    <row r="745" spans="1:14" ht="64.05" customHeight="1">
      <c r="A745" s="20" t="s">
        <v>2196</v>
      </c>
      <c r="B745" s="20" t="s">
        <v>22</v>
      </c>
      <c r="C745" s="20" t="s">
        <v>370</v>
      </c>
      <c r="D745" s="20" t="s">
        <v>371</v>
      </c>
      <c r="E745" s="20" t="s">
        <v>2203</v>
      </c>
      <c r="F745" s="20">
        <v>1</v>
      </c>
      <c r="G745" s="20" t="s">
        <v>92</v>
      </c>
      <c r="H745" s="20"/>
      <c r="I745" s="21" t="s">
        <v>2204</v>
      </c>
      <c r="J745" s="21" t="s">
        <v>582</v>
      </c>
      <c r="K745" s="21" t="s">
        <v>2205</v>
      </c>
      <c r="L745" s="21" t="s">
        <v>2206</v>
      </c>
      <c r="M745" s="21" t="s">
        <v>73</v>
      </c>
      <c r="N745" s="21"/>
    </row>
    <row r="746" spans="1:14" ht="64.05" customHeight="1">
      <c r="A746" s="20" t="s">
        <v>2196</v>
      </c>
      <c r="B746" s="20" t="s">
        <v>22</v>
      </c>
      <c r="C746" s="20" t="s">
        <v>370</v>
      </c>
      <c r="D746" s="20" t="s">
        <v>371</v>
      </c>
      <c r="E746" s="20" t="s">
        <v>2207</v>
      </c>
      <c r="F746" s="20">
        <v>1</v>
      </c>
      <c r="G746" s="20" t="s">
        <v>92</v>
      </c>
      <c r="H746" s="20"/>
      <c r="I746" s="21" t="s">
        <v>2208</v>
      </c>
      <c r="J746" s="21"/>
      <c r="K746" s="21" t="s">
        <v>2209</v>
      </c>
      <c r="L746" s="21" t="s">
        <v>2210</v>
      </c>
      <c r="M746" s="21" t="s">
        <v>73</v>
      </c>
      <c r="N746" s="21"/>
    </row>
    <row r="747" spans="1:14" ht="64.05" customHeight="1">
      <c r="A747" s="20" t="s">
        <v>2196</v>
      </c>
      <c r="B747" s="20" t="s">
        <v>22</v>
      </c>
      <c r="C747" s="20" t="s">
        <v>370</v>
      </c>
      <c r="D747" s="20" t="s">
        <v>371</v>
      </c>
      <c r="E747" s="20" t="s">
        <v>2211</v>
      </c>
      <c r="F747" s="20">
        <v>1</v>
      </c>
      <c r="G747" s="20" t="s">
        <v>92</v>
      </c>
      <c r="H747" s="20"/>
      <c r="I747" s="21" t="s">
        <v>2212</v>
      </c>
      <c r="J747" s="21"/>
      <c r="K747" s="21" t="s">
        <v>2213</v>
      </c>
      <c r="L747" s="21" t="s">
        <v>2214</v>
      </c>
      <c r="M747" s="21" t="s">
        <v>73</v>
      </c>
      <c r="N747" s="21"/>
    </row>
    <row r="748" spans="1:14" ht="64.05" customHeight="1">
      <c r="A748" s="20" t="s">
        <v>2196</v>
      </c>
      <c r="B748" s="20" t="s">
        <v>23</v>
      </c>
      <c r="C748" s="20" t="s">
        <v>103</v>
      </c>
      <c r="D748" s="20" t="s">
        <v>104</v>
      </c>
      <c r="E748" s="20" t="s">
        <v>2215</v>
      </c>
      <c r="F748" s="20">
        <v>1</v>
      </c>
      <c r="G748" s="20" t="s">
        <v>386</v>
      </c>
      <c r="H748" s="20" t="s">
        <v>2216</v>
      </c>
      <c r="I748" s="21" t="s">
        <v>406</v>
      </c>
      <c r="J748" s="21"/>
      <c r="K748" s="21" t="s">
        <v>406</v>
      </c>
      <c r="L748" s="21" t="s">
        <v>2217</v>
      </c>
      <c r="M748" s="21" t="s">
        <v>73</v>
      </c>
      <c r="N748" s="21"/>
    </row>
    <row r="749" spans="1:14" ht="64.05" customHeight="1">
      <c r="A749" s="20" t="s">
        <v>2196</v>
      </c>
      <c r="B749" s="20" t="s">
        <v>25</v>
      </c>
      <c r="C749" s="20" t="s">
        <v>115</v>
      </c>
      <c r="D749" s="20" t="s">
        <v>116</v>
      </c>
      <c r="E749" s="20" t="s">
        <v>2218</v>
      </c>
      <c r="F749" s="20">
        <v>1</v>
      </c>
      <c r="G749" s="20" t="s">
        <v>2219</v>
      </c>
      <c r="H749" s="20" t="s">
        <v>409</v>
      </c>
      <c r="I749" s="21" t="s">
        <v>415</v>
      </c>
      <c r="J749" s="21"/>
      <c r="K749" s="21" t="s">
        <v>109</v>
      </c>
      <c r="L749" s="21" t="s">
        <v>2220</v>
      </c>
      <c r="M749" s="21" t="s">
        <v>73</v>
      </c>
      <c r="N749" s="21"/>
    </row>
    <row r="750" spans="1:14" ht="64.05" customHeight="1">
      <c r="A750" s="20" t="s">
        <v>2196</v>
      </c>
      <c r="B750" s="20" t="s">
        <v>25</v>
      </c>
      <c r="C750" s="20" t="s">
        <v>131</v>
      </c>
      <c r="D750" s="20" t="s">
        <v>132</v>
      </c>
      <c r="E750" s="20" t="s">
        <v>2221</v>
      </c>
      <c r="F750" s="20">
        <v>1</v>
      </c>
      <c r="G750" s="20" t="s">
        <v>604</v>
      </c>
      <c r="H750" s="20" t="s">
        <v>2033</v>
      </c>
      <c r="I750" s="21" t="s">
        <v>2222</v>
      </c>
      <c r="J750" s="21"/>
      <c r="K750" s="21" t="s">
        <v>109</v>
      </c>
      <c r="L750" s="21" t="s">
        <v>2223</v>
      </c>
      <c r="M750" s="21" t="s">
        <v>73</v>
      </c>
      <c r="N750" s="21"/>
    </row>
    <row r="751" spans="1:14" ht="64.05" customHeight="1">
      <c r="A751" s="20" t="s">
        <v>2196</v>
      </c>
      <c r="B751" s="20" t="s">
        <v>25</v>
      </c>
      <c r="C751" s="20" t="s">
        <v>131</v>
      </c>
      <c r="D751" s="20" t="s">
        <v>132</v>
      </c>
      <c r="E751" s="20" t="s">
        <v>2224</v>
      </c>
      <c r="F751" s="20">
        <v>1</v>
      </c>
      <c r="G751" s="20" t="s">
        <v>604</v>
      </c>
      <c r="H751" s="20" t="s">
        <v>2033</v>
      </c>
      <c r="I751" s="21" t="s">
        <v>2222</v>
      </c>
      <c r="J751" s="21"/>
      <c r="K751" s="21" t="s">
        <v>109</v>
      </c>
      <c r="L751" s="21" t="s">
        <v>2225</v>
      </c>
      <c r="M751" s="21" t="s">
        <v>73</v>
      </c>
      <c r="N751" s="21"/>
    </row>
    <row r="752" spans="1:14" ht="64.05" customHeight="1">
      <c r="A752" s="20" t="s">
        <v>2196</v>
      </c>
      <c r="B752" s="20" t="s">
        <v>25</v>
      </c>
      <c r="C752" s="20" t="s">
        <v>131</v>
      </c>
      <c r="D752" s="20" t="s">
        <v>132</v>
      </c>
      <c r="E752" s="20" t="s">
        <v>2226</v>
      </c>
      <c r="F752" s="20">
        <v>1</v>
      </c>
      <c r="G752" s="20" t="s">
        <v>604</v>
      </c>
      <c r="H752" s="20" t="s">
        <v>2033</v>
      </c>
      <c r="I752" s="21" t="s">
        <v>2222</v>
      </c>
      <c r="J752" s="21"/>
      <c r="K752" s="21" t="s">
        <v>109</v>
      </c>
      <c r="L752" s="21" t="s">
        <v>2227</v>
      </c>
      <c r="M752" s="21" t="s">
        <v>73</v>
      </c>
      <c r="N752" s="21"/>
    </row>
    <row r="753" spans="1:14" ht="64.05" customHeight="1">
      <c r="A753" s="20" t="s">
        <v>2196</v>
      </c>
      <c r="B753" s="20" t="s">
        <v>25</v>
      </c>
      <c r="C753" s="20" t="s">
        <v>131</v>
      </c>
      <c r="D753" s="20" t="s">
        <v>132</v>
      </c>
      <c r="E753" s="20" t="s">
        <v>2228</v>
      </c>
      <c r="F753" s="20">
        <v>1</v>
      </c>
      <c r="G753" s="20" t="s">
        <v>604</v>
      </c>
      <c r="H753" s="20" t="s">
        <v>2033</v>
      </c>
      <c r="I753" s="21" t="s">
        <v>2222</v>
      </c>
      <c r="J753" s="21"/>
      <c r="K753" s="21" t="s">
        <v>109</v>
      </c>
      <c r="L753" s="21" t="s">
        <v>2225</v>
      </c>
      <c r="M753" s="21" t="s">
        <v>73</v>
      </c>
      <c r="N753" s="21"/>
    </row>
    <row r="754" spans="1:14" ht="64.05" customHeight="1">
      <c r="A754" s="20" t="s">
        <v>2196</v>
      </c>
      <c r="B754" s="20" t="s">
        <v>25</v>
      </c>
      <c r="C754" s="20" t="s">
        <v>131</v>
      </c>
      <c r="D754" s="20" t="s">
        <v>132</v>
      </c>
      <c r="E754" s="20" t="s">
        <v>2229</v>
      </c>
      <c r="F754" s="20">
        <v>1</v>
      </c>
      <c r="G754" s="20" t="s">
        <v>139</v>
      </c>
      <c r="H754" s="20"/>
      <c r="I754" s="21" t="s">
        <v>2230</v>
      </c>
      <c r="J754" s="21"/>
      <c r="K754" s="21" t="s">
        <v>109</v>
      </c>
      <c r="L754" s="21" t="s">
        <v>2231</v>
      </c>
      <c r="M754" s="21" t="s">
        <v>62</v>
      </c>
      <c r="N754" s="21" t="s">
        <v>520</v>
      </c>
    </row>
    <row r="755" spans="1:14" ht="64.05" customHeight="1">
      <c r="A755" s="20" t="s">
        <v>2196</v>
      </c>
      <c r="B755" s="20" t="s">
        <v>24</v>
      </c>
      <c r="C755" s="20" t="s">
        <v>426</v>
      </c>
      <c r="D755" s="20" t="s">
        <v>427</v>
      </c>
      <c r="E755" s="20" t="s">
        <v>2232</v>
      </c>
      <c r="F755" s="20">
        <v>1</v>
      </c>
      <c r="G755" s="20" t="s">
        <v>2233</v>
      </c>
      <c r="H755" s="20"/>
      <c r="I755" s="21" t="s">
        <v>406</v>
      </c>
      <c r="J755" s="21"/>
      <c r="K755" s="21" t="s">
        <v>406</v>
      </c>
      <c r="L755" s="21" t="s">
        <v>2234</v>
      </c>
      <c r="M755" s="21" t="s">
        <v>62</v>
      </c>
      <c r="N755" s="21" t="s">
        <v>63</v>
      </c>
    </row>
    <row r="756" spans="1:14" ht="64.05" customHeight="1">
      <c r="A756" s="20" t="s">
        <v>2196</v>
      </c>
      <c r="B756" s="20" t="s">
        <v>24</v>
      </c>
      <c r="C756" s="20" t="s">
        <v>426</v>
      </c>
      <c r="D756" s="20" t="s">
        <v>427</v>
      </c>
      <c r="E756" s="20" t="s">
        <v>2235</v>
      </c>
      <c r="F756" s="20">
        <v>1</v>
      </c>
      <c r="G756" s="20" t="s">
        <v>2233</v>
      </c>
      <c r="H756" s="20"/>
      <c r="I756" s="21" t="s">
        <v>406</v>
      </c>
      <c r="J756" s="21"/>
      <c r="K756" s="21" t="s">
        <v>406</v>
      </c>
      <c r="L756" s="21" t="s">
        <v>2236</v>
      </c>
      <c r="M756" s="21" t="s">
        <v>62</v>
      </c>
      <c r="N756" s="21" t="s">
        <v>63</v>
      </c>
    </row>
    <row r="757" spans="1:14" ht="64.05" customHeight="1">
      <c r="A757" s="20" t="s">
        <v>2196</v>
      </c>
      <c r="B757" s="20" t="s">
        <v>24</v>
      </c>
      <c r="C757" s="20" t="s">
        <v>426</v>
      </c>
      <c r="D757" s="20" t="s">
        <v>427</v>
      </c>
      <c r="E757" s="20" t="s">
        <v>2237</v>
      </c>
      <c r="F757" s="20">
        <v>1</v>
      </c>
      <c r="G757" s="20" t="s">
        <v>2233</v>
      </c>
      <c r="H757" s="20"/>
      <c r="I757" s="21" t="s">
        <v>406</v>
      </c>
      <c r="J757" s="21"/>
      <c r="K757" s="21" t="s">
        <v>406</v>
      </c>
      <c r="L757" s="21" t="s">
        <v>2234</v>
      </c>
      <c r="M757" s="21" t="s">
        <v>62</v>
      </c>
      <c r="N757" s="21" t="s">
        <v>63</v>
      </c>
    </row>
    <row r="758" spans="1:14" ht="64.05" customHeight="1">
      <c r="A758" s="20" t="s">
        <v>2196</v>
      </c>
      <c r="B758" s="20" t="s">
        <v>24</v>
      </c>
      <c r="C758" s="20" t="s">
        <v>426</v>
      </c>
      <c r="D758" s="20" t="s">
        <v>427</v>
      </c>
      <c r="E758" s="20" t="s">
        <v>2238</v>
      </c>
      <c r="F758" s="20">
        <v>1</v>
      </c>
      <c r="G758" s="20" t="s">
        <v>2233</v>
      </c>
      <c r="H758" s="20"/>
      <c r="I758" s="21" t="s">
        <v>406</v>
      </c>
      <c r="J758" s="21"/>
      <c r="K758" s="21" t="s">
        <v>406</v>
      </c>
      <c r="L758" s="21" t="s">
        <v>2234</v>
      </c>
      <c r="M758" s="21" t="s">
        <v>62</v>
      </c>
      <c r="N758" s="21" t="s">
        <v>63</v>
      </c>
    </row>
    <row r="759" spans="1:14" ht="64.05" customHeight="1">
      <c r="A759" s="20" t="s">
        <v>2196</v>
      </c>
      <c r="B759" s="20" t="s">
        <v>24</v>
      </c>
      <c r="C759" s="20" t="s">
        <v>426</v>
      </c>
      <c r="D759" s="20" t="s">
        <v>427</v>
      </c>
      <c r="E759" s="20" t="s">
        <v>2239</v>
      </c>
      <c r="F759" s="20">
        <v>1</v>
      </c>
      <c r="G759" s="20" t="s">
        <v>92</v>
      </c>
      <c r="H759" s="20"/>
      <c r="I759" s="21" t="s">
        <v>2240</v>
      </c>
      <c r="J759" s="21"/>
      <c r="K759" s="21" t="s">
        <v>109</v>
      </c>
      <c r="L759" s="21" t="s">
        <v>2241</v>
      </c>
      <c r="M759" s="21" t="s">
        <v>62</v>
      </c>
      <c r="N759" s="21" t="s">
        <v>63</v>
      </c>
    </row>
    <row r="760" spans="1:14" ht="64.05" customHeight="1">
      <c r="A760" s="20" t="s">
        <v>2196</v>
      </c>
      <c r="B760" s="20" t="s">
        <v>24</v>
      </c>
      <c r="C760" s="20" t="s">
        <v>431</v>
      </c>
      <c r="D760" s="20" t="s">
        <v>216</v>
      </c>
      <c r="E760" s="20" t="s">
        <v>2242</v>
      </c>
      <c r="F760" s="20">
        <v>1</v>
      </c>
      <c r="G760" s="20" t="s">
        <v>92</v>
      </c>
      <c r="H760" s="20"/>
      <c r="I760" s="21" t="s">
        <v>406</v>
      </c>
      <c r="J760" s="21"/>
      <c r="K760" s="21" t="s">
        <v>109</v>
      </c>
      <c r="L760" s="21" t="s">
        <v>2243</v>
      </c>
      <c r="M760" s="21" t="s">
        <v>102</v>
      </c>
      <c r="N760" s="21"/>
    </row>
    <row r="761" spans="1:14" ht="64.05" customHeight="1">
      <c r="A761" s="20" t="s">
        <v>2196</v>
      </c>
      <c r="B761" s="20" t="s">
        <v>24</v>
      </c>
      <c r="C761" s="20" t="s">
        <v>136</v>
      </c>
      <c r="D761" s="20" t="s">
        <v>137</v>
      </c>
      <c r="E761" s="20" t="s">
        <v>2244</v>
      </c>
      <c r="F761" s="20">
        <v>1</v>
      </c>
      <c r="G761" s="20" t="s">
        <v>604</v>
      </c>
      <c r="H761" s="20" t="s">
        <v>2033</v>
      </c>
      <c r="I761" s="21" t="s">
        <v>2245</v>
      </c>
      <c r="J761" s="21"/>
      <c r="K761" s="21" t="s">
        <v>2246</v>
      </c>
      <c r="L761" s="21" t="s">
        <v>2247</v>
      </c>
      <c r="M761" s="21" t="s">
        <v>73</v>
      </c>
      <c r="N761" s="21"/>
    </row>
    <row r="762" spans="1:14" ht="64.05" customHeight="1">
      <c r="A762" s="20" t="s">
        <v>2196</v>
      </c>
      <c r="B762" s="20" t="s">
        <v>28</v>
      </c>
      <c r="C762" s="20" t="s">
        <v>146</v>
      </c>
      <c r="D762" s="20" t="s">
        <v>147</v>
      </c>
      <c r="E762" s="20" t="s">
        <v>2248</v>
      </c>
      <c r="F762" s="20">
        <v>1</v>
      </c>
      <c r="G762" s="20" t="s">
        <v>2249</v>
      </c>
      <c r="H762" s="20" t="s">
        <v>2250</v>
      </c>
      <c r="I762" s="21" t="s">
        <v>2251</v>
      </c>
      <c r="J762" s="21"/>
      <c r="K762" s="21" t="s">
        <v>109</v>
      </c>
      <c r="L762" s="21" t="s">
        <v>2252</v>
      </c>
      <c r="M762" s="21" t="s">
        <v>102</v>
      </c>
      <c r="N762" s="21"/>
    </row>
    <row r="763" spans="1:14" ht="64.05" customHeight="1">
      <c r="A763" s="20" t="s">
        <v>2196</v>
      </c>
      <c r="B763" s="20" t="s">
        <v>28</v>
      </c>
      <c r="C763" s="20" t="s">
        <v>146</v>
      </c>
      <c r="D763" s="20" t="s">
        <v>147</v>
      </c>
      <c r="E763" s="20" t="s">
        <v>2253</v>
      </c>
      <c r="F763" s="20">
        <v>1</v>
      </c>
      <c r="G763" s="20" t="s">
        <v>2249</v>
      </c>
      <c r="H763" s="20" t="s">
        <v>2250</v>
      </c>
      <c r="I763" s="21" t="s">
        <v>2254</v>
      </c>
      <c r="J763" s="21"/>
      <c r="K763" s="21" t="s">
        <v>109</v>
      </c>
      <c r="L763" s="21" t="s">
        <v>2252</v>
      </c>
      <c r="M763" s="21" t="s">
        <v>102</v>
      </c>
      <c r="N763" s="21"/>
    </row>
    <row r="764" spans="1:14" ht="64.05" customHeight="1">
      <c r="A764" s="20" t="s">
        <v>2196</v>
      </c>
      <c r="B764" s="20" t="s">
        <v>28</v>
      </c>
      <c r="C764" s="20" t="s">
        <v>146</v>
      </c>
      <c r="D764" s="20" t="s">
        <v>147</v>
      </c>
      <c r="E764" s="20" t="s">
        <v>2255</v>
      </c>
      <c r="F764" s="20">
        <v>1</v>
      </c>
      <c r="G764" s="20" t="s">
        <v>2249</v>
      </c>
      <c r="H764" s="20" t="s">
        <v>2250</v>
      </c>
      <c r="I764" s="21" t="s">
        <v>2256</v>
      </c>
      <c r="J764" s="21"/>
      <c r="K764" s="21" t="s">
        <v>109</v>
      </c>
      <c r="L764" s="21" t="s">
        <v>2252</v>
      </c>
      <c r="M764" s="21" t="s">
        <v>102</v>
      </c>
      <c r="N764" s="21"/>
    </row>
    <row r="765" spans="1:14" ht="64.05" customHeight="1">
      <c r="A765" s="20" t="s">
        <v>2196</v>
      </c>
      <c r="B765" s="20" t="s">
        <v>28</v>
      </c>
      <c r="C765" s="20" t="s">
        <v>146</v>
      </c>
      <c r="D765" s="20" t="s">
        <v>147</v>
      </c>
      <c r="E765" s="20" t="s">
        <v>2257</v>
      </c>
      <c r="F765" s="20">
        <v>1</v>
      </c>
      <c r="G765" s="20" t="s">
        <v>92</v>
      </c>
      <c r="H765" s="20"/>
      <c r="I765" s="21" t="s">
        <v>2258</v>
      </c>
      <c r="J765" s="21"/>
      <c r="K765" s="21" t="s">
        <v>2198</v>
      </c>
      <c r="L765" s="21" t="s">
        <v>2259</v>
      </c>
      <c r="M765" s="21" t="s">
        <v>62</v>
      </c>
      <c r="N765" s="21" t="s">
        <v>63</v>
      </c>
    </row>
    <row r="766" spans="1:14" ht="64.05" customHeight="1">
      <c r="A766" s="20" t="s">
        <v>2196</v>
      </c>
      <c r="B766" s="20" t="s">
        <v>30</v>
      </c>
      <c r="C766" s="20" t="s">
        <v>180</v>
      </c>
      <c r="D766" s="20" t="s">
        <v>181</v>
      </c>
      <c r="E766" s="20" t="s">
        <v>2260</v>
      </c>
      <c r="F766" s="20">
        <v>1</v>
      </c>
      <c r="G766" s="20" t="s">
        <v>92</v>
      </c>
      <c r="H766" s="20"/>
      <c r="I766" s="21" t="s">
        <v>151</v>
      </c>
      <c r="J766" s="21"/>
      <c r="K766" s="21" t="s">
        <v>2261</v>
      </c>
      <c r="L766" s="21" t="s">
        <v>2262</v>
      </c>
      <c r="M766" s="21" t="s">
        <v>73</v>
      </c>
      <c r="N766" s="21"/>
    </row>
    <row r="767" spans="1:14" ht="64.05" customHeight="1">
      <c r="A767" s="20" t="s">
        <v>2196</v>
      </c>
      <c r="B767" s="20" t="s">
        <v>30</v>
      </c>
      <c r="C767" s="20" t="s">
        <v>180</v>
      </c>
      <c r="D767" s="20" t="s">
        <v>181</v>
      </c>
      <c r="E767" s="20" t="s">
        <v>2263</v>
      </c>
      <c r="F767" s="20">
        <v>1</v>
      </c>
      <c r="G767" s="20" t="s">
        <v>92</v>
      </c>
      <c r="H767" s="20"/>
      <c r="I767" s="21" t="s">
        <v>2264</v>
      </c>
      <c r="J767" s="21"/>
      <c r="K767" s="21" t="s">
        <v>2265</v>
      </c>
      <c r="L767" s="21" t="s">
        <v>2266</v>
      </c>
      <c r="M767" s="21" t="s">
        <v>102</v>
      </c>
      <c r="N767" s="21"/>
    </row>
    <row r="768" spans="1:14" ht="64.05" customHeight="1">
      <c r="A768" s="20" t="s">
        <v>2196</v>
      </c>
      <c r="B768" s="20" t="s">
        <v>30</v>
      </c>
      <c r="C768" s="20" t="s">
        <v>180</v>
      </c>
      <c r="D768" s="20" t="s">
        <v>181</v>
      </c>
      <c r="E768" s="20" t="s">
        <v>2267</v>
      </c>
      <c r="F768" s="20">
        <v>1</v>
      </c>
      <c r="G768" s="20" t="s">
        <v>92</v>
      </c>
      <c r="H768" s="20"/>
      <c r="I768" s="21" t="s">
        <v>2264</v>
      </c>
      <c r="J768" s="21"/>
      <c r="K768" s="21" t="s">
        <v>2265</v>
      </c>
      <c r="L768" s="21" t="s">
        <v>2266</v>
      </c>
      <c r="M768" s="21" t="s">
        <v>102</v>
      </c>
      <c r="N768" s="21"/>
    </row>
    <row r="769" spans="1:14" ht="64.05" customHeight="1">
      <c r="A769" s="20" t="s">
        <v>2196</v>
      </c>
      <c r="B769" s="20" t="s">
        <v>30</v>
      </c>
      <c r="C769" s="20" t="s">
        <v>180</v>
      </c>
      <c r="D769" s="20" t="s">
        <v>181</v>
      </c>
      <c r="E769" s="20" t="s">
        <v>2268</v>
      </c>
      <c r="F769" s="20">
        <v>1</v>
      </c>
      <c r="G769" s="20" t="s">
        <v>92</v>
      </c>
      <c r="H769" s="20"/>
      <c r="I769" s="21" t="s">
        <v>2264</v>
      </c>
      <c r="J769" s="21"/>
      <c r="K769" s="21" t="s">
        <v>2265</v>
      </c>
      <c r="L769" s="21" t="s">
        <v>2266</v>
      </c>
      <c r="M769" s="21" t="s">
        <v>102</v>
      </c>
      <c r="N769" s="21"/>
    </row>
    <row r="770" spans="1:14" ht="64.05" customHeight="1">
      <c r="A770" s="20" t="s">
        <v>2196</v>
      </c>
      <c r="B770" s="20" t="s">
        <v>30</v>
      </c>
      <c r="C770" s="20" t="s">
        <v>180</v>
      </c>
      <c r="D770" s="20" t="s">
        <v>181</v>
      </c>
      <c r="E770" s="20" t="s">
        <v>2269</v>
      </c>
      <c r="F770" s="20">
        <v>1</v>
      </c>
      <c r="G770" s="20" t="s">
        <v>92</v>
      </c>
      <c r="H770" s="20"/>
      <c r="I770" s="21" t="s">
        <v>2264</v>
      </c>
      <c r="J770" s="21"/>
      <c r="K770" s="21" t="s">
        <v>2265</v>
      </c>
      <c r="L770" s="21" t="s">
        <v>2266</v>
      </c>
      <c r="M770" s="21" t="s">
        <v>102</v>
      </c>
      <c r="N770" s="21"/>
    </row>
    <row r="771" spans="1:14" ht="64.05" customHeight="1">
      <c r="A771" s="20" t="s">
        <v>2196</v>
      </c>
      <c r="B771" s="20" t="s">
        <v>30</v>
      </c>
      <c r="C771" s="20" t="s">
        <v>180</v>
      </c>
      <c r="D771" s="20" t="s">
        <v>181</v>
      </c>
      <c r="E771" s="20" t="s">
        <v>2270</v>
      </c>
      <c r="F771" s="20">
        <v>1</v>
      </c>
      <c r="G771" s="20" t="s">
        <v>2271</v>
      </c>
      <c r="H771" s="20" t="s">
        <v>2272</v>
      </c>
      <c r="I771" s="21" t="s">
        <v>406</v>
      </c>
      <c r="J771" s="21"/>
      <c r="K771" s="21" t="s">
        <v>406</v>
      </c>
      <c r="L771" s="21" t="s">
        <v>2273</v>
      </c>
      <c r="M771" s="21" t="s">
        <v>62</v>
      </c>
      <c r="N771" s="21" t="s">
        <v>130</v>
      </c>
    </row>
    <row r="772" spans="1:14" ht="64.05" customHeight="1">
      <c r="A772" s="20" t="s">
        <v>2196</v>
      </c>
      <c r="B772" s="20" t="s">
        <v>30</v>
      </c>
      <c r="C772" s="20" t="s">
        <v>188</v>
      </c>
      <c r="D772" s="20" t="s">
        <v>189</v>
      </c>
      <c r="E772" s="20" t="s">
        <v>2274</v>
      </c>
      <c r="F772" s="20">
        <v>1</v>
      </c>
      <c r="G772" s="20" t="s">
        <v>2275</v>
      </c>
      <c r="H772" s="20" t="s">
        <v>2276</v>
      </c>
      <c r="I772" s="21" t="s">
        <v>140</v>
      </c>
      <c r="J772" s="21"/>
      <c r="K772" s="21"/>
      <c r="L772" s="21" t="s">
        <v>2277</v>
      </c>
      <c r="M772" s="21" t="s">
        <v>62</v>
      </c>
      <c r="N772" s="21" t="s">
        <v>811</v>
      </c>
    </row>
    <row r="773" spans="1:14" ht="64.05" customHeight="1">
      <c r="A773" s="20" t="s">
        <v>2196</v>
      </c>
      <c r="B773" s="20" t="s">
        <v>30</v>
      </c>
      <c r="C773" s="20" t="s">
        <v>188</v>
      </c>
      <c r="D773" s="20" t="s">
        <v>189</v>
      </c>
      <c r="E773" s="20" t="s">
        <v>2278</v>
      </c>
      <c r="F773" s="20">
        <v>1</v>
      </c>
      <c r="G773" s="20" t="s">
        <v>2275</v>
      </c>
      <c r="H773" s="20" t="s">
        <v>2276</v>
      </c>
      <c r="I773" s="21" t="s">
        <v>2279</v>
      </c>
      <c r="J773" s="21"/>
      <c r="K773" s="21" t="s">
        <v>2280</v>
      </c>
      <c r="L773" s="21" t="s">
        <v>2281</v>
      </c>
      <c r="M773" s="21" t="s">
        <v>73</v>
      </c>
      <c r="N773" s="21"/>
    </row>
    <row r="774" spans="1:14" ht="64.05" customHeight="1">
      <c r="A774" s="20" t="s">
        <v>2196</v>
      </c>
      <c r="B774" s="20" t="s">
        <v>30</v>
      </c>
      <c r="C774" s="20" t="s">
        <v>188</v>
      </c>
      <c r="D774" s="20" t="s">
        <v>189</v>
      </c>
      <c r="E774" s="20" t="s">
        <v>2282</v>
      </c>
      <c r="F774" s="20">
        <v>1</v>
      </c>
      <c r="G774" s="20" t="s">
        <v>2275</v>
      </c>
      <c r="H774" s="20" t="s">
        <v>2276</v>
      </c>
      <c r="I774" s="21" t="s">
        <v>2279</v>
      </c>
      <c r="J774" s="21"/>
      <c r="K774" s="21" t="s">
        <v>2280</v>
      </c>
      <c r="L774" s="21" t="s">
        <v>2281</v>
      </c>
      <c r="M774" s="21" t="s">
        <v>73</v>
      </c>
      <c r="N774" s="21"/>
    </row>
    <row r="775" spans="1:14" ht="64.05" customHeight="1">
      <c r="A775" s="20" t="s">
        <v>2196</v>
      </c>
      <c r="B775" s="20" t="s">
        <v>30</v>
      </c>
      <c r="C775" s="20" t="s">
        <v>188</v>
      </c>
      <c r="D775" s="20" t="s">
        <v>255</v>
      </c>
      <c r="E775" s="20" t="s">
        <v>2283</v>
      </c>
      <c r="F775" s="20">
        <v>1</v>
      </c>
      <c r="G775" s="20" t="s">
        <v>2284</v>
      </c>
      <c r="H775" s="20" t="s">
        <v>2285</v>
      </c>
      <c r="I775" s="21" t="s">
        <v>2286</v>
      </c>
      <c r="J775" s="21"/>
      <c r="K775" s="21" t="s">
        <v>2287</v>
      </c>
      <c r="L775" s="21" t="s">
        <v>2288</v>
      </c>
      <c r="M775" s="21" t="s">
        <v>73</v>
      </c>
      <c r="N775" s="21"/>
    </row>
    <row r="776" spans="1:14" ht="64.05" customHeight="1">
      <c r="A776" s="20" t="s">
        <v>2196</v>
      </c>
      <c r="B776" s="20" t="s">
        <v>26</v>
      </c>
      <c r="C776" s="20" t="s">
        <v>196</v>
      </c>
      <c r="D776" s="20" t="s">
        <v>197</v>
      </c>
      <c r="E776" s="20" t="s">
        <v>2289</v>
      </c>
      <c r="F776" s="20">
        <v>1</v>
      </c>
      <c r="G776" s="20" t="s">
        <v>2290</v>
      </c>
      <c r="H776" s="20" t="s">
        <v>1421</v>
      </c>
      <c r="I776" s="21" t="s">
        <v>406</v>
      </c>
      <c r="J776" s="21"/>
      <c r="K776" s="21" t="s">
        <v>406</v>
      </c>
      <c r="L776" s="21" t="s">
        <v>2291</v>
      </c>
      <c r="M776" s="21" t="s">
        <v>102</v>
      </c>
      <c r="N776" s="21"/>
    </row>
    <row r="777" spans="1:14" ht="64.05" customHeight="1">
      <c r="A777" s="20" t="s">
        <v>2196</v>
      </c>
      <c r="B777" s="20" t="s">
        <v>26</v>
      </c>
      <c r="C777" s="20" t="s">
        <v>196</v>
      </c>
      <c r="D777" s="20" t="s">
        <v>197</v>
      </c>
      <c r="E777" s="20" t="s">
        <v>2292</v>
      </c>
      <c r="F777" s="20">
        <v>1</v>
      </c>
      <c r="G777" s="20" t="s">
        <v>2293</v>
      </c>
      <c r="H777" s="20" t="s">
        <v>2294</v>
      </c>
      <c r="I777" s="21" t="s">
        <v>151</v>
      </c>
      <c r="J777" s="21"/>
      <c r="K777" s="21" t="s">
        <v>109</v>
      </c>
      <c r="L777" s="21" t="s">
        <v>2295</v>
      </c>
      <c r="M777" s="21" t="s">
        <v>73</v>
      </c>
      <c r="N777" s="21"/>
    </row>
    <row r="778" spans="1:14" ht="64.05" customHeight="1">
      <c r="A778" s="20" t="s">
        <v>2196</v>
      </c>
      <c r="B778" s="20" t="s">
        <v>26</v>
      </c>
      <c r="C778" s="20" t="s">
        <v>196</v>
      </c>
      <c r="D778" s="20" t="s">
        <v>197</v>
      </c>
      <c r="E778" s="20" t="s">
        <v>2296</v>
      </c>
      <c r="F778" s="20">
        <v>1</v>
      </c>
      <c r="G778" s="20" t="s">
        <v>2297</v>
      </c>
      <c r="H778" s="20" t="s">
        <v>2298</v>
      </c>
      <c r="I778" s="21" t="s">
        <v>2299</v>
      </c>
      <c r="J778" s="21"/>
      <c r="K778" s="21" t="s">
        <v>109</v>
      </c>
      <c r="L778" s="21" t="s">
        <v>2300</v>
      </c>
      <c r="M778" s="21" t="s">
        <v>73</v>
      </c>
      <c r="N778" s="21"/>
    </row>
    <row r="779" spans="1:14" ht="64.05" customHeight="1">
      <c r="A779" s="20" t="s">
        <v>2196</v>
      </c>
      <c r="B779" s="20" t="s">
        <v>26</v>
      </c>
      <c r="C779" s="20" t="s">
        <v>196</v>
      </c>
      <c r="D779" s="20" t="s">
        <v>197</v>
      </c>
      <c r="E779" s="20" t="s">
        <v>2301</v>
      </c>
      <c r="F779" s="20">
        <v>1</v>
      </c>
      <c r="G779" s="20" t="s">
        <v>2302</v>
      </c>
      <c r="H779" s="20" t="s">
        <v>2285</v>
      </c>
      <c r="I779" s="21" t="s">
        <v>2303</v>
      </c>
      <c r="J779" s="21"/>
      <c r="K779" s="21" t="s">
        <v>960</v>
      </c>
      <c r="L779" s="21" t="s">
        <v>2304</v>
      </c>
      <c r="M779" s="21" t="s">
        <v>73</v>
      </c>
      <c r="N779" s="21"/>
    </row>
    <row r="780" spans="1:14" ht="64.05" customHeight="1">
      <c r="A780" s="20" t="s">
        <v>2196</v>
      </c>
      <c r="B780" s="20" t="s">
        <v>26</v>
      </c>
      <c r="C780" s="20" t="s">
        <v>196</v>
      </c>
      <c r="D780" s="20" t="s">
        <v>197</v>
      </c>
      <c r="E780" s="20" t="s">
        <v>2305</v>
      </c>
      <c r="F780" s="20">
        <v>1</v>
      </c>
      <c r="G780" s="20" t="s">
        <v>2302</v>
      </c>
      <c r="H780" s="20" t="s">
        <v>2285</v>
      </c>
      <c r="I780" s="21" t="s">
        <v>2306</v>
      </c>
      <c r="J780" s="21"/>
      <c r="K780" s="21" t="s">
        <v>960</v>
      </c>
      <c r="L780" s="21" t="s">
        <v>2304</v>
      </c>
      <c r="M780" s="21" t="s">
        <v>73</v>
      </c>
      <c r="N780" s="21"/>
    </row>
    <row r="781" spans="1:14" ht="64.05" customHeight="1">
      <c r="A781" s="20" t="s">
        <v>2196</v>
      </c>
      <c r="B781" s="20" t="s">
        <v>26</v>
      </c>
      <c r="C781" s="20" t="s">
        <v>196</v>
      </c>
      <c r="D781" s="20" t="s">
        <v>197</v>
      </c>
      <c r="E781" s="20" t="s">
        <v>2307</v>
      </c>
      <c r="F781" s="20">
        <v>1</v>
      </c>
      <c r="G781" s="20"/>
      <c r="H781" s="20"/>
      <c r="I781" s="21" t="s">
        <v>2308</v>
      </c>
      <c r="J781" s="21"/>
      <c r="K781" s="21" t="s">
        <v>109</v>
      </c>
      <c r="L781" s="21" t="s">
        <v>2309</v>
      </c>
      <c r="M781" s="21" t="s">
        <v>62</v>
      </c>
      <c r="N781" s="21" t="s">
        <v>2310</v>
      </c>
    </row>
    <row r="782" spans="1:14" ht="64.05" customHeight="1">
      <c r="A782" s="20" t="s">
        <v>2196</v>
      </c>
      <c r="B782" s="20" t="s">
        <v>26</v>
      </c>
      <c r="C782" s="20" t="s">
        <v>196</v>
      </c>
      <c r="D782" s="20" t="s">
        <v>197</v>
      </c>
      <c r="E782" s="20" t="s">
        <v>2311</v>
      </c>
      <c r="F782" s="20">
        <v>1</v>
      </c>
      <c r="G782" s="20"/>
      <c r="H782" s="20"/>
      <c r="I782" s="21" t="s">
        <v>2312</v>
      </c>
      <c r="J782" s="21"/>
      <c r="K782" s="21" t="s">
        <v>109</v>
      </c>
      <c r="L782" s="21" t="s">
        <v>2313</v>
      </c>
      <c r="M782" s="21" t="s">
        <v>62</v>
      </c>
      <c r="N782" s="21" t="s">
        <v>2310</v>
      </c>
    </row>
    <row r="783" spans="1:14" ht="64.05" customHeight="1">
      <c r="A783" s="20" t="s">
        <v>2196</v>
      </c>
      <c r="B783" s="20" t="s">
        <v>33</v>
      </c>
      <c r="C783" s="20" t="s">
        <v>2314</v>
      </c>
      <c r="D783" s="20" t="s">
        <v>2315</v>
      </c>
      <c r="E783" s="20" t="s">
        <v>2316</v>
      </c>
      <c r="F783" s="20">
        <v>1</v>
      </c>
      <c r="G783" s="20" t="s">
        <v>92</v>
      </c>
      <c r="H783" s="20"/>
      <c r="I783" s="21" t="s">
        <v>2317</v>
      </c>
      <c r="J783" s="21"/>
      <c r="K783" s="21" t="s">
        <v>109</v>
      </c>
      <c r="L783" s="21" t="s">
        <v>2318</v>
      </c>
      <c r="M783" s="21" t="s">
        <v>73</v>
      </c>
      <c r="N783" s="21"/>
    </row>
    <row r="784" spans="1:14" ht="64.05" customHeight="1">
      <c r="A784" s="20" t="s">
        <v>2196</v>
      </c>
      <c r="B784" s="20" t="s">
        <v>33</v>
      </c>
      <c r="C784" s="20" t="s">
        <v>2103</v>
      </c>
      <c r="D784" s="20" t="s">
        <v>2104</v>
      </c>
      <c r="E784" s="20" t="s">
        <v>2319</v>
      </c>
      <c r="F784" s="20">
        <v>1</v>
      </c>
      <c r="G784" s="20" t="s">
        <v>92</v>
      </c>
      <c r="H784" s="20"/>
      <c r="I784" s="21" t="s">
        <v>2320</v>
      </c>
      <c r="J784" s="21"/>
      <c r="K784" s="21" t="s">
        <v>2321</v>
      </c>
      <c r="L784" s="21" t="s">
        <v>2322</v>
      </c>
      <c r="M784" s="21" t="s">
        <v>73</v>
      </c>
      <c r="N784" s="21"/>
    </row>
    <row r="785" spans="1:14" ht="64.05" customHeight="1">
      <c r="A785" s="20" t="s">
        <v>2196</v>
      </c>
      <c r="B785" s="20" t="s">
        <v>33</v>
      </c>
      <c r="C785" s="20" t="s">
        <v>2103</v>
      </c>
      <c r="D785" s="20" t="s">
        <v>2104</v>
      </c>
      <c r="E785" s="20" t="s">
        <v>2323</v>
      </c>
      <c r="F785" s="20">
        <v>1</v>
      </c>
      <c r="G785" s="20" t="s">
        <v>92</v>
      </c>
      <c r="H785" s="20"/>
      <c r="I785" s="21" t="s">
        <v>2324</v>
      </c>
      <c r="J785" s="21"/>
      <c r="K785" s="21" t="s">
        <v>2321</v>
      </c>
      <c r="L785" s="21" t="s">
        <v>2325</v>
      </c>
      <c r="M785" s="21" t="s">
        <v>102</v>
      </c>
      <c r="N785" s="21"/>
    </row>
    <row r="786" spans="1:14" ht="64.05" customHeight="1">
      <c r="A786" s="20" t="s">
        <v>2196</v>
      </c>
      <c r="B786" s="20" t="s">
        <v>33</v>
      </c>
      <c r="C786" s="20" t="s">
        <v>2103</v>
      </c>
      <c r="D786" s="20" t="s">
        <v>2104</v>
      </c>
      <c r="E786" s="20" t="s">
        <v>2326</v>
      </c>
      <c r="F786" s="20">
        <v>1</v>
      </c>
      <c r="G786" s="20" t="s">
        <v>92</v>
      </c>
      <c r="H786" s="20"/>
      <c r="I786" s="21" t="s">
        <v>2327</v>
      </c>
      <c r="J786" s="21"/>
      <c r="K786" s="21" t="s">
        <v>2321</v>
      </c>
      <c r="L786" s="21" t="s">
        <v>2322</v>
      </c>
      <c r="M786" s="21" t="s">
        <v>73</v>
      </c>
      <c r="N786" s="21"/>
    </row>
    <row r="787" spans="1:14" ht="64.05" customHeight="1">
      <c r="A787" s="20" t="s">
        <v>2196</v>
      </c>
      <c r="B787" s="20" t="s">
        <v>31</v>
      </c>
      <c r="C787" s="20" t="s">
        <v>491</v>
      </c>
      <c r="D787" s="20" t="s">
        <v>492</v>
      </c>
      <c r="E787" s="20" t="s">
        <v>2328</v>
      </c>
      <c r="F787" s="20">
        <v>1</v>
      </c>
      <c r="G787" s="20" t="s">
        <v>2329</v>
      </c>
      <c r="H787" s="20" t="s">
        <v>1127</v>
      </c>
      <c r="I787" s="21" t="s">
        <v>406</v>
      </c>
      <c r="J787" s="21"/>
      <c r="K787" s="21"/>
      <c r="L787" s="21" t="s">
        <v>2330</v>
      </c>
      <c r="M787" s="21" t="s">
        <v>73</v>
      </c>
      <c r="N787" s="21"/>
    </row>
    <row r="788" spans="1:14" ht="64.05" customHeight="1">
      <c r="A788" s="20" t="s">
        <v>2196</v>
      </c>
      <c r="B788" s="20" t="s">
        <v>31</v>
      </c>
      <c r="C788" s="20" t="s">
        <v>491</v>
      </c>
      <c r="D788" s="20" t="s">
        <v>492</v>
      </c>
      <c r="E788" s="20" t="s">
        <v>2331</v>
      </c>
      <c r="F788" s="20">
        <v>1</v>
      </c>
      <c r="G788" s="20" t="s">
        <v>2329</v>
      </c>
      <c r="H788" s="20" t="s">
        <v>1127</v>
      </c>
      <c r="I788" s="21" t="s">
        <v>406</v>
      </c>
      <c r="J788" s="21"/>
      <c r="K788" s="21"/>
      <c r="L788" s="21" t="s">
        <v>2330</v>
      </c>
      <c r="M788" s="21" t="s">
        <v>73</v>
      </c>
      <c r="N788" s="21"/>
    </row>
    <row r="789" spans="1:14" ht="64.05" customHeight="1">
      <c r="A789" s="20" t="s">
        <v>2196</v>
      </c>
      <c r="B789" s="20" t="s">
        <v>32</v>
      </c>
      <c r="C789" s="20" t="s">
        <v>200</v>
      </c>
      <c r="D789" s="20" t="s">
        <v>201</v>
      </c>
      <c r="E789" s="20" t="s">
        <v>2332</v>
      </c>
      <c r="F789" s="20">
        <v>1</v>
      </c>
      <c r="G789" s="20" t="s">
        <v>92</v>
      </c>
      <c r="H789" s="20"/>
      <c r="I789" s="21" t="s">
        <v>2333</v>
      </c>
      <c r="J789" s="21" t="s">
        <v>672</v>
      </c>
      <c r="K789" s="21" t="s">
        <v>109</v>
      </c>
      <c r="L789" s="21" t="s">
        <v>2334</v>
      </c>
      <c r="M789" s="21" t="s">
        <v>102</v>
      </c>
      <c r="N789" s="21"/>
    </row>
    <row r="790" spans="1:14" ht="64.05" customHeight="1">
      <c r="A790" s="20" t="s">
        <v>2196</v>
      </c>
      <c r="B790" s="20" t="s">
        <v>29</v>
      </c>
      <c r="C790" s="20" t="s">
        <v>1084</v>
      </c>
      <c r="D790" s="20" t="s">
        <v>1085</v>
      </c>
      <c r="E790" s="20" t="s">
        <v>2335</v>
      </c>
      <c r="F790" s="20">
        <v>1</v>
      </c>
      <c r="G790" s="20" t="s">
        <v>2336</v>
      </c>
      <c r="H790" s="20" t="s">
        <v>2337</v>
      </c>
      <c r="I790" s="21"/>
      <c r="J790" s="21"/>
      <c r="K790" s="21" t="s">
        <v>2338</v>
      </c>
      <c r="L790" s="21" t="s">
        <v>2339</v>
      </c>
      <c r="M790" s="21" t="s">
        <v>73</v>
      </c>
      <c r="N790" s="21"/>
    </row>
    <row r="791" spans="1:14" ht="64.05" customHeight="1">
      <c r="A791" s="20" t="s">
        <v>2196</v>
      </c>
      <c r="B791" s="20" t="s">
        <v>29</v>
      </c>
      <c r="C791" s="20" t="s">
        <v>1084</v>
      </c>
      <c r="D791" s="20" t="s">
        <v>1085</v>
      </c>
      <c r="E791" s="20" t="s">
        <v>2340</v>
      </c>
      <c r="F791" s="20">
        <v>1</v>
      </c>
      <c r="G791" s="20" t="s">
        <v>2336</v>
      </c>
      <c r="H791" s="20" t="s">
        <v>2337</v>
      </c>
      <c r="I791" s="21"/>
      <c r="J791" s="21"/>
      <c r="K791" s="21" t="s">
        <v>2338</v>
      </c>
      <c r="L791" s="21" t="s">
        <v>2341</v>
      </c>
      <c r="M791" s="21" t="s">
        <v>73</v>
      </c>
      <c r="N791" s="21"/>
    </row>
    <row r="792" spans="1:14" ht="64.05" customHeight="1">
      <c r="A792" s="20" t="s">
        <v>2196</v>
      </c>
      <c r="B792" s="20" t="s">
        <v>29</v>
      </c>
      <c r="C792" s="20" t="s">
        <v>1084</v>
      </c>
      <c r="D792" s="20" t="s">
        <v>1085</v>
      </c>
      <c r="E792" s="20" t="s">
        <v>2342</v>
      </c>
      <c r="F792" s="20">
        <v>1</v>
      </c>
      <c r="G792" s="20" t="s">
        <v>2343</v>
      </c>
      <c r="H792" s="20"/>
      <c r="I792" s="21" t="s">
        <v>2344</v>
      </c>
      <c r="J792" s="21" t="s">
        <v>245</v>
      </c>
      <c r="K792" s="21" t="s">
        <v>78</v>
      </c>
      <c r="L792" s="21" t="s">
        <v>2345</v>
      </c>
      <c r="M792" s="21" t="s">
        <v>73</v>
      </c>
      <c r="N792" s="21"/>
    </row>
    <row r="793" spans="1:14" ht="64.05" customHeight="1">
      <c r="A793" s="20" t="s">
        <v>2196</v>
      </c>
      <c r="B793" s="20" t="s">
        <v>29</v>
      </c>
      <c r="C793" s="20" t="s">
        <v>1084</v>
      </c>
      <c r="D793" s="20" t="s">
        <v>1085</v>
      </c>
      <c r="E793" s="20" t="s">
        <v>2346</v>
      </c>
      <c r="F793" s="20">
        <v>1</v>
      </c>
      <c r="G793" s="20" t="s">
        <v>2343</v>
      </c>
      <c r="H793" s="20"/>
      <c r="I793" s="21" t="s">
        <v>2347</v>
      </c>
      <c r="J793" s="21"/>
      <c r="K793" s="21" t="s">
        <v>2348</v>
      </c>
      <c r="L793" s="21" t="s">
        <v>2349</v>
      </c>
      <c r="M793" s="21" t="s">
        <v>73</v>
      </c>
      <c r="N793" s="21"/>
    </row>
    <row r="794" spans="1:14" ht="64.05" customHeight="1">
      <c r="A794" s="20" t="s">
        <v>2196</v>
      </c>
      <c r="B794" s="20" t="s">
        <v>29</v>
      </c>
      <c r="C794" s="20" t="s">
        <v>1084</v>
      </c>
      <c r="D794" s="20" t="s">
        <v>1085</v>
      </c>
      <c r="E794" s="20" t="s">
        <v>2350</v>
      </c>
      <c r="F794" s="20">
        <v>1</v>
      </c>
      <c r="G794" s="20" t="s">
        <v>2343</v>
      </c>
      <c r="H794" s="20"/>
      <c r="I794" s="21" t="s">
        <v>2347</v>
      </c>
      <c r="J794" s="21"/>
      <c r="K794" s="21" t="s">
        <v>2348</v>
      </c>
      <c r="L794" s="21" t="s">
        <v>2349</v>
      </c>
      <c r="M794" s="21" t="s">
        <v>73</v>
      </c>
      <c r="N794" s="21"/>
    </row>
    <row r="795" spans="1:14" ht="64.05" customHeight="1">
      <c r="A795" s="20" t="s">
        <v>2196</v>
      </c>
      <c r="B795" s="20" t="s">
        <v>29</v>
      </c>
      <c r="C795" s="20" t="s">
        <v>1084</v>
      </c>
      <c r="D795" s="20" t="s">
        <v>1085</v>
      </c>
      <c r="E795" s="20" t="s">
        <v>2351</v>
      </c>
      <c r="F795" s="20">
        <v>1</v>
      </c>
      <c r="G795" s="20" t="s">
        <v>2343</v>
      </c>
      <c r="H795" s="20"/>
      <c r="I795" s="21" t="s">
        <v>2347</v>
      </c>
      <c r="J795" s="21"/>
      <c r="K795" s="21" t="s">
        <v>2348</v>
      </c>
      <c r="L795" s="21" t="s">
        <v>2349</v>
      </c>
      <c r="M795" s="21" t="s">
        <v>73</v>
      </c>
      <c r="N795" s="21"/>
    </row>
    <row r="796" spans="1:14" ht="64.05" customHeight="1">
      <c r="A796" s="20" t="s">
        <v>2196</v>
      </c>
      <c r="B796" s="20" t="s">
        <v>29</v>
      </c>
      <c r="C796" s="20" t="s">
        <v>1084</v>
      </c>
      <c r="D796" s="20" t="s">
        <v>1085</v>
      </c>
      <c r="E796" s="20" t="s">
        <v>2352</v>
      </c>
      <c r="F796" s="20">
        <v>1</v>
      </c>
      <c r="G796" s="20" t="s">
        <v>2343</v>
      </c>
      <c r="H796" s="20"/>
      <c r="I796" s="21" t="s">
        <v>2347</v>
      </c>
      <c r="J796" s="21"/>
      <c r="K796" s="21" t="s">
        <v>2348</v>
      </c>
      <c r="L796" s="21" t="s">
        <v>2349</v>
      </c>
      <c r="M796" s="21" t="s">
        <v>73</v>
      </c>
      <c r="N796" s="21"/>
    </row>
    <row r="797" spans="1:14" ht="64.05" customHeight="1">
      <c r="A797" s="20" t="s">
        <v>2196</v>
      </c>
      <c r="B797" s="20" t="s">
        <v>29</v>
      </c>
      <c r="C797" s="20" t="s">
        <v>1084</v>
      </c>
      <c r="D797" s="20" t="s">
        <v>1085</v>
      </c>
      <c r="E797" s="20" t="s">
        <v>2353</v>
      </c>
      <c r="F797" s="20">
        <v>1</v>
      </c>
      <c r="G797" s="20" t="s">
        <v>2343</v>
      </c>
      <c r="H797" s="20"/>
      <c r="I797" s="21" t="s">
        <v>2347</v>
      </c>
      <c r="J797" s="21"/>
      <c r="K797" s="21" t="s">
        <v>2348</v>
      </c>
      <c r="L797" s="21" t="s">
        <v>2349</v>
      </c>
      <c r="M797" s="21" t="s">
        <v>73</v>
      </c>
      <c r="N797" s="21"/>
    </row>
    <row r="798" spans="1:14" ht="64.05" customHeight="1">
      <c r="A798" s="20" t="s">
        <v>2196</v>
      </c>
      <c r="B798" s="20" t="s">
        <v>29</v>
      </c>
      <c r="C798" s="20" t="s">
        <v>1084</v>
      </c>
      <c r="D798" s="20" t="s">
        <v>1085</v>
      </c>
      <c r="E798" s="20" t="s">
        <v>2354</v>
      </c>
      <c r="F798" s="20">
        <v>1</v>
      </c>
      <c r="G798" s="20" t="s">
        <v>2343</v>
      </c>
      <c r="H798" s="20"/>
      <c r="I798" s="21" t="s">
        <v>2347</v>
      </c>
      <c r="J798" s="21"/>
      <c r="K798" s="21" t="s">
        <v>2348</v>
      </c>
      <c r="L798" s="21" t="s">
        <v>2349</v>
      </c>
      <c r="M798" s="21" t="s">
        <v>73</v>
      </c>
      <c r="N798" s="21"/>
    </row>
    <row r="799" spans="1:14" ht="64.05" customHeight="1">
      <c r="A799" s="20" t="s">
        <v>2196</v>
      </c>
      <c r="B799" s="20" t="s">
        <v>29</v>
      </c>
      <c r="C799" s="20" t="s">
        <v>1084</v>
      </c>
      <c r="D799" s="20" t="s">
        <v>1085</v>
      </c>
      <c r="E799" s="20" t="s">
        <v>2355</v>
      </c>
      <c r="F799" s="20">
        <v>1</v>
      </c>
      <c r="G799" s="20" t="s">
        <v>2343</v>
      </c>
      <c r="H799" s="20"/>
      <c r="I799" s="21" t="s">
        <v>2347</v>
      </c>
      <c r="J799" s="21"/>
      <c r="K799" s="21" t="s">
        <v>2348</v>
      </c>
      <c r="L799" s="21" t="s">
        <v>2349</v>
      </c>
      <c r="M799" s="21" t="s">
        <v>73</v>
      </c>
      <c r="N799" s="21"/>
    </row>
    <row r="800" spans="1:14" ht="64.05" customHeight="1">
      <c r="A800" s="20" t="s">
        <v>2196</v>
      </c>
      <c r="B800" s="20" t="s">
        <v>29</v>
      </c>
      <c r="C800" s="20" t="s">
        <v>1084</v>
      </c>
      <c r="D800" s="20" t="s">
        <v>1085</v>
      </c>
      <c r="E800" s="20" t="s">
        <v>2356</v>
      </c>
      <c r="F800" s="20">
        <v>1</v>
      </c>
      <c r="G800" s="20" t="s">
        <v>2343</v>
      </c>
      <c r="H800" s="20"/>
      <c r="I800" s="21" t="s">
        <v>2347</v>
      </c>
      <c r="J800" s="21"/>
      <c r="K800" s="21" t="s">
        <v>2348</v>
      </c>
      <c r="L800" s="21" t="s">
        <v>2349</v>
      </c>
      <c r="M800" s="21" t="s">
        <v>73</v>
      </c>
      <c r="N800" s="21"/>
    </row>
    <row r="801" spans="1:14" ht="64.05" customHeight="1">
      <c r="A801" s="20" t="s">
        <v>2196</v>
      </c>
      <c r="B801" s="20" t="s">
        <v>29</v>
      </c>
      <c r="C801" s="20" t="s">
        <v>1084</v>
      </c>
      <c r="D801" s="20" t="s">
        <v>1085</v>
      </c>
      <c r="E801" s="20" t="s">
        <v>2357</v>
      </c>
      <c r="F801" s="20">
        <v>1</v>
      </c>
      <c r="G801" s="20" t="s">
        <v>2343</v>
      </c>
      <c r="H801" s="20"/>
      <c r="I801" s="21" t="s">
        <v>2347</v>
      </c>
      <c r="J801" s="21"/>
      <c r="K801" s="21" t="s">
        <v>2348</v>
      </c>
      <c r="L801" s="21" t="s">
        <v>2349</v>
      </c>
      <c r="M801" s="21" t="s">
        <v>73</v>
      </c>
      <c r="N801" s="21"/>
    </row>
    <row r="802" spans="1:14" ht="64.05" customHeight="1">
      <c r="A802" s="20" t="s">
        <v>2196</v>
      </c>
      <c r="B802" s="20" t="s">
        <v>29</v>
      </c>
      <c r="C802" s="20" t="s">
        <v>1084</v>
      </c>
      <c r="D802" s="20" t="s">
        <v>1085</v>
      </c>
      <c r="E802" s="20" t="s">
        <v>2358</v>
      </c>
      <c r="F802" s="20">
        <v>1</v>
      </c>
      <c r="G802" s="20" t="s">
        <v>2343</v>
      </c>
      <c r="H802" s="20"/>
      <c r="I802" s="21" t="s">
        <v>2347</v>
      </c>
      <c r="J802" s="21"/>
      <c r="K802" s="21" t="s">
        <v>2348</v>
      </c>
      <c r="L802" s="21" t="s">
        <v>2349</v>
      </c>
      <c r="M802" s="21" t="s">
        <v>73</v>
      </c>
      <c r="N802" s="21"/>
    </row>
    <row r="803" spans="1:14" ht="64.05" customHeight="1">
      <c r="A803" s="20" t="s">
        <v>2196</v>
      </c>
      <c r="B803" s="20" t="s">
        <v>29</v>
      </c>
      <c r="C803" s="20" t="s">
        <v>1084</v>
      </c>
      <c r="D803" s="20" t="s">
        <v>1085</v>
      </c>
      <c r="E803" s="20" t="s">
        <v>2359</v>
      </c>
      <c r="F803" s="20">
        <v>1</v>
      </c>
      <c r="G803" s="20" t="s">
        <v>2343</v>
      </c>
      <c r="H803" s="20"/>
      <c r="I803" s="21" t="s">
        <v>2347</v>
      </c>
      <c r="J803" s="21"/>
      <c r="K803" s="21" t="s">
        <v>2348</v>
      </c>
      <c r="L803" s="21" t="s">
        <v>2349</v>
      </c>
      <c r="M803" s="21" t="s">
        <v>73</v>
      </c>
      <c r="N803" s="21"/>
    </row>
    <row r="804" spans="1:14" ht="64.05" customHeight="1">
      <c r="A804" s="20" t="s">
        <v>2196</v>
      </c>
      <c r="B804" s="20" t="s">
        <v>29</v>
      </c>
      <c r="C804" s="20" t="s">
        <v>1084</v>
      </c>
      <c r="D804" s="20" t="s">
        <v>1085</v>
      </c>
      <c r="E804" s="20" t="s">
        <v>2360</v>
      </c>
      <c r="F804" s="20">
        <v>1</v>
      </c>
      <c r="G804" s="20" t="s">
        <v>2343</v>
      </c>
      <c r="H804" s="20"/>
      <c r="I804" s="21" t="s">
        <v>2347</v>
      </c>
      <c r="J804" s="21"/>
      <c r="K804" s="21" t="s">
        <v>2348</v>
      </c>
      <c r="L804" s="21" t="s">
        <v>2349</v>
      </c>
      <c r="M804" s="21" t="s">
        <v>73</v>
      </c>
      <c r="N804" s="21"/>
    </row>
    <row r="805" spans="1:14" ht="64.05" customHeight="1">
      <c r="A805" s="20" t="s">
        <v>2196</v>
      </c>
      <c r="B805" s="20" t="s">
        <v>29</v>
      </c>
      <c r="C805" s="20" t="s">
        <v>1084</v>
      </c>
      <c r="D805" s="20" t="s">
        <v>1085</v>
      </c>
      <c r="E805" s="20" t="s">
        <v>2361</v>
      </c>
      <c r="F805" s="20">
        <v>1</v>
      </c>
      <c r="G805" s="20" t="s">
        <v>92</v>
      </c>
      <c r="H805" s="20"/>
      <c r="I805" s="21" t="s">
        <v>2362</v>
      </c>
      <c r="J805" s="21"/>
      <c r="K805" s="21" t="s">
        <v>2363</v>
      </c>
      <c r="L805" s="21" t="s">
        <v>2364</v>
      </c>
      <c r="M805" s="21" t="s">
        <v>102</v>
      </c>
      <c r="N805" s="21"/>
    </row>
    <row r="806" spans="1:14" ht="64.05" customHeight="1">
      <c r="A806" s="20" t="s">
        <v>2365</v>
      </c>
      <c r="B806" s="20" t="s">
        <v>20</v>
      </c>
      <c r="C806" s="20" t="s">
        <v>55</v>
      </c>
      <c r="D806" s="20" t="s">
        <v>56</v>
      </c>
      <c r="E806" s="20" t="s">
        <v>2366</v>
      </c>
      <c r="F806" s="20">
        <v>1</v>
      </c>
      <c r="G806" s="20" t="s">
        <v>58</v>
      </c>
      <c r="H806" s="20" t="s">
        <v>1110</v>
      </c>
      <c r="I806" s="21" t="s">
        <v>112</v>
      </c>
      <c r="J806" s="21"/>
      <c r="K806" s="21" t="s">
        <v>109</v>
      </c>
      <c r="L806" s="21" t="s">
        <v>2367</v>
      </c>
      <c r="M806" s="21" t="s">
        <v>73</v>
      </c>
      <c r="N806" s="21"/>
    </row>
    <row r="807" spans="1:14" ht="64.05" customHeight="1">
      <c r="A807" s="20" t="s">
        <v>2365</v>
      </c>
      <c r="B807" s="20" t="s">
        <v>20</v>
      </c>
      <c r="C807" s="20" t="s">
        <v>55</v>
      </c>
      <c r="D807" s="20" t="s">
        <v>56</v>
      </c>
      <c r="E807" s="20" t="s">
        <v>2368</v>
      </c>
      <c r="F807" s="20">
        <v>1</v>
      </c>
      <c r="G807" s="20" t="s">
        <v>58</v>
      </c>
      <c r="H807" s="20" t="s">
        <v>1110</v>
      </c>
      <c r="I807" s="21" t="s">
        <v>112</v>
      </c>
      <c r="J807" s="21"/>
      <c r="K807" s="21" t="s">
        <v>109</v>
      </c>
      <c r="L807" s="21" t="s">
        <v>2367</v>
      </c>
      <c r="M807" s="21" t="s">
        <v>73</v>
      </c>
      <c r="N807" s="21"/>
    </row>
    <row r="808" spans="1:14" ht="64.05" customHeight="1">
      <c r="A808" s="20" t="s">
        <v>2365</v>
      </c>
      <c r="B808" s="20" t="s">
        <v>20</v>
      </c>
      <c r="C808" s="20" t="s">
        <v>65</v>
      </c>
      <c r="D808" s="20" t="s">
        <v>66</v>
      </c>
      <c r="E808" s="20" t="s">
        <v>2369</v>
      </c>
      <c r="F808" s="20">
        <v>1</v>
      </c>
      <c r="G808" s="20" t="s">
        <v>92</v>
      </c>
      <c r="H808" s="20"/>
      <c r="I808" s="21" t="s">
        <v>2370</v>
      </c>
      <c r="J808" s="21"/>
      <c r="K808" s="21" t="s">
        <v>2371</v>
      </c>
      <c r="L808" s="21" t="s">
        <v>2372</v>
      </c>
      <c r="M808" s="21" t="s">
        <v>73</v>
      </c>
      <c r="N808" s="21"/>
    </row>
    <row r="809" spans="1:14" ht="64.05" customHeight="1">
      <c r="A809" s="20" t="s">
        <v>2365</v>
      </c>
      <c r="B809" s="20" t="s">
        <v>20</v>
      </c>
      <c r="C809" s="20" t="s">
        <v>65</v>
      </c>
      <c r="D809" s="20" t="s">
        <v>66</v>
      </c>
      <c r="E809" s="20" t="s">
        <v>2373</v>
      </c>
      <c r="F809" s="20">
        <v>1</v>
      </c>
      <c r="G809" s="20" t="s">
        <v>1887</v>
      </c>
      <c r="H809" s="20"/>
      <c r="I809" s="21" t="s">
        <v>140</v>
      </c>
      <c r="J809" s="21"/>
      <c r="K809" s="21" t="s">
        <v>2347</v>
      </c>
      <c r="L809" s="21" t="s">
        <v>2374</v>
      </c>
      <c r="M809" s="21" t="s">
        <v>73</v>
      </c>
      <c r="N809" s="21"/>
    </row>
    <row r="810" spans="1:14" ht="64.05" customHeight="1">
      <c r="A810" s="20" t="s">
        <v>2365</v>
      </c>
      <c r="B810" s="20" t="s">
        <v>20</v>
      </c>
      <c r="C810" s="20" t="s">
        <v>65</v>
      </c>
      <c r="D810" s="20" t="s">
        <v>66</v>
      </c>
      <c r="E810" s="20" t="s">
        <v>2375</v>
      </c>
      <c r="F810" s="20">
        <v>1</v>
      </c>
      <c r="G810" s="20" t="s">
        <v>1887</v>
      </c>
      <c r="H810" s="20"/>
      <c r="I810" s="21" t="s">
        <v>140</v>
      </c>
      <c r="J810" s="21"/>
      <c r="K810" s="21" t="s">
        <v>2347</v>
      </c>
      <c r="L810" s="21" t="s">
        <v>2374</v>
      </c>
      <c r="M810" s="21" t="s">
        <v>73</v>
      </c>
      <c r="N810" s="21"/>
    </row>
    <row r="811" spans="1:14" ht="64.05" customHeight="1">
      <c r="A811" s="20" t="s">
        <v>2365</v>
      </c>
      <c r="B811" s="20" t="s">
        <v>22</v>
      </c>
      <c r="C811" s="20" t="s">
        <v>779</v>
      </c>
      <c r="D811" s="20" t="s">
        <v>780</v>
      </c>
      <c r="E811" s="20" t="s">
        <v>2376</v>
      </c>
      <c r="F811" s="20">
        <v>1</v>
      </c>
      <c r="G811" s="20" t="s">
        <v>2377</v>
      </c>
      <c r="H811" s="20" t="s">
        <v>1085</v>
      </c>
      <c r="I811" s="21" t="s">
        <v>2378</v>
      </c>
      <c r="J811" s="21"/>
      <c r="K811" s="21" t="s">
        <v>109</v>
      </c>
      <c r="L811" s="21" t="s">
        <v>2379</v>
      </c>
      <c r="M811" s="21" t="s">
        <v>62</v>
      </c>
      <c r="N811" s="21" t="s">
        <v>712</v>
      </c>
    </row>
    <row r="812" spans="1:14" ht="64.05" customHeight="1">
      <c r="A812" s="20" t="s">
        <v>2365</v>
      </c>
      <c r="B812" s="20" t="s">
        <v>22</v>
      </c>
      <c r="C812" s="20" t="s">
        <v>779</v>
      </c>
      <c r="D812" s="20" t="s">
        <v>780</v>
      </c>
      <c r="E812" s="20" t="s">
        <v>2380</v>
      </c>
      <c r="F812" s="20">
        <v>1</v>
      </c>
      <c r="G812" s="20" t="s">
        <v>2377</v>
      </c>
      <c r="H812" s="20" t="s">
        <v>1085</v>
      </c>
      <c r="I812" s="21" t="s">
        <v>2378</v>
      </c>
      <c r="J812" s="21"/>
      <c r="K812" s="21" t="s">
        <v>109</v>
      </c>
      <c r="L812" s="21" t="s">
        <v>2379</v>
      </c>
      <c r="M812" s="21" t="s">
        <v>62</v>
      </c>
      <c r="N812" s="21" t="s">
        <v>712</v>
      </c>
    </row>
    <row r="813" spans="1:14" ht="64.05" customHeight="1">
      <c r="A813" s="20" t="s">
        <v>2365</v>
      </c>
      <c r="B813" s="20" t="s">
        <v>22</v>
      </c>
      <c r="C813" s="20" t="s">
        <v>779</v>
      </c>
      <c r="D813" s="20" t="s">
        <v>780</v>
      </c>
      <c r="E813" s="20" t="s">
        <v>2381</v>
      </c>
      <c r="F813" s="20">
        <v>1</v>
      </c>
      <c r="G813" s="20" t="s">
        <v>2377</v>
      </c>
      <c r="H813" s="20" t="s">
        <v>1085</v>
      </c>
      <c r="I813" s="21" t="s">
        <v>2378</v>
      </c>
      <c r="J813" s="21"/>
      <c r="K813" s="21" t="s">
        <v>109</v>
      </c>
      <c r="L813" s="21" t="s">
        <v>2379</v>
      </c>
      <c r="M813" s="21" t="s">
        <v>62</v>
      </c>
      <c r="N813" s="21" t="s">
        <v>712</v>
      </c>
    </row>
    <row r="814" spans="1:14" ht="64.05" customHeight="1">
      <c r="A814" s="20" t="s">
        <v>2365</v>
      </c>
      <c r="B814" s="20" t="s">
        <v>22</v>
      </c>
      <c r="C814" s="20" t="s">
        <v>779</v>
      </c>
      <c r="D814" s="20" t="s">
        <v>780</v>
      </c>
      <c r="E814" s="20" t="s">
        <v>2382</v>
      </c>
      <c r="F814" s="20">
        <v>1</v>
      </c>
      <c r="G814" s="20" t="s">
        <v>2377</v>
      </c>
      <c r="H814" s="20" t="s">
        <v>1085</v>
      </c>
      <c r="I814" s="21" t="s">
        <v>2378</v>
      </c>
      <c r="J814" s="21"/>
      <c r="K814" s="21" t="s">
        <v>109</v>
      </c>
      <c r="L814" s="21" t="s">
        <v>2379</v>
      </c>
      <c r="M814" s="21" t="s">
        <v>62</v>
      </c>
      <c r="N814" s="21" t="s">
        <v>712</v>
      </c>
    </row>
    <row r="815" spans="1:14" ht="64.05" customHeight="1">
      <c r="A815" s="20" t="s">
        <v>2365</v>
      </c>
      <c r="B815" s="20" t="s">
        <v>22</v>
      </c>
      <c r="C815" s="20" t="s">
        <v>779</v>
      </c>
      <c r="D815" s="20" t="s">
        <v>780</v>
      </c>
      <c r="E815" s="20" t="s">
        <v>2383</v>
      </c>
      <c r="F815" s="20">
        <v>1</v>
      </c>
      <c r="G815" s="20" t="s">
        <v>2377</v>
      </c>
      <c r="H815" s="20" t="s">
        <v>1085</v>
      </c>
      <c r="I815" s="21" t="s">
        <v>2378</v>
      </c>
      <c r="J815" s="21"/>
      <c r="K815" s="21" t="s">
        <v>109</v>
      </c>
      <c r="L815" s="21" t="s">
        <v>2379</v>
      </c>
      <c r="M815" s="21" t="s">
        <v>62</v>
      </c>
      <c r="N815" s="21" t="s">
        <v>712</v>
      </c>
    </row>
    <row r="816" spans="1:14" ht="64.05" customHeight="1">
      <c r="A816" s="20" t="s">
        <v>2365</v>
      </c>
      <c r="B816" s="20" t="s">
        <v>22</v>
      </c>
      <c r="C816" s="20" t="s">
        <v>779</v>
      </c>
      <c r="D816" s="20" t="s">
        <v>780</v>
      </c>
      <c r="E816" s="20" t="s">
        <v>2384</v>
      </c>
      <c r="F816" s="20">
        <v>1</v>
      </c>
      <c r="G816" s="20" t="s">
        <v>2377</v>
      </c>
      <c r="H816" s="20" t="s">
        <v>1085</v>
      </c>
      <c r="I816" s="21" t="s">
        <v>2378</v>
      </c>
      <c r="J816" s="21"/>
      <c r="K816" s="21" t="s">
        <v>109</v>
      </c>
      <c r="L816" s="21" t="s">
        <v>2379</v>
      </c>
      <c r="M816" s="21" t="s">
        <v>62</v>
      </c>
      <c r="N816" s="21" t="s">
        <v>712</v>
      </c>
    </row>
    <row r="817" spans="1:14" ht="64.05" customHeight="1">
      <c r="A817" s="20" t="s">
        <v>2365</v>
      </c>
      <c r="B817" s="20" t="s">
        <v>22</v>
      </c>
      <c r="C817" s="20" t="s">
        <v>779</v>
      </c>
      <c r="D817" s="20" t="s">
        <v>780</v>
      </c>
      <c r="E817" s="20" t="s">
        <v>2385</v>
      </c>
      <c r="F817" s="20">
        <v>1</v>
      </c>
      <c r="G817" s="20" t="s">
        <v>2377</v>
      </c>
      <c r="H817" s="20" t="s">
        <v>1085</v>
      </c>
      <c r="I817" s="21" t="s">
        <v>406</v>
      </c>
      <c r="J817" s="21"/>
      <c r="K817" s="21" t="s">
        <v>406</v>
      </c>
      <c r="L817" s="21" t="s">
        <v>2386</v>
      </c>
      <c r="M817" s="21" t="s">
        <v>62</v>
      </c>
      <c r="N817" s="21" t="s">
        <v>712</v>
      </c>
    </row>
    <row r="818" spans="1:14" ht="64.05" customHeight="1">
      <c r="A818" s="20" t="s">
        <v>2365</v>
      </c>
      <c r="B818" s="20" t="s">
        <v>22</v>
      </c>
      <c r="C818" s="20" t="s">
        <v>779</v>
      </c>
      <c r="D818" s="20" t="s">
        <v>780</v>
      </c>
      <c r="E818" s="20" t="s">
        <v>2387</v>
      </c>
      <c r="F818" s="20">
        <v>1</v>
      </c>
      <c r="G818" s="20" t="s">
        <v>2377</v>
      </c>
      <c r="H818" s="20" t="s">
        <v>1085</v>
      </c>
      <c r="I818" s="21" t="s">
        <v>406</v>
      </c>
      <c r="J818" s="21"/>
      <c r="K818" s="21" t="s">
        <v>406</v>
      </c>
      <c r="L818" s="21" t="s">
        <v>2388</v>
      </c>
      <c r="M818" s="21" t="s">
        <v>62</v>
      </c>
      <c r="N818" s="21" t="s">
        <v>712</v>
      </c>
    </row>
    <row r="819" spans="1:14" ht="64.05" customHeight="1">
      <c r="A819" s="20" t="s">
        <v>2365</v>
      </c>
      <c r="B819" s="20" t="s">
        <v>22</v>
      </c>
      <c r="C819" s="20" t="s">
        <v>779</v>
      </c>
      <c r="D819" s="20" t="s">
        <v>780</v>
      </c>
      <c r="E819" s="20" t="s">
        <v>2389</v>
      </c>
      <c r="F819" s="20">
        <v>1</v>
      </c>
      <c r="G819" s="20" t="s">
        <v>2377</v>
      </c>
      <c r="H819" s="20" t="s">
        <v>1085</v>
      </c>
      <c r="I819" s="21" t="s">
        <v>406</v>
      </c>
      <c r="J819" s="21"/>
      <c r="K819" s="21" t="s">
        <v>406</v>
      </c>
      <c r="L819" s="21" t="s">
        <v>2388</v>
      </c>
      <c r="M819" s="21" t="s">
        <v>62</v>
      </c>
      <c r="N819" s="21" t="s">
        <v>712</v>
      </c>
    </row>
    <row r="820" spans="1:14" ht="64.05" customHeight="1">
      <c r="A820" s="20" t="s">
        <v>2365</v>
      </c>
      <c r="B820" s="20" t="s">
        <v>22</v>
      </c>
      <c r="C820" s="20" t="s">
        <v>779</v>
      </c>
      <c r="D820" s="20" t="s">
        <v>780</v>
      </c>
      <c r="E820" s="20" t="s">
        <v>2390</v>
      </c>
      <c r="F820" s="20">
        <v>1</v>
      </c>
      <c r="G820" s="20" t="s">
        <v>2377</v>
      </c>
      <c r="H820" s="20" t="s">
        <v>1085</v>
      </c>
      <c r="I820" s="21" t="s">
        <v>406</v>
      </c>
      <c r="J820" s="21"/>
      <c r="K820" s="21" t="s">
        <v>406</v>
      </c>
      <c r="L820" s="21" t="s">
        <v>2388</v>
      </c>
      <c r="M820" s="21" t="s">
        <v>62</v>
      </c>
      <c r="N820" s="21" t="s">
        <v>712</v>
      </c>
    </row>
    <row r="821" spans="1:14" ht="64.05" customHeight="1">
      <c r="A821" s="20" t="s">
        <v>2365</v>
      </c>
      <c r="B821" s="20" t="s">
        <v>22</v>
      </c>
      <c r="C821" s="20" t="s">
        <v>1149</v>
      </c>
      <c r="D821" s="20" t="s">
        <v>1150</v>
      </c>
      <c r="E821" s="20" t="s">
        <v>2391</v>
      </c>
      <c r="F821" s="20">
        <v>1</v>
      </c>
      <c r="G821" s="20" t="s">
        <v>589</v>
      </c>
      <c r="H821" s="20" t="s">
        <v>2145</v>
      </c>
      <c r="I821" s="21" t="s">
        <v>2392</v>
      </c>
      <c r="J821" s="21"/>
      <c r="K821" s="21" t="s">
        <v>109</v>
      </c>
      <c r="L821" s="21" t="s">
        <v>2393</v>
      </c>
      <c r="M821" s="21" t="s">
        <v>73</v>
      </c>
      <c r="N821" s="21"/>
    </row>
    <row r="822" spans="1:14" ht="64.05" customHeight="1">
      <c r="A822" s="20" t="s">
        <v>2365</v>
      </c>
      <c r="B822" s="20" t="s">
        <v>22</v>
      </c>
      <c r="C822" s="20" t="s">
        <v>1149</v>
      </c>
      <c r="D822" s="20" t="s">
        <v>1150</v>
      </c>
      <c r="E822" s="20" t="s">
        <v>2394</v>
      </c>
      <c r="F822" s="20">
        <v>1</v>
      </c>
      <c r="G822" s="20" t="s">
        <v>589</v>
      </c>
      <c r="H822" s="20" t="s">
        <v>2145</v>
      </c>
      <c r="I822" s="21" t="s">
        <v>2392</v>
      </c>
      <c r="J822" s="21"/>
      <c r="K822" s="21" t="s">
        <v>109</v>
      </c>
      <c r="L822" s="21" t="s">
        <v>2393</v>
      </c>
      <c r="M822" s="21" t="s">
        <v>73</v>
      </c>
      <c r="N822" s="21"/>
    </row>
    <row r="823" spans="1:14" ht="64.05" customHeight="1">
      <c r="A823" s="20" t="s">
        <v>2365</v>
      </c>
      <c r="B823" s="20" t="s">
        <v>23</v>
      </c>
      <c r="C823" s="20" t="s">
        <v>103</v>
      </c>
      <c r="D823" s="20" t="s">
        <v>104</v>
      </c>
      <c r="E823" s="20" t="s">
        <v>2395</v>
      </c>
      <c r="F823" s="20">
        <v>1</v>
      </c>
      <c r="G823" s="20" t="s">
        <v>2396</v>
      </c>
      <c r="H823" s="20" t="s">
        <v>2397</v>
      </c>
      <c r="I823" s="21" t="s">
        <v>2398</v>
      </c>
      <c r="J823" s="21"/>
      <c r="K823" s="21" t="s">
        <v>1371</v>
      </c>
      <c r="L823" s="21" t="s">
        <v>2399</v>
      </c>
      <c r="M823" s="21" t="s">
        <v>62</v>
      </c>
      <c r="N823" s="21" t="s">
        <v>130</v>
      </c>
    </row>
    <row r="824" spans="1:14" ht="64.05" customHeight="1">
      <c r="A824" s="20" t="s">
        <v>2365</v>
      </c>
      <c r="B824" s="20" t="s">
        <v>23</v>
      </c>
      <c r="C824" s="20" t="s">
        <v>103</v>
      </c>
      <c r="D824" s="20" t="s">
        <v>104</v>
      </c>
      <c r="E824" s="20" t="s">
        <v>2400</v>
      </c>
      <c r="F824" s="20">
        <v>1</v>
      </c>
      <c r="G824" s="20" t="s">
        <v>2396</v>
      </c>
      <c r="H824" s="20" t="s">
        <v>2397</v>
      </c>
      <c r="I824" s="21" t="s">
        <v>2398</v>
      </c>
      <c r="J824" s="21"/>
      <c r="K824" s="21" t="s">
        <v>1371</v>
      </c>
      <c r="L824" s="21" t="s">
        <v>2401</v>
      </c>
      <c r="M824" s="21" t="s">
        <v>62</v>
      </c>
      <c r="N824" s="21" t="s">
        <v>130</v>
      </c>
    </row>
    <row r="825" spans="1:14" ht="64.05" customHeight="1">
      <c r="A825" s="20" t="s">
        <v>2365</v>
      </c>
      <c r="B825" s="20" t="s">
        <v>23</v>
      </c>
      <c r="C825" s="20" t="s">
        <v>103</v>
      </c>
      <c r="D825" s="20" t="s">
        <v>104</v>
      </c>
      <c r="E825" s="20" t="s">
        <v>2402</v>
      </c>
      <c r="F825" s="20">
        <v>1</v>
      </c>
      <c r="G825" s="20" t="s">
        <v>2403</v>
      </c>
      <c r="H825" s="20" t="s">
        <v>2404</v>
      </c>
      <c r="I825" s="21" t="s">
        <v>406</v>
      </c>
      <c r="J825" s="21"/>
      <c r="K825" s="21" t="s">
        <v>406</v>
      </c>
      <c r="L825" s="21" t="s">
        <v>2405</v>
      </c>
      <c r="M825" s="21" t="s">
        <v>62</v>
      </c>
      <c r="N825" s="21" t="s">
        <v>130</v>
      </c>
    </row>
    <row r="826" spans="1:14" ht="64.05" customHeight="1">
      <c r="A826" s="20" t="s">
        <v>2365</v>
      </c>
      <c r="B826" s="20" t="s">
        <v>23</v>
      </c>
      <c r="C826" s="20" t="s">
        <v>103</v>
      </c>
      <c r="D826" s="20" t="s">
        <v>104</v>
      </c>
      <c r="E826" s="20" t="s">
        <v>2406</v>
      </c>
      <c r="F826" s="20">
        <v>1</v>
      </c>
      <c r="G826" s="20" t="s">
        <v>2396</v>
      </c>
      <c r="H826" s="20" t="s">
        <v>2397</v>
      </c>
      <c r="I826" s="21" t="s">
        <v>2407</v>
      </c>
      <c r="J826" s="21"/>
      <c r="K826" s="21" t="s">
        <v>109</v>
      </c>
      <c r="L826" s="21" t="s">
        <v>2401</v>
      </c>
      <c r="M826" s="21" t="s">
        <v>62</v>
      </c>
      <c r="N826" s="21" t="s">
        <v>130</v>
      </c>
    </row>
    <row r="827" spans="1:14" ht="64.05" customHeight="1">
      <c r="A827" s="20" t="s">
        <v>2365</v>
      </c>
      <c r="B827" s="20" t="s">
        <v>23</v>
      </c>
      <c r="C827" s="20" t="s">
        <v>103</v>
      </c>
      <c r="D827" s="20" t="s">
        <v>104</v>
      </c>
      <c r="E827" s="20" t="s">
        <v>2408</v>
      </c>
      <c r="F827" s="20">
        <v>1</v>
      </c>
      <c r="G827" s="20" t="s">
        <v>2396</v>
      </c>
      <c r="H827" s="20" t="s">
        <v>2397</v>
      </c>
      <c r="I827" s="21" t="s">
        <v>2407</v>
      </c>
      <c r="J827" s="21"/>
      <c r="K827" s="21" t="s">
        <v>109</v>
      </c>
      <c r="L827" s="21" t="s">
        <v>2401</v>
      </c>
      <c r="M827" s="21" t="s">
        <v>62</v>
      </c>
      <c r="N827" s="21" t="s">
        <v>130</v>
      </c>
    </row>
    <row r="828" spans="1:14" ht="64.05" customHeight="1">
      <c r="A828" s="20" t="s">
        <v>2365</v>
      </c>
      <c r="B828" s="20" t="s">
        <v>23</v>
      </c>
      <c r="C828" s="20" t="s">
        <v>103</v>
      </c>
      <c r="D828" s="20" t="s">
        <v>104</v>
      </c>
      <c r="E828" s="20" t="s">
        <v>2409</v>
      </c>
      <c r="F828" s="20">
        <v>1</v>
      </c>
      <c r="G828" s="20" t="s">
        <v>2249</v>
      </c>
      <c r="H828" s="20" t="s">
        <v>1606</v>
      </c>
      <c r="I828" s="21" t="s">
        <v>2410</v>
      </c>
      <c r="J828" s="21"/>
      <c r="K828" s="21" t="s">
        <v>2411</v>
      </c>
      <c r="L828" s="21" t="s">
        <v>2412</v>
      </c>
      <c r="M828" s="21" t="s">
        <v>62</v>
      </c>
      <c r="N828" s="21" t="s">
        <v>2126</v>
      </c>
    </row>
    <row r="829" spans="1:14" ht="64.05" customHeight="1">
      <c r="A829" s="20" t="s">
        <v>2365</v>
      </c>
      <c r="B829" s="20" t="s">
        <v>23</v>
      </c>
      <c r="C829" s="20" t="s">
        <v>103</v>
      </c>
      <c r="D829" s="20" t="s">
        <v>104</v>
      </c>
      <c r="E829" s="20" t="s">
        <v>2413</v>
      </c>
      <c r="F829" s="20">
        <v>1</v>
      </c>
      <c r="G829" s="20" t="s">
        <v>92</v>
      </c>
      <c r="H829" s="20"/>
      <c r="I829" s="21" t="s">
        <v>2414</v>
      </c>
      <c r="J829" s="21" t="s">
        <v>446</v>
      </c>
      <c r="K829" s="21" t="s">
        <v>109</v>
      </c>
      <c r="L829" s="21" t="s">
        <v>2415</v>
      </c>
      <c r="M829" s="21" t="s">
        <v>102</v>
      </c>
      <c r="N829" s="21"/>
    </row>
    <row r="830" spans="1:14" ht="64.05" customHeight="1">
      <c r="A830" s="20" t="s">
        <v>2365</v>
      </c>
      <c r="B830" s="20" t="s">
        <v>25</v>
      </c>
      <c r="C830" s="20" t="s">
        <v>115</v>
      </c>
      <c r="D830" s="20" t="s">
        <v>116</v>
      </c>
      <c r="E830" s="20" t="s">
        <v>2416</v>
      </c>
      <c r="F830" s="20">
        <v>1</v>
      </c>
      <c r="G830" s="20" t="s">
        <v>2219</v>
      </c>
      <c r="H830" s="20" t="s">
        <v>409</v>
      </c>
      <c r="I830" s="21" t="s">
        <v>415</v>
      </c>
      <c r="J830" s="21"/>
      <c r="K830" s="21" t="s">
        <v>109</v>
      </c>
      <c r="L830" s="21" t="s">
        <v>2417</v>
      </c>
      <c r="M830" s="21" t="s">
        <v>73</v>
      </c>
      <c r="N830" s="21"/>
    </row>
    <row r="831" spans="1:14" ht="64.05" customHeight="1">
      <c r="A831" s="20" t="s">
        <v>2365</v>
      </c>
      <c r="B831" s="20" t="s">
        <v>25</v>
      </c>
      <c r="C831" s="20" t="s">
        <v>115</v>
      </c>
      <c r="D831" s="20" t="s">
        <v>116</v>
      </c>
      <c r="E831" s="20" t="s">
        <v>2418</v>
      </c>
      <c r="F831" s="20">
        <v>1</v>
      </c>
      <c r="G831" s="20" t="s">
        <v>2219</v>
      </c>
      <c r="H831" s="20" t="s">
        <v>409</v>
      </c>
      <c r="I831" s="21" t="s">
        <v>415</v>
      </c>
      <c r="J831" s="21"/>
      <c r="K831" s="21" t="s">
        <v>109</v>
      </c>
      <c r="L831" s="21" t="s">
        <v>2419</v>
      </c>
      <c r="M831" s="21" t="s">
        <v>73</v>
      </c>
      <c r="N831" s="21"/>
    </row>
    <row r="832" spans="1:14" ht="64.05" customHeight="1">
      <c r="A832" s="20" t="s">
        <v>2365</v>
      </c>
      <c r="B832" s="20" t="s">
        <v>25</v>
      </c>
      <c r="C832" s="20" t="s">
        <v>131</v>
      </c>
      <c r="D832" s="20" t="s">
        <v>132</v>
      </c>
      <c r="E832" s="20" t="s">
        <v>2420</v>
      </c>
      <c r="F832" s="20">
        <v>1</v>
      </c>
      <c r="G832" s="20" t="s">
        <v>139</v>
      </c>
      <c r="H832" s="20"/>
      <c r="I832" s="21" t="s">
        <v>2421</v>
      </c>
      <c r="J832" s="21"/>
      <c r="K832" s="21" t="s">
        <v>109</v>
      </c>
      <c r="L832" s="21" t="s">
        <v>2422</v>
      </c>
      <c r="M832" s="21" t="s">
        <v>62</v>
      </c>
      <c r="N832" s="21" t="s">
        <v>63</v>
      </c>
    </row>
    <row r="833" spans="1:14" ht="64.05" customHeight="1">
      <c r="A833" s="20" t="s">
        <v>2365</v>
      </c>
      <c r="B833" s="20" t="s">
        <v>25</v>
      </c>
      <c r="C833" s="20" t="s">
        <v>131</v>
      </c>
      <c r="D833" s="20" t="s">
        <v>132</v>
      </c>
      <c r="E833" s="20" t="s">
        <v>2423</v>
      </c>
      <c r="F833" s="20">
        <v>1</v>
      </c>
      <c r="G833" s="20" t="s">
        <v>92</v>
      </c>
      <c r="H833" s="20"/>
      <c r="I833" s="21" t="s">
        <v>140</v>
      </c>
      <c r="J833" s="21" t="s">
        <v>99</v>
      </c>
      <c r="K833" s="21" t="s">
        <v>140</v>
      </c>
      <c r="L833" s="21" t="s">
        <v>2424</v>
      </c>
      <c r="M833" s="21" t="s">
        <v>102</v>
      </c>
      <c r="N833" s="21"/>
    </row>
    <row r="834" spans="1:14" ht="64.05" customHeight="1">
      <c r="A834" s="20" t="s">
        <v>2365</v>
      </c>
      <c r="B834" s="20" t="s">
        <v>24</v>
      </c>
      <c r="C834" s="20" t="s">
        <v>426</v>
      </c>
      <c r="D834" s="20" t="s">
        <v>427</v>
      </c>
      <c r="E834" s="20" t="s">
        <v>2425</v>
      </c>
      <c r="F834" s="20">
        <v>1</v>
      </c>
      <c r="G834" s="20" t="s">
        <v>2426</v>
      </c>
      <c r="H834" s="20" t="s">
        <v>2427</v>
      </c>
      <c r="I834" s="21" t="s">
        <v>140</v>
      </c>
      <c r="J834" s="21"/>
      <c r="K834" s="21" t="s">
        <v>109</v>
      </c>
      <c r="L834" s="21" t="s">
        <v>2428</v>
      </c>
      <c r="M834" s="21" t="s">
        <v>62</v>
      </c>
      <c r="N834" s="21" t="s">
        <v>2310</v>
      </c>
    </row>
    <row r="835" spans="1:14" ht="64.05" customHeight="1">
      <c r="A835" s="20" t="s">
        <v>2365</v>
      </c>
      <c r="B835" s="20" t="s">
        <v>24</v>
      </c>
      <c r="C835" s="20" t="s">
        <v>426</v>
      </c>
      <c r="D835" s="20" t="s">
        <v>427</v>
      </c>
      <c r="E835" s="20" t="s">
        <v>2429</v>
      </c>
      <c r="F835" s="20">
        <v>1</v>
      </c>
      <c r="G835" s="20" t="s">
        <v>92</v>
      </c>
      <c r="H835" s="20"/>
      <c r="I835" s="21" t="s">
        <v>406</v>
      </c>
      <c r="J835" s="21"/>
      <c r="K835" s="21"/>
      <c r="L835" s="21" t="s">
        <v>2430</v>
      </c>
      <c r="M835" s="21" t="s">
        <v>102</v>
      </c>
      <c r="N835" s="21"/>
    </row>
    <row r="836" spans="1:14" ht="64.05" customHeight="1">
      <c r="A836" s="20" t="s">
        <v>2365</v>
      </c>
      <c r="B836" s="20" t="s">
        <v>24</v>
      </c>
      <c r="C836" s="20" t="s">
        <v>436</v>
      </c>
      <c r="D836" s="20" t="s">
        <v>437</v>
      </c>
      <c r="E836" s="20" t="s">
        <v>2431</v>
      </c>
      <c r="F836" s="20">
        <v>1</v>
      </c>
      <c r="G836" s="20" t="s">
        <v>2432</v>
      </c>
      <c r="H836" s="20" t="s">
        <v>492</v>
      </c>
      <c r="I836" s="21" t="s">
        <v>2433</v>
      </c>
      <c r="J836" s="21"/>
      <c r="K836" s="21" t="s">
        <v>78</v>
      </c>
      <c r="L836" s="21" t="s">
        <v>2434</v>
      </c>
      <c r="M836" s="21" t="s">
        <v>62</v>
      </c>
      <c r="N836" s="21" t="s">
        <v>130</v>
      </c>
    </row>
    <row r="837" spans="1:14" ht="64.05" customHeight="1">
      <c r="A837" s="20" t="s">
        <v>2365</v>
      </c>
      <c r="B837" s="20" t="s">
        <v>24</v>
      </c>
      <c r="C837" s="20" t="s">
        <v>436</v>
      </c>
      <c r="D837" s="20" t="s">
        <v>437</v>
      </c>
      <c r="E837" s="20" t="s">
        <v>2435</v>
      </c>
      <c r="F837" s="20">
        <v>1</v>
      </c>
      <c r="G837" s="20" t="s">
        <v>2432</v>
      </c>
      <c r="H837" s="20" t="s">
        <v>492</v>
      </c>
      <c r="I837" s="21" t="s">
        <v>2433</v>
      </c>
      <c r="J837" s="21"/>
      <c r="K837" s="21" t="s">
        <v>78</v>
      </c>
      <c r="L837" s="21" t="s">
        <v>2434</v>
      </c>
      <c r="M837" s="21" t="s">
        <v>62</v>
      </c>
      <c r="N837" s="21" t="s">
        <v>130</v>
      </c>
    </row>
    <row r="838" spans="1:14" ht="64.05" customHeight="1">
      <c r="A838" s="20" t="s">
        <v>2365</v>
      </c>
      <c r="B838" s="20" t="s">
        <v>24</v>
      </c>
      <c r="C838" s="20" t="s">
        <v>436</v>
      </c>
      <c r="D838" s="20" t="s">
        <v>437</v>
      </c>
      <c r="E838" s="20" t="s">
        <v>2436</v>
      </c>
      <c r="F838" s="20">
        <v>1</v>
      </c>
      <c r="G838" s="20" t="s">
        <v>589</v>
      </c>
      <c r="H838" s="20" t="s">
        <v>2437</v>
      </c>
      <c r="I838" s="21" t="s">
        <v>2438</v>
      </c>
      <c r="J838" s="21"/>
      <c r="K838" s="21" t="s">
        <v>109</v>
      </c>
      <c r="L838" s="21" t="s">
        <v>2439</v>
      </c>
      <c r="M838" s="21" t="s">
        <v>62</v>
      </c>
      <c r="N838" s="21" t="s">
        <v>63</v>
      </c>
    </row>
    <row r="839" spans="1:14" ht="64.05" customHeight="1">
      <c r="A839" s="20" t="s">
        <v>2365</v>
      </c>
      <c r="B839" s="20" t="s">
        <v>24</v>
      </c>
      <c r="C839" s="20" t="s">
        <v>436</v>
      </c>
      <c r="D839" s="20" t="s">
        <v>437</v>
      </c>
      <c r="E839" s="20" t="s">
        <v>2440</v>
      </c>
      <c r="F839" s="20">
        <v>1</v>
      </c>
      <c r="G839" s="20" t="s">
        <v>589</v>
      </c>
      <c r="H839" s="20" t="s">
        <v>2437</v>
      </c>
      <c r="I839" s="21" t="s">
        <v>2438</v>
      </c>
      <c r="J839" s="21"/>
      <c r="K839" s="21" t="s">
        <v>109</v>
      </c>
      <c r="L839" s="21" t="s">
        <v>2441</v>
      </c>
      <c r="M839" s="21" t="s">
        <v>62</v>
      </c>
      <c r="N839" s="21" t="s">
        <v>63</v>
      </c>
    </row>
    <row r="840" spans="1:14" ht="64.05" customHeight="1">
      <c r="A840" s="20" t="s">
        <v>2365</v>
      </c>
      <c r="B840" s="20" t="s">
        <v>24</v>
      </c>
      <c r="C840" s="20" t="s">
        <v>436</v>
      </c>
      <c r="D840" s="20" t="s">
        <v>437</v>
      </c>
      <c r="E840" s="20" t="s">
        <v>2442</v>
      </c>
      <c r="F840" s="20">
        <v>1</v>
      </c>
      <c r="G840" s="20" t="s">
        <v>589</v>
      </c>
      <c r="H840" s="20" t="s">
        <v>2437</v>
      </c>
      <c r="I840" s="21" t="s">
        <v>2443</v>
      </c>
      <c r="J840" s="21"/>
      <c r="K840" s="21" t="s">
        <v>109</v>
      </c>
      <c r="L840" s="21" t="s">
        <v>2439</v>
      </c>
      <c r="M840" s="21" t="s">
        <v>62</v>
      </c>
      <c r="N840" s="21" t="s">
        <v>63</v>
      </c>
    </row>
    <row r="841" spans="1:14" ht="64.05" customHeight="1">
      <c r="A841" s="20" t="s">
        <v>2365</v>
      </c>
      <c r="B841" s="20" t="s">
        <v>24</v>
      </c>
      <c r="C841" s="20" t="s">
        <v>136</v>
      </c>
      <c r="D841" s="20" t="s">
        <v>674</v>
      </c>
      <c r="E841" s="20" t="s">
        <v>2444</v>
      </c>
      <c r="F841" s="20">
        <v>1</v>
      </c>
      <c r="G841" s="20" t="s">
        <v>139</v>
      </c>
      <c r="H841" s="20"/>
      <c r="I841" s="21" t="s">
        <v>2445</v>
      </c>
      <c r="J841" s="21" t="s">
        <v>446</v>
      </c>
      <c r="K841" s="21" t="s">
        <v>109</v>
      </c>
      <c r="L841" s="21" t="s">
        <v>2446</v>
      </c>
      <c r="M841" s="21" t="s">
        <v>102</v>
      </c>
      <c r="N841" s="21"/>
    </row>
    <row r="842" spans="1:14" ht="64.05" customHeight="1">
      <c r="A842" s="20" t="s">
        <v>2365</v>
      </c>
      <c r="B842" s="20" t="s">
        <v>24</v>
      </c>
      <c r="C842" s="20" t="s">
        <v>443</v>
      </c>
      <c r="D842" s="20" t="s">
        <v>444</v>
      </c>
      <c r="E842" s="20" t="s">
        <v>2447</v>
      </c>
      <c r="F842" s="20">
        <v>1</v>
      </c>
      <c r="G842" s="20" t="s">
        <v>139</v>
      </c>
      <c r="H842" s="20"/>
      <c r="I842" s="21" t="s">
        <v>2448</v>
      </c>
      <c r="J842" s="21"/>
      <c r="K842" s="21" t="s">
        <v>2449</v>
      </c>
      <c r="L842" s="21" t="s">
        <v>2450</v>
      </c>
      <c r="M842" s="21" t="s">
        <v>73</v>
      </c>
      <c r="N842" s="21"/>
    </row>
    <row r="843" spans="1:14" ht="64.05" customHeight="1">
      <c r="A843" s="20" t="s">
        <v>2365</v>
      </c>
      <c r="B843" s="20" t="s">
        <v>24</v>
      </c>
      <c r="C843" s="20" t="s">
        <v>443</v>
      </c>
      <c r="D843" s="20" t="s">
        <v>444</v>
      </c>
      <c r="E843" s="20" t="s">
        <v>2451</v>
      </c>
      <c r="F843" s="20">
        <v>1</v>
      </c>
      <c r="G843" s="20" t="s">
        <v>92</v>
      </c>
      <c r="H843" s="20"/>
      <c r="I843" s="21" t="s">
        <v>2452</v>
      </c>
      <c r="J843" s="21"/>
      <c r="K843" s="21" t="s">
        <v>2453</v>
      </c>
      <c r="L843" s="21" t="s">
        <v>2454</v>
      </c>
      <c r="M843" s="21" t="s">
        <v>73</v>
      </c>
      <c r="N843" s="21"/>
    </row>
    <row r="844" spans="1:14" ht="64.05" customHeight="1">
      <c r="A844" s="20" t="s">
        <v>2365</v>
      </c>
      <c r="B844" s="20" t="s">
        <v>24</v>
      </c>
      <c r="C844" s="20" t="s">
        <v>443</v>
      </c>
      <c r="D844" s="20" t="s">
        <v>444</v>
      </c>
      <c r="E844" s="20" t="s">
        <v>2455</v>
      </c>
      <c r="F844" s="20">
        <v>1</v>
      </c>
      <c r="G844" s="20" t="s">
        <v>92</v>
      </c>
      <c r="H844" s="20"/>
      <c r="I844" s="21" t="s">
        <v>2456</v>
      </c>
      <c r="J844" s="21"/>
      <c r="K844" s="21" t="s">
        <v>2453</v>
      </c>
      <c r="L844" s="21" t="s">
        <v>2454</v>
      </c>
      <c r="M844" s="21" t="s">
        <v>73</v>
      </c>
      <c r="N844" s="21"/>
    </row>
    <row r="845" spans="1:14" ht="64.05" customHeight="1">
      <c r="A845" s="20" t="s">
        <v>2365</v>
      </c>
      <c r="B845" s="20" t="s">
        <v>24</v>
      </c>
      <c r="C845" s="20" t="s">
        <v>443</v>
      </c>
      <c r="D845" s="20" t="s">
        <v>444</v>
      </c>
      <c r="E845" s="20" t="s">
        <v>2457</v>
      </c>
      <c r="F845" s="20">
        <v>1</v>
      </c>
      <c r="G845" s="20" t="s">
        <v>92</v>
      </c>
      <c r="H845" s="20"/>
      <c r="I845" s="21" t="s">
        <v>2458</v>
      </c>
      <c r="J845" s="21"/>
      <c r="K845" s="21" t="s">
        <v>2453</v>
      </c>
      <c r="L845" s="21" t="s">
        <v>2454</v>
      </c>
      <c r="M845" s="21" t="s">
        <v>73</v>
      </c>
      <c r="N845" s="21"/>
    </row>
    <row r="846" spans="1:14" ht="64.05" customHeight="1">
      <c r="A846" s="20" t="s">
        <v>2365</v>
      </c>
      <c r="B846" s="20" t="s">
        <v>28</v>
      </c>
      <c r="C846" s="20" t="s">
        <v>448</v>
      </c>
      <c r="D846" s="20" t="s">
        <v>449</v>
      </c>
      <c r="E846" s="20" t="s">
        <v>2459</v>
      </c>
      <c r="F846" s="20">
        <v>1</v>
      </c>
      <c r="G846" s="20"/>
      <c r="H846" s="20"/>
      <c r="I846" s="21" t="s">
        <v>2240</v>
      </c>
      <c r="J846" s="21" t="s">
        <v>446</v>
      </c>
      <c r="K846" s="21" t="s">
        <v>109</v>
      </c>
      <c r="L846" s="21" t="s">
        <v>2460</v>
      </c>
      <c r="M846" s="21" t="s">
        <v>102</v>
      </c>
      <c r="N846" s="21"/>
    </row>
    <row r="847" spans="1:14" ht="64.05" customHeight="1">
      <c r="A847" s="20" t="s">
        <v>2365</v>
      </c>
      <c r="B847" s="20" t="s">
        <v>27</v>
      </c>
      <c r="C847" s="20" t="s">
        <v>1069</v>
      </c>
      <c r="D847" s="20" t="s">
        <v>1070</v>
      </c>
      <c r="E847" s="20" t="s">
        <v>2461</v>
      </c>
      <c r="F847" s="20">
        <v>1</v>
      </c>
      <c r="G847" s="20" t="s">
        <v>2462</v>
      </c>
      <c r="H847" s="20"/>
      <c r="I847" s="21" t="s">
        <v>2463</v>
      </c>
      <c r="J847" s="21"/>
      <c r="K847" s="21" t="s">
        <v>1778</v>
      </c>
      <c r="L847" s="21" t="s">
        <v>2464</v>
      </c>
      <c r="M847" s="21" t="s">
        <v>62</v>
      </c>
      <c r="N847" s="21" t="s">
        <v>1435</v>
      </c>
    </row>
    <row r="848" spans="1:14" ht="64.05" customHeight="1">
      <c r="A848" s="20" t="s">
        <v>2365</v>
      </c>
      <c r="B848" s="20" t="s">
        <v>27</v>
      </c>
      <c r="C848" s="20" t="s">
        <v>1069</v>
      </c>
      <c r="D848" s="20" t="s">
        <v>1070</v>
      </c>
      <c r="E848" s="20" t="s">
        <v>2465</v>
      </c>
      <c r="F848" s="20">
        <v>1</v>
      </c>
      <c r="G848" s="20" t="s">
        <v>2462</v>
      </c>
      <c r="H848" s="20"/>
      <c r="I848" s="21" t="s">
        <v>2463</v>
      </c>
      <c r="J848" s="21"/>
      <c r="K848" s="21" t="s">
        <v>1371</v>
      </c>
      <c r="L848" s="21" t="s">
        <v>2464</v>
      </c>
      <c r="M848" s="21" t="s">
        <v>62</v>
      </c>
      <c r="N848" s="21" t="s">
        <v>1435</v>
      </c>
    </row>
    <row r="849" spans="1:14" ht="64.05" customHeight="1">
      <c r="A849" s="20" t="s">
        <v>2365</v>
      </c>
      <c r="B849" s="20" t="s">
        <v>27</v>
      </c>
      <c r="C849" s="20" t="s">
        <v>1069</v>
      </c>
      <c r="D849" s="20" t="s">
        <v>1070</v>
      </c>
      <c r="E849" s="20" t="s">
        <v>2466</v>
      </c>
      <c r="F849" s="20">
        <v>1</v>
      </c>
      <c r="G849" s="20" t="s">
        <v>92</v>
      </c>
      <c r="H849" s="20"/>
      <c r="I849" s="21" t="s">
        <v>2467</v>
      </c>
      <c r="J849" s="21" t="s">
        <v>446</v>
      </c>
      <c r="K849" s="21" t="s">
        <v>1371</v>
      </c>
      <c r="L849" s="21" t="s">
        <v>2468</v>
      </c>
      <c r="M849" s="21" t="s">
        <v>102</v>
      </c>
      <c r="N849" s="21"/>
    </row>
    <row r="850" spans="1:14" ht="64.05" customHeight="1">
      <c r="A850" s="20" t="s">
        <v>2365</v>
      </c>
      <c r="B850" s="20" t="s">
        <v>26</v>
      </c>
      <c r="C850" s="20" t="s">
        <v>196</v>
      </c>
      <c r="D850" s="20" t="s">
        <v>197</v>
      </c>
      <c r="E850" s="20" t="s">
        <v>2469</v>
      </c>
      <c r="F850" s="20">
        <v>1</v>
      </c>
      <c r="G850" s="20" t="s">
        <v>2470</v>
      </c>
      <c r="H850" s="20" t="s">
        <v>104</v>
      </c>
      <c r="I850" s="21" t="s">
        <v>112</v>
      </c>
      <c r="J850" s="21" t="s">
        <v>99</v>
      </c>
      <c r="K850" s="21" t="s">
        <v>109</v>
      </c>
      <c r="L850" s="21" t="s">
        <v>2471</v>
      </c>
      <c r="M850" s="21" t="s">
        <v>102</v>
      </c>
      <c r="N850" s="21"/>
    </row>
    <row r="851" spans="1:14" ht="64.05" customHeight="1">
      <c r="A851" s="20" t="s">
        <v>2365</v>
      </c>
      <c r="B851" s="20" t="s">
        <v>26</v>
      </c>
      <c r="C851" s="20" t="s">
        <v>196</v>
      </c>
      <c r="D851" s="20" t="s">
        <v>197</v>
      </c>
      <c r="E851" s="20" t="s">
        <v>2472</v>
      </c>
      <c r="F851" s="20">
        <v>1</v>
      </c>
      <c r="G851" s="20" t="s">
        <v>2470</v>
      </c>
      <c r="H851" s="20" t="s">
        <v>104</v>
      </c>
      <c r="I851" s="21" t="s">
        <v>112</v>
      </c>
      <c r="J851" s="21" t="s">
        <v>99</v>
      </c>
      <c r="K851" s="21" t="s">
        <v>109</v>
      </c>
      <c r="L851" s="21" t="s">
        <v>2473</v>
      </c>
      <c r="M851" s="21" t="s">
        <v>102</v>
      </c>
      <c r="N851" s="21"/>
    </row>
    <row r="852" spans="1:14" ht="64.05" customHeight="1">
      <c r="A852" s="20" t="s">
        <v>2365</v>
      </c>
      <c r="B852" s="20" t="s">
        <v>26</v>
      </c>
      <c r="C852" s="20" t="s">
        <v>196</v>
      </c>
      <c r="D852" s="20" t="s">
        <v>197</v>
      </c>
      <c r="E852" s="20" t="s">
        <v>2474</v>
      </c>
      <c r="F852" s="20">
        <v>1</v>
      </c>
      <c r="G852" s="20" t="s">
        <v>92</v>
      </c>
      <c r="H852" s="20"/>
      <c r="I852" s="21" t="s">
        <v>733</v>
      </c>
      <c r="J852" s="21" t="s">
        <v>446</v>
      </c>
      <c r="K852" s="21" t="s">
        <v>2475</v>
      </c>
      <c r="L852" s="21" t="s">
        <v>2476</v>
      </c>
      <c r="M852" s="21" t="s">
        <v>102</v>
      </c>
      <c r="N852" s="21"/>
    </row>
    <row r="853" spans="1:14" ht="64.05" customHeight="1">
      <c r="A853" s="20" t="s">
        <v>2365</v>
      </c>
      <c r="B853" s="20" t="s">
        <v>26</v>
      </c>
      <c r="C853" s="20" t="s">
        <v>196</v>
      </c>
      <c r="D853" s="20" t="s">
        <v>197</v>
      </c>
      <c r="E853" s="20" t="s">
        <v>2477</v>
      </c>
      <c r="F853" s="20">
        <v>1</v>
      </c>
      <c r="G853" s="20" t="s">
        <v>92</v>
      </c>
      <c r="H853" s="20"/>
      <c r="I853" s="21" t="s">
        <v>733</v>
      </c>
      <c r="J853" s="21" t="s">
        <v>446</v>
      </c>
      <c r="K853" s="21" t="s">
        <v>2475</v>
      </c>
      <c r="L853" s="21" t="s">
        <v>2478</v>
      </c>
      <c r="M853" s="21" t="s">
        <v>102</v>
      </c>
      <c r="N853" s="21"/>
    </row>
    <row r="854" spans="1:14" ht="64.05" customHeight="1">
      <c r="A854" s="20" t="s">
        <v>2365</v>
      </c>
      <c r="B854" s="20" t="s">
        <v>26</v>
      </c>
      <c r="C854" s="20" t="s">
        <v>196</v>
      </c>
      <c r="D854" s="20" t="s">
        <v>197</v>
      </c>
      <c r="E854" s="20" t="s">
        <v>2479</v>
      </c>
      <c r="F854" s="20">
        <v>1</v>
      </c>
      <c r="G854" s="20" t="s">
        <v>92</v>
      </c>
      <c r="H854" s="20"/>
      <c r="I854" s="21" t="s">
        <v>2480</v>
      </c>
      <c r="J854" s="21" t="s">
        <v>446</v>
      </c>
      <c r="K854" s="21" t="s">
        <v>622</v>
      </c>
      <c r="L854" s="21" t="s">
        <v>2481</v>
      </c>
      <c r="M854" s="21" t="s">
        <v>102</v>
      </c>
      <c r="N854" s="21"/>
    </row>
    <row r="855" spans="1:14" ht="64.05" customHeight="1">
      <c r="A855" s="20" t="s">
        <v>2365</v>
      </c>
      <c r="B855" s="20" t="s">
        <v>31</v>
      </c>
      <c r="C855" s="20" t="s">
        <v>491</v>
      </c>
      <c r="D855" s="20" t="s">
        <v>492</v>
      </c>
      <c r="E855" s="20" t="s">
        <v>2482</v>
      </c>
      <c r="F855" s="20">
        <v>1</v>
      </c>
      <c r="G855" s="20" t="s">
        <v>715</v>
      </c>
      <c r="H855" s="20" t="s">
        <v>2483</v>
      </c>
      <c r="I855" s="21" t="s">
        <v>2484</v>
      </c>
      <c r="J855" s="21"/>
      <c r="K855" s="21" t="s">
        <v>78</v>
      </c>
      <c r="L855" s="21" t="s">
        <v>2485</v>
      </c>
      <c r="M855" s="21" t="s">
        <v>62</v>
      </c>
      <c r="N855" s="21" t="s">
        <v>811</v>
      </c>
    </row>
    <row r="856" spans="1:14" ht="64.05" customHeight="1">
      <c r="A856" s="20" t="s">
        <v>2365</v>
      </c>
      <c r="B856" s="20" t="s">
        <v>31</v>
      </c>
      <c r="C856" s="20" t="s">
        <v>491</v>
      </c>
      <c r="D856" s="20" t="s">
        <v>492</v>
      </c>
      <c r="E856" s="20" t="s">
        <v>2486</v>
      </c>
      <c r="F856" s="20">
        <v>1</v>
      </c>
      <c r="G856" s="20" t="s">
        <v>715</v>
      </c>
      <c r="H856" s="20" t="s">
        <v>2483</v>
      </c>
      <c r="I856" s="21" t="s">
        <v>2484</v>
      </c>
      <c r="J856" s="21"/>
      <c r="K856" s="21" t="s">
        <v>78</v>
      </c>
      <c r="L856" s="21" t="s">
        <v>2485</v>
      </c>
      <c r="M856" s="21" t="s">
        <v>62</v>
      </c>
      <c r="N856" s="21" t="s">
        <v>811</v>
      </c>
    </row>
    <row r="857" spans="1:14" ht="64.05" customHeight="1">
      <c r="A857" s="20" t="s">
        <v>2365</v>
      </c>
      <c r="B857" s="20" t="s">
        <v>32</v>
      </c>
      <c r="C857" s="20" t="s">
        <v>200</v>
      </c>
      <c r="D857" s="20" t="s">
        <v>201</v>
      </c>
      <c r="E857" s="20" t="s">
        <v>2487</v>
      </c>
      <c r="F857" s="20">
        <v>1</v>
      </c>
      <c r="G857" s="20" t="s">
        <v>2488</v>
      </c>
      <c r="H857" s="20" t="s">
        <v>2489</v>
      </c>
      <c r="I857" s="21" t="s">
        <v>2490</v>
      </c>
      <c r="J857" s="21"/>
      <c r="K857" s="21" t="s">
        <v>109</v>
      </c>
      <c r="L857" s="21" t="s">
        <v>2491</v>
      </c>
      <c r="M857" s="21" t="s">
        <v>62</v>
      </c>
      <c r="N857" s="21" t="s">
        <v>1435</v>
      </c>
    </row>
    <row r="858" spans="1:14" ht="64.05" customHeight="1">
      <c r="A858" s="20" t="s">
        <v>2365</v>
      </c>
      <c r="B858" s="20" t="s">
        <v>32</v>
      </c>
      <c r="C858" s="20" t="s">
        <v>200</v>
      </c>
      <c r="D858" s="20" t="s">
        <v>201</v>
      </c>
      <c r="E858" s="20" t="s">
        <v>2492</v>
      </c>
      <c r="F858" s="20">
        <v>1</v>
      </c>
      <c r="G858" s="20" t="s">
        <v>2493</v>
      </c>
      <c r="H858" s="20" t="s">
        <v>2494</v>
      </c>
      <c r="I858" s="21" t="s">
        <v>2495</v>
      </c>
      <c r="J858" s="21"/>
      <c r="K858" s="21" t="s">
        <v>109</v>
      </c>
      <c r="L858" s="21" t="s">
        <v>2496</v>
      </c>
      <c r="M858" s="21" t="s">
        <v>73</v>
      </c>
      <c r="N858" s="21"/>
    </row>
    <row r="859" spans="1:14" ht="64.05" customHeight="1">
      <c r="A859" s="20" t="s">
        <v>2365</v>
      </c>
      <c r="B859" s="20" t="s">
        <v>32</v>
      </c>
      <c r="C859" s="20" t="s">
        <v>200</v>
      </c>
      <c r="D859" s="20" t="s">
        <v>201</v>
      </c>
      <c r="E859" s="20" t="s">
        <v>2497</v>
      </c>
      <c r="F859" s="20">
        <v>1</v>
      </c>
      <c r="G859" s="20" t="s">
        <v>2488</v>
      </c>
      <c r="H859" s="20" t="s">
        <v>2489</v>
      </c>
      <c r="I859" s="21" t="s">
        <v>733</v>
      </c>
      <c r="J859" s="21"/>
      <c r="K859" s="21" t="s">
        <v>2498</v>
      </c>
      <c r="L859" s="21" t="s">
        <v>2499</v>
      </c>
      <c r="M859" s="21" t="s">
        <v>62</v>
      </c>
      <c r="N859" s="21" t="s">
        <v>712</v>
      </c>
    </row>
    <row r="860" spans="1:14" ht="64.05" customHeight="1">
      <c r="A860" s="20" t="s">
        <v>2365</v>
      </c>
      <c r="B860" s="20" t="s">
        <v>32</v>
      </c>
      <c r="C860" s="20" t="s">
        <v>200</v>
      </c>
      <c r="D860" s="20" t="s">
        <v>201</v>
      </c>
      <c r="E860" s="20" t="s">
        <v>2500</v>
      </c>
      <c r="F860" s="20">
        <v>1</v>
      </c>
      <c r="G860" s="20" t="s">
        <v>92</v>
      </c>
      <c r="H860" s="20"/>
      <c r="I860" s="21" t="s">
        <v>2501</v>
      </c>
      <c r="J860" s="21" t="s">
        <v>672</v>
      </c>
      <c r="K860" s="21" t="s">
        <v>109</v>
      </c>
      <c r="L860" s="21" t="s">
        <v>2502</v>
      </c>
      <c r="M860" s="21" t="s">
        <v>102</v>
      </c>
      <c r="N860" s="21"/>
    </row>
    <row r="861" spans="1:14" ht="64.05" customHeight="1">
      <c r="A861" s="20" t="s">
        <v>2365</v>
      </c>
      <c r="B861" s="20" t="s">
        <v>20</v>
      </c>
      <c r="C861" s="20" t="s">
        <v>65</v>
      </c>
      <c r="D861" s="20" t="s">
        <v>66</v>
      </c>
      <c r="E861" s="20" t="s">
        <v>2369</v>
      </c>
      <c r="F861" s="20">
        <v>1</v>
      </c>
      <c r="G861" s="20" t="s">
        <v>92</v>
      </c>
      <c r="H861" s="20"/>
      <c r="I861" s="21" t="s">
        <v>2370</v>
      </c>
      <c r="J861" s="21"/>
      <c r="K861" s="21" t="s">
        <v>2371</v>
      </c>
      <c r="L861" s="21" t="s">
        <v>2372</v>
      </c>
      <c r="M861" s="21" t="s">
        <v>73</v>
      </c>
      <c r="N861" s="21"/>
    </row>
    <row r="862" spans="1:14" ht="64.05" customHeight="1">
      <c r="A862" s="20" t="s">
        <v>2365</v>
      </c>
      <c r="B862" s="20" t="s">
        <v>20</v>
      </c>
      <c r="C862" s="20" t="s">
        <v>65</v>
      </c>
      <c r="D862" s="20" t="s">
        <v>66</v>
      </c>
      <c r="E862" s="20" t="s">
        <v>2373</v>
      </c>
      <c r="F862" s="20">
        <v>1</v>
      </c>
      <c r="G862" s="20" t="s">
        <v>1887</v>
      </c>
      <c r="H862" s="20"/>
      <c r="I862" s="21" t="s">
        <v>140</v>
      </c>
      <c r="J862" s="21"/>
      <c r="K862" s="21" t="s">
        <v>2347</v>
      </c>
      <c r="L862" s="21" t="s">
        <v>2374</v>
      </c>
      <c r="M862" s="21" t="s">
        <v>73</v>
      </c>
      <c r="N862" s="21"/>
    </row>
    <row r="863" spans="1:14" ht="64.05" customHeight="1">
      <c r="A863" s="20" t="s">
        <v>2365</v>
      </c>
      <c r="B863" s="20" t="s">
        <v>20</v>
      </c>
      <c r="C863" s="20" t="s">
        <v>65</v>
      </c>
      <c r="D863" s="20" t="s">
        <v>66</v>
      </c>
      <c r="E863" s="20" t="s">
        <v>2375</v>
      </c>
      <c r="F863" s="20">
        <v>1</v>
      </c>
      <c r="G863" s="20" t="s">
        <v>1887</v>
      </c>
      <c r="H863" s="20"/>
      <c r="I863" s="21" t="s">
        <v>140</v>
      </c>
      <c r="J863" s="21"/>
      <c r="K863" s="21" t="s">
        <v>2347</v>
      </c>
      <c r="L863" s="21" t="s">
        <v>2374</v>
      </c>
      <c r="M863" s="21" t="s">
        <v>73</v>
      </c>
      <c r="N863" s="21"/>
    </row>
    <row r="864" spans="1:14" ht="64.05" customHeight="1">
      <c r="A864" s="20" t="s">
        <v>2503</v>
      </c>
      <c r="B864" s="20" t="s">
        <v>22</v>
      </c>
      <c r="C864" s="20" t="s">
        <v>89</v>
      </c>
      <c r="D864" s="20" t="s">
        <v>2504</v>
      </c>
      <c r="E864" s="20" t="s">
        <v>2505</v>
      </c>
      <c r="F864" s="20">
        <v>1</v>
      </c>
      <c r="G864" s="20" t="s">
        <v>92</v>
      </c>
      <c r="H864" s="20"/>
      <c r="I864" s="21" t="s">
        <v>2506</v>
      </c>
      <c r="J864" s="21"/>
      <c r="K864" s="21" t="s">
        <v>406</v>
      </c>
      <c r="L864" s="21" t="s">
        <v>2507</v>
      </c>
      <c r="M864" s="21" t="s">
        <v>102</v>
      </c>
      <c r="N864" s="21"/>
    </row>
    <row r="865" spans="1:14" ht="64.05" customHeight="1">
      <c r="A865" s="20" t="s">
        <v>2503</v>
      </c>
      <c r="B865" s="20" t="s">
        <v>22</v>
      </c>
      <c r="C865" s="20" t="s">
        <v>370</v>
      </c>
      <c r="D865" s="20" t="s">
        <v>371</v>
      </c>
      <c r="E865" s="20" t="s">
        <v>2508</v>
      </c>
      <c r="F865" s="20">
        <v>1</v>
      </c>
      <c r="G865" s="20" t="s">
        <v>92</v>
      </c>
      <c r="H865" s="20"/>
      <c r="I865" s="21" t="s">
        <v>2509</v>
      </c>
      <c r="J865" s="21"/>
      <c r="K865" s="21" t="s">
        <v>274</v>
      </c>
      <c r="L865" s="21" t="s">
        <v>2510</v>
      </c>
      <c r="M865" s="21" t="s">
        <v>73</v>
      </c>
      <c r="N865" s="21"/>
    </row>
    <row r="866" spans="1:14" ht="64.05" customHeight="1">
      <c r="A866" s="20" t="s">
        <v>2503</v>
      </c>
      <c r="B866" s="20" t="s">
        <v>22</v>
      </c>
      <c r="C866" s="20" t="s">
        <v>370</v>
      </c>
      <c r="D866" s="20" t="s">
        <v>371</v>
      </c>
      <c r="E866" s="20" t="s">
        <v>2511</v>
      </c>
      <c r="F866" s="20">
        <v>1</v>
      </c>
      <c r="G866" s="20" t="s">
        <v>1345</v>
      </c>
      <c r="H866" s="20" t="s">
        <v>2512</v>
      </c>
      <c r="I866" s="21" t="s">
        <v>2513</v>
      </c>
      <c r="J866" s="21"/>
      <c r="K866" s="21" t="s">
        <v>109</v>
      </c>
      <c r="L866" s="21" t="s">
        <v>2514</v>
      </c>
      <c r="M866" s="21" t="s">
        <v>73</v>
      </c>
      <c r="N866" s="21"/>
    </row>
    <row r="867" spans="1:14" ht="64.05" customHeight="1">
      <c r="A867" s="20" t="s">
        <v>2503</v>
      </c>
      <c r="B867" s="20" t="s">
        <v>22</v>
      </c>
      <c r="C867" s="20" t="s">
        <v>370</v>
      </c>
      <c r="D867" s="20" t="s">
        <v>371</v>
      </c>
      <c r="E867" s="20" t="s">
        <v>2515</v>
      </c>
      <c r="F867" s="20">
        <v>1</v>
      </c>
      <c r="G867" s="20" t="s">
        <v>1345</v>
      </c>
      <c r="H867" s="20" t="s">
        <v>2512</v>
      </c>
      <c r="I867" s="21" t="s">
        <v>2513</v>
      </c>
      <c r="J867" s="21"/>
      <c r="K867" s="21" t="s">
        <v>109</v>
      </c>
      <c r="L867" s="21" t="s">
        <v>2516</v>
      </c>
      <c r="M867" s="21" t="s">
        <v>73</v>
      </c>
      <c r="N867" s="21"/>
    </row>
    <row r="868" spans="1:14" ht="64.05" customHeight="1">
      <c r="A868" s="20" t="s">
        <v>2503</v>
      </c>
      <c r="B868" s="20" t="s">
        <v>22</v>
      </c>
      <c r="C868" s="20" t="s">
        <v>370</v>
      </c>
      <c r="D868" s="20" t="s">
        <v>371</v>
      </c>
      <c r="E868" s="20" t="s">
        <v>2517</v>
      </c>
      <c r="F868" s="20">
        <v>1</v>
      </c>
      <c r="G868" s="20" t="s">
        <v>92</v>
      </c>
      <c r="H868" s="20"/>
      <c r="I868" s="21" t="s">
        <v>140</v>
      </c>
      <c r="J868" s="21" t="s">
        <v>672</v>
      </c>
      <c r="K868" s="21" t="s">
        <v>2518</v>
      </c>
      <c r="L868" s="21" t="s">
        <v>2519</v>
      </c>
      <c r="M868" s="21" t="s">
        <v>73</v>
      </c>
      <c r="N868" s="21"/>
    </row>
    <row r="869" spans="1:14" ht="64.05" customHeight="1">
      <c r="A869" s="20" t="s">
        <v>2503</v>
      </c>
      <c r="B869" s="20" t="s">
        <v>22</v>
      </c>
      <c r="C869" s="20" t="s">
        <v>370</v>
      </c>
      <c r="D869" s="20" t="s">
        <v>371</v>
      </c>
      <c r="E869" s="20" t="s">
        <v>2520</v>
      </c>
      <c r="F869" s="20">
        <v>1</v>
      </c>
      <c r="G869" s="20" t="s">
        <v>92</v>
      </c>
      <c r="H869" s="20"/>
      <c r="I869" s="21" t="s">
        <v>140</v>
      </c>
      <c r="J869" s="21" t="s">
        <v>672</v>
      </c>
      <c r="K869" s="21" t="s">
        <v>2521</v>
      </c>
      <c r="L869" s="21" t="s">
        <v>2519</v>
      </c>
      <c r="M869" s="21" t="s">
        <v>73</v>
      </c>
      <c r="N869" s="21"/>
    </row>
    <row r="870" spans="1:14" ht="64.05" customHeight="1">
      <c r="A870" s="20" t="s">
        <v>2503</v>
      </c>
      <c r="B870" s="20" t="s">
        <v>25</v>
      </c>
      <c r="C870" s="20" t="s">
        <v>115</v>
      </c>
      <c r="D870" s="20" t="s">
        <v>116</v>
      </c>
      <c r="E870" s="20" t="s">
        <v>2522</v>
      </c>
      <c r="F870" s="20">
        <v>1</v>
      </c>
      <c r="G870" s="20" t="s">
        <v>2523</v>
      </c>
      <c r="H870" s="20" t="s">
        <v>2524</v>
      </c>
      <c r="I870" s="21" t="s">
        <v>141</v>
      </c>
      <c r="J870" s="21" t="s">
        <v>99</v>
      </c>
      <c r="K870" s="21" t="s">
        <v>406</v>
      </c>
      <c r="L870" s="21" t="s">
        <v>2525</v>
      </c>
      <c r="M870" s="21" t="s">
        <v>102</v>
      </c>
      <c r="N870" s="21"/>
    </row>
    <row r="871" spans="1:14" ht="64.05" customHeight="1">
      <c r="A871" s="20" t="s">
        <v>2503</v>
      </c>
      <c r="B871" s="20" t="s">
        <v>25</v>
      </c>
      <c r="C871" s="20" t="s">
        <v>115</v>
      </c>
      <c r="D871" s="20" t="s">
        <v>116</v>
      </c>
      <c r="E871" s="20" t="s">
        <v>2526</v>
      </c>
      <c r="F871" s="20">
        <v>1</v>
      </c>
      <c r="G871" s="20" t="s">
        <v>92</v>
      </c>
      <c r="H871" s="20"/>
      <c r="I871" s="21" t="s">
        <v>2527</v>
      </c>
      <c r="J871" s="21" t="s">
        <v>99</v>
      </c>
      <c r="K871" s="21" t="s">
        <v>406</v>
      </c>
      <c r="L871" s="21" t="s">
        <v>2528</v>
      </c>
      <c r="M871" s="21" t="s">
        <v>102</v>
      </c>
      <c r="N871" s="21"/>
    </row>
    <row r="872" spans="1:14" ht="64.05" customHeight="1">
      <c r="A872" s="20" t="s">
        <v>2503</v>
      </c>
      <c r="B872" s="20" t="s">
        <v>24</v>
      </c>
      <c r="C872" s="20" t="s">
        <v>426</v>
      </c>
      <c r="D872" s="20" t="s">
        <v>427</v>
      </c>
      <c r="E872" s="20" t="s">
        <v>2529</v>
      </c>
      <c r="F872" s="20">
        <v>1</v>
      </c>
      <c r="G872" s="20" t="s">
        <v>210</v>
      </c>
      <c r="H872" s="20" t="s">
        <v>2530</v>
      </c>
      <c r="I872" s="21" t="s">
        <v>2531</v>
      </c>
      <c r="J872" s="21"/>
      <c r="K872" s="21" t="s">
        <v>1417</v>
      </c>
      <c r="L872" s="21" t="s">
        <v>2532</v>
      </c>
      <c r="M872" s="21" t="s">
        <v>62</v>
      </c>
      <c r="N872" s="21" t="s">
        <v>2126</v>
      </c>
    </row>
    <row r="873" spans="1:14" ht="64.05" customHeight="1">
      <c r="A873" s="20" t="s">
        <v>2503</v>
      </c>
      <c r="B873" s="20" t="s">
        <v>24</v>
      </c>
      <c r="C873" s="20" t="s">
        <v>426</v>
      </c>
      <c r="D873" s="20" t="s">
        <v>427</v>
      </c>
      <c r="E873" s="20" t="s">
        <v>2533</v>
      </c>
      <c r="F873" s="20">
        <v>1</v>
      </c>
      <c r="G873" s="20" t="s">
        <v>210</v>
      </c>
      <c r="H873" s="20" t="s">
        <v>2530</v>
      </c>
      <c r="I873" s="21" t="s">
        <v>2534</v>
      </c>
      <c r="J873" s="21"/>
      <c r="K873" s="21" t="s">
        <v>1417</v>
      </c>
      <c r="L873" s="21" t="s">
        <v>2535</v>
      </c>
      <c r="M873" s="21" t="s">
        <v>62</v>
      </c>
      <c r="N873" s="21" t="s">
        <v>130</v>
      </c>
    </row>
    <row r="874" spans="1:14" ht="64.05" customHeight="1">
      <c r="A874" s="20" t="s">
        <v>2503</v>
      </c>
      <c r="B874" s="20" t="s">
        <v>24</v>
      </c>
      <c r="C874" s="20" t="s">
        <v>426</v>
      </c>
      <c r="D874" s="20" t="s">
        <v>427</v>
      </c>
      <c r="E874" s="20" t="s">
        <v>2536</v>
      </c>
      <c r="F874" s="20">
        <v>1</v>
      </c>
      <c r="G874" s="20" t="s">
        <v>901</v>
      </c>
      <c r="H874" s="20" t="s">
        <v>698</v>
      </c>
      <c r="I874" s="21" t="s">
        <v>2537</v>
      </c>
      <c r="J874" s="21"/>
      <c r="K874" s="21" t="s">
        <v>78</v>
      </c>
      <c r="L874" s="21" t="s">
        <v>2538</v>
      </c>
      <c r="M874" s="21" t="s">
        <v>62</v>
      </c>
      <c r="N874" s="21" t="s">
        <v>811</v>
      </c>
    </row>
    <row r="875" spans="1:14" ht="64.05" customHeight="1">
      <c r="A875" s="20" t="s">
        <v>2503</v>
      </c>
      <c r="B875" s="20" t="s">
        <v>24</v>
      </c>
      <c r="C875" s="20" t="s">
        <v>426</v>
      </c>
      <c r="D875" s="20" t="s">
        <v>427</v>
      </c>
      <c r="E875" s="20" t="s">
        <v>2539</v>
      </c>
      <c r="F875" s="20">
        <v>1</v>
      </c>
      <c r="G875" s="20" t="s">
        <v>901</v>
      </c>
      <c r="H875" s="20" t="s">
        <v>698</v>
      </c>
      <c r="I875" s="21" t="s">
        <v>2540</v>
      </c>
      <c r="J875" s="21"/>
      <c r="K875" s="21" t="s">
        <v>78</v>
      </c>
      <c r="L875" s="21" t="s">
        <v>2538</v>
      </c>
      <c r="M875" s="21" t="s">
        <v>62</v>
      </c>
      <c r="N875" s="21" t="s">
        <v>811</v>
      </c>
    </row>
    <row r="876" spans="1:14" ht="64.05" customHeight="1">
      <c r="A876" s="20" t="s">
        <v>2503</v>
      </c>
      <c r="B876" s="20" t="s">
        <v>24</v>
      </c>
      <c r="C876" s="20" t="s">
        <v>426</v>
      </c>
      <c r="D876" s="20" t="s">
        <v>427</v>
      </c>
      <c r="E876" s="20" t="s">
        <v>2541</v>
      </c>
      <c r="F876" s="20">
        <v>1</v>
      </c>
      <c r="G876" s="20" t="s">
        <v>901</v>
      </c>
      <c r="H876" s="20" t="s">
        <v>698</v>
      </c>
      <c r="I876" s="21" t="s">
        <v>2542</v>
      </c>
      <c r="J876" s="21"/>
      <c r="K876" s="21" t="s">
        <v>78</v>
      </c>
      <c r="L876" s="21" t="s">
        <v>2538</v>
      </c>
      <c r="M876" s="21" t="s">
        <v>62</v>
      </c>
      <c r="N876" s="21" t="s">
        <v>811</v>
      </c>
    </row>
    <row r="877" spans="1:14" ht="64.05" customHeight="1">
      <c r="A877" s="20" t="s">
        <v>2503</v>
      </c>
      <c r="B877" s="20" t="s">
        <v>24</v>
      </c>
      <c r="C877" s="20" t="s">
        <v>431</v>
      </c>
      <c r="D877" s="20" t="s">
        <v>216</v>
      </c>
      <c r="E877" s="20" t="s">
        <v>2543</v>
      </c>
      <c r="F877" s="20">
        <v>1</v>
      </c>
      <c r="G877" s="20" t="s">
        <v>2544</v>
      </c>
      <c r="H877" s="20" t="s">
        <v>2545</v>
      </c>
      <c r="I877" s="21" t="s">
        <v>2546</v>
      </c>
      <c r="J877" s="21"/>
      <c r="K877" s="21" t="s">
        <v>78</v>
      </c>
      <c r="L877" s="21" t="s">
        <v>2547</v>
      </c>
      <c r="M877" s="21" t="s">
        <v>73</v>
      </c>
      <c r="N877" s="21"/>
    </row>
    <row r="878" spans="1:14" ht="64.05" customHeight="1">
      <c r="A878" s="20" t="s">
        <v>2503</v>
      </c>
      <c r="B878" s="20" t="s">
        <v>24</v>
      </c>
      <c r="C878" s="20" t="s">
        <v>431</v>
      </c>
      <c r="D878" s="20" t="s">
        <v>216</v>
      </c>
      <c r="E878" s="20" t="s">
        <v>2548</v>
      </c>
      <c r="F878" s="20">
        <v>1</v>
      </c>
      <c r="G878" s="20" t="s">
        <v>92</v>
      </c>
      <c r="H878" s="20"/>
      <c r="I878" s="21" t="s">
        <v>2549</v>
      </c>
      <c r="J878" s="21" t="s">
        <v>99</v>
      </c>
      <c r="K878" s="21" t="s">
        <v>140</v>
      </c>
      <c r="L878" s="21" t="s">
        <v>2550</v>
      </c>
      <c r="M878" s="21" t="s">
        <v>102</v>
      </c>
      <c r="N878" s="21"/>
    </row>
    <row r="879" spans="1:14" ht="64.05" customHeight="1">
      <c r="A879" s="20" t="s">
        <v>2503</v>
      </c>
      <c r="B879" s="20" t="s">
        <v>24</v>
      </c>
      <c r="C879" s="20" t="s">
        <v>431</v>
      </c>
      <c r="D879" s="20" t="s">
        <v>216</v>
      </c>
      <c r="E879" s="20" t="s">
        <v>2551</v>
      </c>
      <c r="F879" s="20">
        <v>1</v>
      </c>
      <c r="G879" s="20" t="s">
        <v>92</v>
      </c>
      <c r="H879" s="20"/>
      <c r="I879" s="21" t="s">
        <v>2552</v>
      </c>
      <c r="J879" s="21" t="s">
        <v>99</v>
      </c>
      <c r="K879" s="21" t="s">
        <v>140</v>
      </c>
      <c r="L879" s="21" t="s">
        <v>2553</v>
      </c>
      <c r="M879" s="21" t="s">
        <v>102</v>
      </c>
      <c r="N879" s="21"/>
    </row>
    <row r="880" spans="1:14" ht="64.05" customHeight="1">
      <c r="A880" s="20" t="s">
        <v>2503</v>
      </c>
      <c r="B880" s="20" t="s">
        <v>24</v>
      </c>
      <c r="C880" s="20" t="s">
        <v>436</v>
      </c>
      <c r="D880" s="20" t="s">
        <v>437</v>
      </c>
      <c r="E880" s="20" t="s">
        <v>2554</v>
      </c>
      <c r="F880" s="20">
        <v>1</v>
      </c>
      <c r="G880" s="20" t="s">
        <v>2555</v>
      </c>
      <c r="H880" s="20"/>
      <c r="I880" s="21" t="s">
        <v>2556</v>
      </c>
      <c r="J880" s="21"/>
      <c r="K880" s="21" t="s">
        <v>2556</v>
      </c>
      <c r="L880" s="21" t="s">
        <v>2557</v>
      </c>
      <c r="M880" s="21" t="s">
        <v>62</v>
      </c>
      <c r="N880" s="21" t="s">
        <v>1435</v>
      </c>
    </row>
    <row r="881" spans="1:14" ht="64.05" customHeight="1">
      <c r="A881" s="20" t="s">
        <v>2503</v>
      </c>
      <c r="B881" s="20" t="s">
        <v>24</v>
      </c>
      <c r="C881" s="20" t="s">
        <v>436</v>
      </c>
      <c r="D881" s="20" t="s">
        <v>437</v>
      </c>
      <c r="E881" s="20" t="s">
        <v>2558</v>
      </c>
      <c r="F881" s="20">
        <v>1</v>
      </c>
      <c r="G881" s="20" t="s">
        <v>92</v>
      </c>
      <c r="H881" s="20"/>
      <c r="I881" s="21" t="s">
        <v>2559</v>
      </c>
      <c r="J881" s="21" t="s">
        <v>446</v>
      </c>
      <c r="K881" s="21" t="s">
        <v>2560</v>
      </c>
      <c r="L881" s="21" t="s">
        <v>2561</v>
      </c>
      <c r="M881" s="21" t="s">
        <v>102</v>
      </c>
      <c r="N881" s="21"/>
    </row>
    <row r="882" spans="1:14" ht="64.05" customHeight="1">
      <c r="A882" s="20" t="s">
        <v>2503</v>
      </c>
      <c r="B882" s="20" t="s">
        <v>24</v>
      </c>
      <c r="C882" s="20" t="s">
        <v>436</v>
      </c>
      <c r="D882" s="20" t="s">
        <v>437</v>
      </c>
      <c r="E882" s="20" t="s">
        <v>2562</v>
      </c>
      <c r="F882" s="20">
        <v>1</v>
      </c>
      <c r="G882" s="20" t="s">
        <v>92</v>
      </c>
      <c r="H882" s="20"/>
      <c r="I882" s="21" t="s">
        <v>2563</v>
      </c>
      <c r="J882" s="21"/>
      <c r="K882" s="21" t="s">
        <v>2564</v>
      </c>
      <c r="L882" s="21" t="s">
        <v>2565</v>
      </c>
      <c r="M882" s="21" t="s">
        <v>62</v>
      </c>
      <c r="N882" s="21" t="s">
        <v>187</v>
      </c>
    </row>
    <row r="883" spans="1:14" ht="64.05" customHeight="1">
      <c r="A883" s="20" t="s">
        <v>2503</v>
      </c>
      <c r="B883" s="20" t="s">
        <v>24</v>
      </c>
      <c r="C883" s="20" t="s">
        <v>136</v>
      </c>
      <c r="D883" s="20" t="s">
        <v>674</v>
      </c>
      <c r="E883" s="20" t="s">
        <v>2566</v>
      </c>
      <c r="F883" s="20">
        <v>1</v>
      </c>
      <c r="G883" s="20" t="s">
        <v>429</v>
      </c>
      <c r="H883" s="20"/>
      <c r="I883" s="21" t="s">
        <v>2567</v>
      </c>
      <c r="J883" s="21" t="s">
        <v>245</v>
      </c>
      <c r="K883" s="21" t="s">
        <v>1371</v>
      </c>
      <c r="L883" s="21" t="s">
        <v>2568</v>
      </c>
      <c r="M883" s="21" t="s">
        <v>62</v>
      </c>
      <c r="N883" s="21" t="s">
        <v>187</v>
      </c>
    </row>
    <row r="884" spans="1:14" ht="64.05" customHeight="1">
      <c r="A884" s="20" t="s">
        <v>2503</v>
      </c>
      <c r="B884" s="20" t="s">
        <v>24</v>
      </c>
      <c r="C884" s="20" t="s">
        <v>136</v>
      </c>
      <c r="D884" s="20" t="s">
        <v>674</v>
      </c>
      <c r="E884" s="20" t="s">
        <v>2569</v>
      </c>
      <c r="F884" s="20">
        <v>1</v>
      </c>
      <c r="G884" s="20" t="s">
        <v>92</v>
      </c>
      <c r="H884" s="20"/>
      <c r="I884" s="21" t="s">
        <v>2556</v>
      </c>
      <c r="J884" s="21"/>
      <c r="K884" s="21" t="s">
        <v>2570</v>
      </c>
      <c r="L884" s="21" t="s">
        <v>2571</v>
      </c>
      <c r="M884" s="21" t="s">
        <v>102</v>
      </c>
      <c r="N884" s="21"/>
    </row>
    <row r="885" spans="1:14" ht="64.05" customHeight="1">
      <c r="A885" s="20" t="s">
        <v>2503</v>
      </c>
      <c r="B885" s="20" t="s">
        <v>28</v>
      </c>
      <c r="C885" s="20" t="s">
        <v>146</v>
      </c>
      <c r="D885" s="20" t="s">
        <v>147</v>
      </c>
      <c r="E885" s="20" t="s">
        <v>2572</v>
      </c>
      <c r="F885" s="20">
        <v>1</v>
      </c>
      <c r="G885" s="20" t="s">
        <v>2573</v>
      </c>
      <c r="H885" s="20" t="s">
        <v>2574</v>
      </c>
      <c r="I885" s="21" t="s">
        <v>2575</v>
      </c>
      <c r="J885" s="21"/>
      <c r="K885" s="21" t="s">
        <v>109</v>
      </c>
      <c r="L885" s="21" t="s">
        <v>2576</v>
      </c>
      <c r="M885" s="21" t="s">
        <v>73</v>
      </c>
      <c r="N885" s="21"/>
    </row>
    <row r="886" spans="1:14" ht="64.05" customHeight="1">
      <c r="A886" s="20" t="s">
        <v>2503</v>
      </c>
      <c r="B886" s="20" t="s">
        <v>28</v>
      </c>
      <c r="C886" s="20" t="s">
        <v>146</v>
      </c>
      <c r="D886" s="20" t="s">
        <v>147</v>
      </c>
      <c r="E886" s="20" t="s">
        <v>2577</v>
      </c>
      <c r="F886" s="20">
        <v>1</v>
      </c>
      <c r="G886" s="20" t="s">
        <v>2573</v>
      </c>
      <c r="H886" s="20" t="s">
        <v>2574</v>
      </c>
      <c r="I886" s="21" t="s">
        <v>2575</v>
      </c>
      <c r="J886" s="21"/>
      <c r="K886" s="21" t="s">
        <v>109</v>
      </c>
      <c r="L886" s="21" t="s">
        <v>2576</v>
      </c>
      <c r="M886" s="21" t="s">
        <v>73</v>
      </c>
      <c r="N886" s="21"/>
    </row>
    <row r="887" spans="1:14" ht="64.05" customHeight="1">
      <c r="A887" s="20" t="s">
        <v>2503</v>
      </c>
      <c r="B887" s="20" t="s">
        <v>28</v>
      </c>
      <c r="C887" s="20" t="s">
        <v>146</v>
      </c>
      <c r="D887" s="20" t="s">
        <v>147</v>
      </c>
      <c r="E887" s="20" t="s">
        <v>2578</v>
      </c>
      <c r="F887" s="20">
        <v>1</v>
      </c>
      <c r="G887" s="20" t="s">
        <v>92</v>
      </c>
      <c r="H887" s="20"/>
      <c r="I887" s="21" t="s">
        <v>2567</v>
      </c>
      <c r="J887" s="21" t="s">
        <v>446</v>
      </c>
      <c r="K887" s="21" t="s">
        <v>2579</v>
      </c>
      <c r="L887" s="21" t="s">
        <v>2580</v>
      </c>
      <c r="M887" s="21" t="s">
        <v>102</v>
      </c>
      <c r="N887" s="21"/>
    </row>
    <row r="888" spans="1:14" ht="64.05" customHeight="1">
      <c r="A888" s="20" t="s">
        <v>2503</v>
      </c>
      <c r="B888" s="20" t="s">
        <v>27</v>
      </c>
      <c r="C888" s="20" t="s">
        <v>475</v>
      </c>
      <c r="D888" s="20" t="s">
        <v>476</v>
      </c>
      <c r="E888" s="20" t="s">
        <v>2581</v>
      </c>
      <c r="F888" s="20">
        <v>1</v>
      </c>
      <c r="G888" s="20" t="s">
        <v>92</v>
      </c>
      <c r="H888" s="20"/>
      <c r="I888" s="21" t="s">
        <v>2582</v>
      </c>
      <c r="J888" s="21" t="s">
        <v>446</v>
      </c>
      <c r="K888" s="21" t="s">
        <v>599</v>
      </c>
      <c r="L888" s="21" t="s">
        <v>2583</v>
      </c>
      <c r="M888" s="21" t="s">
        <v>102</v>
      </c>
      <c r="N888" s="21"/>
    </row>
    <row r="889" spans="1:14" ht="64.05" customHeight="1">
      <c r="A889" s="20" t="s">
        <v>2503</v>
      </c>
      <c r="B889" s="20" t="s">
        <v>30</v>
      </c>
      <c r="C889" s="20" t="s">
        <v>180</v>
      </c>
      <c r="D889" s="20" t="s">
        <v>181</v>
      </c>
      <c r="E889" s="20" t="s">
        <v>2584</v>
      </c>
      <c r="F889" s="20">
        <v>1</v>
      </c>
      <c r="G889" s="20" t="s">
        <v>2585</v>
      </c>
      <c r="H889" s="20" t="s">
        <v>1788</v>
      </c>
      <c r="I889" s="21" t="s">
        <v>2586</v>
      </c>
      <c r="J889" s="21"/>
      <c r="K889" s="21" t="s">
        <v>78</v>
      </c>
      <c r="L889" s="21" t="s">
        <v>2587</v>
      </c>
      <c r="M889" s="21" t="s">
        <v>73</v>
      </c>
      <c r="N889" s="21"/>
    </row>
    <row r="890" spans="1:14" ht="64.05" customHeight="1">
      <c r="A890" s="20" t="s">
        <v>2503</v>
      </c>
      <c r="B890" s="20" t="s">
        <v>30</v>
      </c>
      <c r="C890" s="20" t="s">
        <v>180</v>
      </c>
      <c r="D890" s="20" t="s">
        <v>181</v>
      </c>
      <c r="E890" s="20" t="s">
        <v>2588</v>
      </c>
      <c r="F890" s="20">
        <v>1</v>
      </c>
      <c r="G890" s="20" t="s">
        <v>2589</v>
      </c>
      <c r="H890" s="20" t="s">
        <v>2590</v>
      </c>
      <c r="I890" s="21" t="s">
        <v>2591</v>
      </c>
      <c r="J890" s="21"/>
      <c r="K890" s="21" t="s">
        <v>78</v>
      </c>
      <c r="L890" s="21" t="s">
        <v>2587</v>
      </c>
      <c r="M890" s="21" t="s">
        <v>73</v>
      </c>
      <c r="N890" s="21"/>
    </row>
    <row r="891" spans="1:14" ht="64.05" customHeight="1">
      <c r="A891" s="20" t="s">
        <v>2503</v>
      </c>
      <c r="B891" s="20" t="s">
        <v>30</v>
      </c>
      <c r="C891" s="20" t="s">
        <v>180</v>
      </c>
      <c r="D891" s="20" t="s">
        <v>181</v>
      </c>
      <c r="E891" s="20" t="s">
        <v>2592</v>
      </c>
      <c r="F891" s="20">
        <v>1</v>
      </c>
      <c r="G891" s="20" t="s">
        <v>2589</v>
      </c>
      <c r="H891" s="20" t="s">
        <v>2590</v>
      </c>
      <c r="I891" s="21" t="s">
        <v>2593</v>
      </c>
      <c r="J891" s="21"/>
      <c r="K891" s="21" t="s">
        <v>78</v>
      </c>
      <c r="L891" s="21" t="s">
        <v>2587</v>
      </c>
      <c r="M891" s="21" t="s">
        <v>73</v>
      </c>
      <c r="N891" s="21"/>
    </row>
    <row r="892" spans="1:14" ht="64.05" customHeight="1">
      <c r="A892" s="20" t="s">
        <v>2503</v>
      </c>
      <c r="B892" s="20" t="s">
        <v>30</v>
      </c>
      <c r="C892" s="20" t="s">
        <v>180</v>
      </c>
      <c r="D892" s="20" t="s">
        <v>181</v>
      </c>
      <c r="E892" s="20" t="s">
        <v>2594</v>
      </c>
      <c r="F892" s="20">
        <v>1</v>
      </c>
      <c r="G892" s="20" t="s">
        <v>2589</v>
      </c>
      <c r="H892" s="20" t="s">
        <v>2590</v>
      </c>
      <c r="I892" s="21" t="s">
        <v>2593</v>
      </c>
      <c r="J892" s="21"/>
      <c r="K892" s="21" t="s">
        <v>78</v>
      </c>
      <c r="L892" s="21" t="s">
        <v>2587</v>
      </c>
      <c r="M892" s="21" t="s">
        <v>73</v>
      </c>
      <c r="N892" s="21"/>
    </row>
    <row r="893" spans="1:14" ht="64.05" customHeight="1">
      <c r="A893" s="20" t="s">
        <v>2503</v>
      </c>
      <c r="B893" s="20" t="s">
        <v>30</v>
      </c>
      <c r="C893" s="20" t="s">
        <v>180</v>
      </c>
      <c r="D893" s="20" t="s">
        <v>181</v>
      </c>
      <c r="E893" s="20" t="s">
        <v>2595</v>
      </c>
      <c r="F893" s="20">
        <v>1</v>
      </c>
      <c r="G893" s="20" t="s">
        <v>901</v>
      </c>
      <c r="H893" s="20" t="s">
        <v>698</v>
      </c>
      <c r="I893" s="21" t="s">
        <v>2596</v>
      </c>
      <c r="J893" s="21"/>
      <c r="K893" s="21" t="s">
        <v>78</v>
      </c>
      <c r="L893" s="21" t="s">
        <v>2587</v>
      </c>
      <c r="M893" s="21" t="s">
        <v>73</v>
      </c>
      <c r="N893" s="21"/>
    </row>
    <row r="894" spans="1:14" ht="64.05" customHeight="1">
      <c r="A894" s="20" t="s">
        <v>2503</v>
      </c>
      <c r="B894" s="20" t="s">
        <v>30</v>
      </c>
      <c r="C894" s="20" t="s">
        <v>180</v>
      </c>
      <c r="D894" s="20" t="s">
        <v>181</v>
      </c>
      <c r="E894" s="20" t="s">
        <v>2597</v>
      </c>
      <c r="F894" s="20">
        <v>1</v>
      </c>
      <c r="G894" s="20" t="s">
        <v>901</v>
      </c>
      <c r="H894" s="20" t="s">
        <v>698</v>
      </c>
      <c r="I894" s="21" t="s">
        <v>2598</v>
      </c>
      <c r="J894" s="21"/>
      <c r="K894" s="21" t="s">
        <v>78</v>
      </c>
      <c r="L894" s="21" t="s">
        <v>2587</v>
      </c>
      <c r="M894" s="21" t="s">
        <v>73</v>
      </c>
      <c r="N894" s="21"/>
    </row>
    <row r="895" spans="1:14" ht="64.05" customHeight="1">
      <c r="A895" s="20" t="s">
        <v>2503</v>
      </c>
      <c r="B895" s="20" t="s">
        <v>30</v>
      </c>
      <c r="C895" s="20" t="s">
        <v>180</v>
      </c>
      <c r="D895" s="20" t="s">
        <v>181</v>
      </c>
      <c r="E895" s="20" t="s">
        <v>2599</v>
      </c>
      <c r="F895" s="20">
        <v>1</v>
      </c>
      <c r="G895" s="20" t="s">
        <v>2600</v>
      </c>
      <c r="H895" s="20" t="s">
        <v>1671</v>
      </c>
      <c r="I895" s="21" t="s">
        <v>141</v>
      </c>
      <c r="J895" s="21"/>
      <c r="K895" s="21" t="s">
        <v>112</v>
      </c>
      <c r="L895" s="21" t="s">
        <v>2601</v>
      </c>
      <c r="M895" s="21" t="s">
        <v>62</v>
      </c>
      <c r="N895" s="21" t="s">
        <v>130</v>
      </c>
    </row>
    <row r="896" spans="1:14" ht="64.05" customHeight="1">
      <c r="A896" s="20" t="s">
        <v>2503</v>
      </c>
      <c r="B896" s="20" t="s">
        <v>30</v>
      </c>
      <c r="C896" s="20" t="s">
        <v>180</v>
      </c>
      <c r="D896" s="20" t="s">
        <v>181</v>
      </c>
      <c r="E896" s="20" t="s">
        <v>2602</v>
      </c>
      <c r="F896" s="20">
        <v>1</v>
      </c>
      <c r="G896" s="20" t="s">
        <v>2603</v>
      </c>
      <c r="H896" s="20" t="s">
        <v>2604</v>
      </c>
      <c r="I896" s="21" t="s">
        <v>2605</v>
      </c>
      <c r="J896" s="21"/>
      <c r="K896" s="21" t="s">
        <v>112</v>
      </c>
      <c r="L896" s="21" t="s">
        <v>2606</v>
      </c>
      <c r="M896" s="21" t="s">
        <v>62</v>
      </c>
      <c r="N896" s="21" t="s">
        <v>712</v>
      </c>
    </row>
    <row r="897" spans="1:14" ht="64.05" customHeight="1">
      <c r="A897" s="20" t="s">
        <v>2503</v>
      </c>
      <c r="B897" s="20" t="s">
        <v>30</v>
      </c>
      <c r="C897" s="20" t="s">
        <v>180</v>
      </c>
      <c r="D897" s="20" t="s">
        <v>181</v>
      </c>
      <c r="E897" s="20" t="s">
        <v>2607</v>
      </c>
      <c r="F897" s="20">
        <v>1</v>
      </c>
      <c r="G897" s="20" t="s">
        <v>2603</v>
      </c>
      <c r="H897" s="20" t="s">
        <v>2604</v>
      </c>
      <c r="I897" s="21" t="s">
        <v>2605</v>
      </c>
      <c r="J897" s="21"/>
      <c r="K897" s="21" t="s">
        <v>112</v>
      </c>
      <c r="L897" s="21" t="s">
        <v>2606</v>
      </c>
      <c r="M897" s="21" t="s">
        <v>62</v>
      </c>
      <c r="N897" s="21" t="s">
        <v>712</v>
      </c>
    </row>
    <row r="898" spans="1:14" ht="64.05" customHeight="1">
      <c r="A898" s="20" t="s">
        <v>2503</v>
      </c>
      <c r="B898" s="20" t="s">
        <v>30</v>
      </c>
      <c r="C898" s="20" t="s">
        <v>180</v>
      </c>
      <c r="D898" s="20" t="s">
        <v>181</v>
      </c>
      <c r="E898" s="20" t="s">
        <v>2608</v>
      </c>
      <c r="F898" s="20">
        <v>1</v>
      </c>
      <c r="G898" s="20" t="s">
        <v>2603</v>
      </c>
      <c r="H898" s="20" t="s">
        <v>2604</v>
      </c>
      <c r="I898" s="21" t="s">
        <v>2605</v>
      </c>
      <c r="J898" s="21"/>
      <c r="K898" s="21" t="s">
        <v>112</v>
      </c>
      <c r="L898" s="21" t="s">
        <v>2606</v>
      </c>
      <c r="M898" s="21" t="s">
        <v>62</v>
      </c>
      <c r="N898" s="21" t="s">
        <v>712</v>
      </c>
    </row>
    <row r="899" spans="1:14" ht="64.05" customHeight="1">
      <c r="A899" s="20" t="s">
        <v>2503</v>
      </c>
      <c r="B899" s="20" t="s">
        <v>30</v>
      </c>
      <c r="C899" s="20" t="s">
        <v>180</v>
      </c>
      <c r="D899" s="20" t="s">
        <v>181</v>
      </c>
      <c r="E899" s="20" t="s">
        <v>2609</v>
      </c>
      <c r="F899" s="20">
        <v>1</v>
      </c>
      <c r="G899" s="20" t="s">
        <v>659</v>
      </c>
      <c r="H899" s="20" t="s">
        <v>2610</v>
      </c>
      <c r="I899" s="21" t="s">
        <v>141</v>
      </c>
      <c r="J899" s="21"/>
      <c r="K899" s="21" t="s">
        <v>112</v>
      </c>
      <c r="L899" s="21" t="s">
        <v>2611</v>
      </c>
      <c r="M899" s="21" t="s">
        <v>62</v>
      </c>
      <c r="N899" s="21" t="s">
        <v>712</v>
      </c>
    </row>
    <row r="900" spans="1:14" ht="64.05" customHeight="1">
      <c r="A900" s="20" t="s">
        <v>2503</v>
      </c>
      <c r="B900" s="20" t="s">
        <v>30</v>
      </c>
      <c r="C900" s="20" t="s">
        <v>180</v>
      </c>
      <c r="D900" s="20" t="s">
        <v>181</v>
      </c>
      <c r="E900" s="20" t="s">
        <v>2612</v>
      </c>
      <c r="F900" s="20">
        <v>1</v>
      </c>
      <c r="G900" s="20" t="s">
        <v>659</v>
      </c>
      <c r="H900" s="20" t="s">
        <v>2610</v>
      </c>
      <c r="I900" s="21" t="s">
        <v>141</v>
      </c>
      <c r="J900" s="21"/>
      <c r="K900" s="21" t="s">
        <v>112</v>
      </c>
      <c r="L900" s="21" t="s">
        <v>2613</v>
      </c>
      <c r="M900" s="21" t="s">
        <v>62</v>
      </c>
      <c r="N900" s="21" t="s">
        <v>712</v>
      </c>
    </row>
    <row r="901" spans="1:14" ht="64.05" customHeight="1">
      <c r="A901" s="20" t="s">
        <v>2503</v>
      </c>
      <c r="B901" s="20" t="s">
        <v>30</v>
      </c>
      <c r="C901" s="20" t="s">
        <v>180</v>
      </c>
      <c r="D901" s="20" t="s">
        <v>181</v>
      </c>
      <c r="E901" s="20" t="s">
        <v>2614</v>
      </c>
      <c r="F901" s="20">
        <v>1</v>
      </c>
      <c r="G901" s="20" t="s">
        <v>659</v>
      </c>
      <c r="H901" s="20" t="s">
        <v>2610</v>
      </c>
      <c r="I901" s="21" t="s">
        <v>141</v>
      </c>
      <c r="J901" s="21"/>
      <c r="K901" s="21" t="s">
        <v>112</v>
      </c>
      <c r="L901" s="21" t="s">
        <v>2615</v>
      </c>
      <c r="M901" s="21" t="s">
        <v>62</v>
      </c>
      <c r="N901" s="21" t="s">
        <v>712</v>
      </c>
    </row>
    <row r="902" spans="1:14" ht="64.05" customHeight="1">
      <c r="A902" s="20" t="s">
        <v>2503</v>
      </c>
      <c r="B902" s="20" t="s">
        <v>30</v>
      </c>
      <c r="C902" s="20" t="s">
        <v>188</v>
      </c>
      <c r="D902" s="20" t="s">
        <v>189</v>
      </c>
      <c r="E902" s="20" t="s">
        <v>2616</v>
      </c>
      <c r="F902" s="20">
        <v>1</v>
      </c>
      <c r="G902" s="20" t="s">
        <v>92</v>
      </c>
      <c r="H902" s="20"/>
      <c r="I902" s="21" t="s">
        <v>2617</v>
      </c>
      <c r="J902" s="21"/>
      <c r="K902" s="21" t="s">
        <v>109</v>
      </c>
      <c r="L902" s="21" t="s">
        <v>2618</v>
      </c>
      <c r="M902" s="21" t="s">
        <v>73</v>
      </c>
      <c r="N902" s="21"/>
    </row>
    <row r="903" spans="1:14" ht="64.05" customHeight="1">
      <c r="A903" s="20" t="s">
        <v>2503</v>
      </c>
      <c r="B903" s="20" t="s">
        <v>30</v>
      </c>
      <c r="C903" s="20" t="s">
        <v>188</v>
      </c>
      <c r="D903" s="20" t="s">
        <v>189</v>
      </c>
      <c r="E903" s="20" t="s">
        <v>2619</v>
      </c>
      <c r="F903" s="20">
        <v>1</v>
      </c>
      <c r="G903" s="20" t="s">
        <v>92</v>
      </c>
      <c r="H903" s="20"/>
      <c r="I903" s="21" t="s">
        <v>2620</v>
      </c>
      <c r="J903" s="21"/>
      <c r="K903" s="21" t="s">
        <v>109</v>
      </c>
      <c r="L903" s="21" t="s">
        <v>2618</v>
      </c>
      <c r="M903" s="21" t="s">
        <v>73</v>
      </c>
      <c r="N903" s="21"/>
    </row>
    <row r="904" spans="1:14" ht="64.05" customHeight="1">
      <c r="A904" s="20" t="s">
        <v>2503</v>
      </c>
      <c r="B904" s="20" t="s">
        <v>30</v>
      </c>
      <c r="C904" s="20" t="s">
        <v>188</v>
      </c>
      <c r="D904" s="20" t="s">
        <v>189</v>
      </c>
      <c r="E904" s="20" t="s">
        <v>2621</v>
      </c>
      <c r="F904" s="20">
        <v>1</v>
      </c>
      <c r="G904" s="20" t="s">
        <v>481</v>
      </c>
      <c r="H904" s="20" t="s">
        <v>2622</v>
      </c>
      <c r="I904" s="21" t="s">
        <v>2623</v>
      </c>
      <c r="J904" s="21"/>
      <c r="K904" s="21"/>
      <c r="L904" s="21" t="s">
        <v>2624</v>
      </c>
      <c r="M904" s="21" t="s">
        <v>73</v>
      </c>
      <c r="N904" s="21"/>
    </row>
    <row r="905" spans="1:14" ht="64.05" customHeight="1">
      <c r="A905" s="20" t="s">
        <v>2503</v>
      </c>
      <c r="B905" s="20" t="s">
        <v>26</v>
      </c>
      <c r="C905" s="20" t="s">
        <v>196</v>
      </c>
      <c r="D905" s="20" t="s">
        <v>197</v>
      </c>
      <c r="E905" s="20" t="s">
        <v>2625</v>
      </c>
      <c r="F905" s="20">
        <v>1</v>
      </c>
      <c r="G905" s="20" t="s">
        <v>2626</v>
      </c>
      <c r="H905" s="20" t="s">
        <v>2627</v>
      </c>
      <c r="I905" s="21" t="s">
        <v>764</v>
      </c>
      <c r="J905" s="21"/>
      <c r="K905" s="21"/>
      <c r="L905" s="21" t="s">
        <v>2628</v>
      </c>
      <c r="M905" s="21" t="s">
        <v>73</v>
      </c>
      <c r="N905" s="21"/>
    </row>
    <row r="906" spans="1:14" ht="64.05" customHeight="1">
      <c r="A906" s="20" t="s">
        <v>2503</v>
      </c>
      <c r="B906" s="20" t="s">
        <v>26</v>
      </c>
      <c r="C906" s="20" t="s">
        <v>196</v>
      </c>
      <c r="D906" s="20" t="s">
        <v>197</v>
      </c>
      <c r="E906" s="20" t="s">
        <v>2629</v>
      </c>
      <c r="F906" s="20">
        <v>1</v>
      </c>
      <c r="G906" s="20" t="s">
        <v>2626</v>
      </c>
      <c r="H906" s="20" t="s">
        <v>2627</v>
      </c>
      <c r="I906" s="21" t="s">
        <v>2556</v>
      </c>
      <c r="J906" s="21"/>
      <c r="K906" s="21" t="s">
        <v>140</v>
      </c>
      <c r="L906" s="21" t="s">
        <v>2630</v>
      </c>
      <c r="M906" s="21" t="s">
        <v>102</v>
      </c>
      <c r="N906" s="21"/>
    </row>
    <row r="907" spans="1:14" ht="64.05" customHeight="1">
      <c r="A907" s="20" t="s">
        <v>2503</v>
      </c>
      <c r="B907" s="20" t="s">
        <v>33</v>
      </c>
      <c r="C907" s="20" t="s">
        <v>2088</v>
      </c>
      <c r="D907" s="20" t="s">
        <v>660</v>
      </c>
      <c r="E907" s="20" t="s">
        <v>2631</v>
      </c>
      <c r="F907" s="20">
        <v>1</v>
      </c>
      <c r="G907" s="20" t="s">
        <v>2632</v>
      </c>
      <c r="H907" s="20"/>
      <c r="I907" s="21" t="s">
        <v>2633</v>
      </c>
      <c r="J907" s="21" t="s">
        <v>245</v>
      </c>
      <c r="K907" s="21" t="s">
        <v>2634</v>
      </c>
      <c r="L907" s="21" t="s">
        <v>2635</v>
      </c>
      <c r="M907" s="21" t="s">
        <v>62</v>
      </c>
      <c r="N907" s="21" t="s">
        <v>1435</v>
      </c>
    </row>
    <row r="908" spans="1:14" ht="64.05" customHeight="1">
      <c r="A908" s="20" t="s">
        <v>2503</v>
      </c>
      <c r="B908" s="20" t="s">
        <v>33</v>
      </c>
      <c r="C908" s="20" t="s">
        <v>2088</v>
      </c>
      <c r="D908" s="20" t="s">
        <v>660</v>
      </c>
      <c r="E908" s="20" t="s">
        <v>2636</v>
      </c>
      <c r="F908" s="20">
        <v>1</v>
      </c>
      <c r="G908" s="20" t="s">
        <v>2632</v>
      </c>
      <c r="H908" s="20"/>
      <c r="I908" s="21" t="s">
        <v>2633</v>
      </c>
      <c r="J908" s="21" t="s">
        <v>245</v>
      </c>
      <c r="K908" s="21" t="s">
        <v>2634</v>
      </c>
      <c r="L908" s="21" t="s">
        <v>2635</v>
      </c>
      <c r="M908" s="21" t="s">
        <v>62</v>
      </c>
      <c r="N908" s="21" t="s">
        <v>1435</v>
      </c>
    </row>
    <row r="909" spans="1:14" ht="64.05" customHeight="1">
      <c r="A909" s="20" t="s">
        <v>2503</v>
      </c>
      <c r="B909" s="20" t="s">
        <v>33</v>
      </c>
      <c r="C909" s="20" t="s">
        <v>2314</v>
      </c>
      <c r="D909" s="20" t="s">
        <v>2315</v>
      </c>
      <c r="E909" s="20" t="s">
        <v>2637</v>
      </c>
      <c r="F909" s="20">
        <v>1</v>
      </c>
      <c r="G909" s="20"/>
      <c r="H909" s="20"/>
      <c r="I909" s="21" t="s">
        <v>733</v>
      </c>
      <c r="J909" s="21"/>
      <c r="K909" s="21" t="s">
        <v>2638</v>
      </c>
      <c r="L909" s="21" t="s">
        <v>2639</v>
      </c>
      <c r="M909" s="21" t="s">
        <v>102</v>
      </c>
      <c r="N909" s="21"/>
    </row>
    <row r="910" spans="1:14" ht="64.05" customHeight="1">
      <c r="A910" s="20" t="s">
        <v>2503</v>
      </c>
      <c r="B910" s="20" t="s">
        <v>33</v>
      </c>
      <c r="C910" s="20" t="s">
        <v>2314</v>
      </c>
      <c r="D910" s="20" t="s">
        <v>2315</v>
      </c>
      <c r="E910" s="20" t="s">
        <v>2640</v>
      </c>
      <c r="F910" s="20">
        <v>1</v>
      </c>
      <c r="G910" s="20"/>
      <c r="H910" s="20"/>
      <c r="I910" s="21" t="s">
        <v>733</v>
      </c>
      <c r="J910" s="21"/>
      <c r="K910" s="21" t="s">
        <v>2638</v>
      </c>
      <c r="L910" s="21" t="s">
        <v>2639</v>
      </c>
      <c r="M910" s="21" t="s">
        <v>102</v>
      </c>
      <c r="N910" s="21"/>
    </row>
    <row r="911" spans="1:14" ht="64.05" customHeight="1">
      <c r="A911" s="20" t="s">
        <v>2503</v>
      </c>
      <c r="B911" s="20" t="s">
        <v>33</v>
      </c>
      <c r="C911" s="20" t="s">
        <v>2103</v>
      </c>
      <c r="D911" s="20" t="s">
        <v>2104</v>
      </c>
      <c r="E911" s="20" t="s">
        <v>2641</v>
      </c>
      <c r="F911" s="20">
        <v>1</v>
      </c>
      <c r="G911" s="20" t="s">
        <v>92</v>
      </c>
      <c r="H911" s="20"/>
      <c r="I911" s="21" t="s">
        <v>2642</v>
      </c>
      <c r="J911" s="21"/>
      <c r="K911" s="21" t="s">
        <v>2643</v>
      </c>
      <c r="L911" s="21" t="s">
        <v>2644</v>
      </c>
      <c r="M911" s="21" t="s">
        <v>73</v>
      </c>
      <c r="N911" s="21"/>
    </row>
    <row r="912" spans="1:14" ht="64.05" customHeight="1">
      <c r="A912" s="20" t="s">
        <v>2503</v>
      </c>
      <c r="B912" s="20" t="s">
        <v>33</v>
      </c>
      <c r="C912" s="20" t="s">
        <v>2103</v>
      </c>
      <c r="D912" s="20" t="s">
        <v>2104</v>
      </c>
      <c r="E912" s="20" t="s">
        <v>2645</v>
      </c>
      <c r="F912" s="20">
        <v>1</v>
      </c>
      <c r="G912" s="20" t="s">
        <v>92</v>
      </c>
      <c r="H912" s="20"/>
      <c r="I912" s="21" t="s">
        <v>2646</v>
      </c>
      <c r="J912" s="21"/>
      <c r="K912" s="21" t="s">
        <v>109</v>
      </c>
      <c r="L912" s="21" t="s">
        <v>2644</v>
      </c>
      <c r="M912" s="21" t="s">
        <v>73</v>
      </c>
      <c r="N912" s="21"/>
    </row>
    <row r="913" spans="1:14" ht="64.05" customHeight="1">
      <c r="A913" s="20" t="s">
        <v>2503</v>
      </c>
      <c r="B913" s="20" t="s">
        <v>33</v>
      </c>
      <c r="C913" s="20" t="s">
        <v>2103</v>
      </c>
      <c r="D913" s="20" t="s">
        <v>2104</v>
      </c>
      <c r="E913" s="20" t="s">
        <v>2647</v>
      </c>
      <c r="F913" s="20">
        <v>1</v>
      </c>
      <c r="G913" s="20" t="s">
        <v>92</v>
      </c>
      <c r="H913" s="20"/>
      <c r="I913" s="21" t="s">
        <v>2648</v>
      </c>
      <c r="J913" s="21"/>
      <c r="K913" s="21" t="s">
        <v>109</v>
      </c>
      <c r="L913" s="21" t="s">
        <v>2644</v>
      </c>
      <c r="M913" s="21" t="s">
        <v>73</v>
      </c>
      <c r="N913" s="21"/>
    </row>
    <row r="914" spans="1:14" ht="64.05" customHeight="1">
      <c r="A914" s="20" t="s">
        <v>2503</v>
      </c>
      <c r="B914" s="20" t="s">
        <v>33</v>
      </c>
      <c r="C914" s="20" t="s">
        <v>2103</v>
      </c>
      <c r="D914" s="20" t="s">
        <v>2104</v>
      </c>
      <c r="E914" s="20" t="s">
        <v>2649</v>
      </c>
      <c r="F914" s="20">
        <v>1</v>
      </c>
      <c r="G914" s="20" t="s">
        <v>92</v>
      </c>
      <c r="H914" s="20"/>
      <c r="I914" s="21" t="s">
        <v>2650</v>
      </c>
      <c r="J914" s="21"/>
      <c r="K914" s="21" t="s">
        <v>109</v>
      </c>
      <c r="L914" s="21" t="s">
        <v>2644</v>
      </c>
      <c r="M914" s="21" t="s">
        <v>73</v>
      </c>
      <c r="N914" s="21"/>
    </row>
    <row r="915" spans="1:14" ht="64.05" customHeight="1">
      <c r="A915" s="20" t="s">
        <v>2503</v>
      </c>
      <c r="B915" s="20" t="s">
        <v>31</v>
      </c>
      <c r="C915" s="20" t="s">
        <v>491</v>
      </c>
      <c r="D915" s="20" t="s">
        <v>492</v>
      </c>
      <c r="E915" s="20" t="s">
        <v>2651</v>
      </c>
      <c r="F915" s="20">
        <v>1</v>
      </c>
      <c r="G915" s="20" t="s">
        <v>92</v>
      </c>
      <c r="H915" s="20"/>
      <c r="I915" s="21" t="s">
        <v>2652</v>
      </c>
      <c r="J915" s="21" t="s">
        <v>99</v>
      </c>
      <c r="K915" s="21" t="s">
        <v>1714</v>
      </c>
      <c r="L915" s="21" t="s">
        <v>2653</v>
      </c>
      <c r="M915" s="21" t="s">
        <v>102</v>
      </c>
      <c r="N915" s="21"/>
    </row>
    <row r="916" spans="1:14" ht="64.05" customHeight="1">
      <c r="A916" s="20" t="s">
        <v>2503</v>
      </c>
      <c r="B916" s="20" t="s">
        <v>30</v>
      </c>
      <c r="C916" s="20" t="s">
        <v>180</v>
      </c>
      <c r="D916" s="20" t="s">
        <v>181</v>
      </c>
      <c r="E916" s="20" t="s">
        <v>2588</v>
      </c>
      <c r="F916" s="20">
        <v>1</v>
      </c>
      <c r="G916" s="20" t="s">
        <v>2589</v>
      </c>
      <c r="H916" s="20" t="s">
        <v>2590</v>
      </c>
      <c r="I916" s="21" t="s">
        <v>2593</v>
      </c>
      <c r="J916" s="21"/>
      <c r="K916" s="21" t="s">
        <v>78</v>
      </c>
      <c r="L916" s="21" t="s">
        <v>2587</v>
      </c>
      <c r="M916" s="21" t="s">
        <v>73</v>
      </c>
      <c r="N916" s="21"/>
    </row>
    <row r="917" spans="1:14" ht="64.05" customHeight="1">
      <c r="A917" s="20" t="s">
        <v>2654</v>
      </c>
      <c r="B917" s="20" t="s">
        <v>22</v>
      </c>
      <c r="C917" s="20" t="s">
        <v>370</v>
      </c>
      <c r="D917" s="20" t="s">
        <v>371</v>
      </c>
      <c r="E917" s="20" t="s">
        <v>2655</v>
      </c>
      <c r="F917" s="20">
        <v>1</v>
      </c>
      <c r="G917" s="20" t="s">
        <v>92</v>
      </c>
      <c r="H917" s="20"/>
      <c r="I917" s="21" t="s">
        <v>2656</v>
      </c>
      <c r="J917" s="21"/>
      <c r="K917" s="21"/>
      <c r="L917" s="21" t="s">
        <v>2657</v>
      </c>
      <c r="M917" s="21" t="s">
        <v>102</v>
      </c>
      <c r="N917" s="21"/>
    </row>
    <row r="918" spans="1:14" ht="64.05" customHeight="1">
      <c r="A918" s="20" t="s">
        <v>2654</v>
      </c>
      <c r="B918" s="20" t="s">
        <v>22</v>
      </c>
      <c r="C918" s="20" t="s">
        <v>370</v>
      </c>
      <c r="D918" s="20" t="s">
        <v>371</v>
      </c>
      <c r="E918" s="20" t="s">
        <v>2658</v>
      </c>
      <c r="F918" s="20">
        <v>1</v>
      </c>
      <c r="G918" s="20" t="s">
        <v>92</v>
      </c>
      <c r="H918" s="20"/>
      <c r="I918" s="21" t="s">
        <v>733</v>
      </c>
      <c r="J918" s="21"/>
      <c r="K918" s="21"/>
      <c r="L918" s="21" t="s">
        <v>2659</v>
      </c>
      <c r="M918" s="21" t="s">
        <v>102</v>
      </c>
      <c r="N918" s="21"/>
    </row>
    <row r="919" spans="1:14" ht="64.05" customHeight="1">
      <c r="A919" s="20" t="s">
        <v>2654</v>
      </c>
      <c r="B919" s="20" t="s">
        <v>22</v>
      </c>
      <c r="C919" s="20" t="s">
        <v>370</v>
      </c>
      <c r="D919" s="20" t="s">
        <v>371</v>
      </c>
      <c r="E919" s="20" t="s">
        <v>2660</v>
      </c>
      <c r="F919" s="20">
        <v>1</v>
      </c>
      <c r="G919" s="20" t="s">
        <v>92</v>
      </c>
      <c r="H919" s="20"/>
      <c r="I919" s="21" t="s">
        <v>733</v>
      </c>
      <c r="J919" s="21"/>
      <c r="K919" s="21"/>
      <c r="L919" s="21" t="s">
        <v>2659</v>
      </c>
      <c r="M919" s="21" t="s">
        <v>102</v>
      </c>
      <c r="N919" s="21"/>
    </row>
    <row r="920" spans="1:14" ht="64.05" customHeight="1">
      <c r="A920" s="20" t="s">
        <v>2654</v>
      </c>
      <c r="B920" s="20" t="s">
        <v>23</v>
      </c>
      <c r="C920" s="20" t="s">
        <v>103</v>
      </c>
      <c r="D920" s="20" t="s">
        <v>104</v>
      </c>
      <c r="E920" s="20" t="s">
        <v>2661</v>
      </c>
      <c r="F920" s="20">
        <v>1</v>
      </c>
      <c r="G920" s="20" t="s">
        <v>2662</v>
      </c>
      <c r="H920" s="20" t="s">
        <v>2663</v>
      </c>
      <c r="I920" s="21" t="s">
        <v>2664</v>
      </c>
      <c r="J920" s="21"/>
      <c r="K920" s="21"/>
      <c r="L920" s="21" t="s">
        <v>2665</v>
      </c>
      <c r="M920" s="21" t="s">
        <v>73</v>
      </c>
      <c r="N920" s="21"/>
    </row>
    <row r="921" spans="1:14" ht="64.05" customHeight="1">
      <c r="A921" s="20" t="s">
        <v>2654</v>
      </c>
      <c r="B921" s="20" t="s">
        <v>23</v>
      </c>
      <c r="C921" s="20" t="s">
        <v>103</v>
      </c>
      <c r="D921" s="20" t="s">
        <v>104</v>
      </c>
      <c r="E921" s="20" t="s">
        <v>2666</v>
      </c>
      <c r="F921" s="20">
        <v>1</v>
      </c>
      <c r="G921" s="20" t="s">
        <v>2662</v>
      </c>
      <c r="H921" s="20" t="s">
        <v>2663</v>
      </c>
      <c r="I921" s="21" t="s">
        <v>2664</v>
      </c>
      <c r="J921" s="21"/>
      <c r="K921" s="21"/>
      <c r="L921" s="21" t="s">
        <v>2665</v>
      </c>
      <c r="M921" s="21" t="s">
        <v>73</v>
      </c>
      <c r="N921" s="21"/>
    </row>
    <row r="922" spans="1:14" ht="64.05" customHeight="1">
      <c r="A922" s="20" t="s">
        <v>2654</v>
      </c>
      <c r="B922" s="20" t="s">
        <v>23</v>
      </c>
      <c r="C922" s="20" t="s">
        <v>103</v>
      </c>
      <c r="D922" s="20" t="s">
        <v>104</v>
      </c>
      <c r="E922" s="20" t="s">
        <v>2667</v>
      </c>
      <c r="F922" s="20">
        <v>1</v>
      </c>
      <c r="G922" s="20" t="s">
        <v>2662</v>
      </c>
      <c r="H922" s="20" t="s">
        <v>2663</v>
      </c>
      <c r="I922" s="21" t="s">
        <v>2664</v>
      </c>
      <c r="J922" s="21"/>
      <c r="K922" s="21"/>
      <c r="L922" s="21" t="s">
        <v>2665</v>
      </c>
      <c r="M922" s="21" t="s">
        <v>73</v>
      </c>
      <c r="N922" s="21"/>
    </row>
    <row r="923" spans="1:14" ht="64.05" customHeight="1">
      <c r="A923" s="20" t="s">
        <v>2654</v>
      </c>
      <c r="B923" s="20" t="s">
        <v>23</v>
      </c>
      <c r="C923" s="20" t="s">
        <v>103</v>
      </c>
      <c r="D923" s="20" t="s">
        <v>104</v>
      </c>
      <c r="E923" s="20" t="s">
        <v>2668</v>
      </c>
      <c r="F923" s="20">
        <v>1</v>
      </c>
      <c r="G923" s="20" t="s">
        <v>2662</v>
      </c>
      <c r="H923" s="20" t="s">
        <v>2663</v>
      </c>
      <c r="I923" s="21" t="s">
        <v>2664</v>
      </c>
      <c r="J923" s="21"/>
      <c r="K923" s="21"/>
      <c r="L923" s="21" t="s">
        <v>2665</v>
      </c>
      <c r="M923" s="21" t="s">
        <v>73</v>
      </c>
      <c r="N923" s="21"/>
    </row>
    <row r="924" spans="1:14" ht="64.05" customHeight="1">
      <c r="A924" s="20" t="s">
        <v>2654</v>
      </c>
      <c r="B924" s="20" t="s">
        <v>23</v>
      </c>
      <c r="C924" s="20" t="s">
        <v>103</v>
      </c>
      <c r="D924" s="20" t="s">
        <v>104</v>
      </c>
      <c r="E924" s="20" t="s">
        <v>2669</v>
      </c>
      <c r="F924" s="20">
        <v>1</v>
      </c>
      <c r="G924" s="20" t="s">
        <v>386</v>
      </c>
      <c r="H924" s="20" t="s">
        <v>2670</v>
      </c>
      <c r="I924" s="21" t="s">
        <v>141</v>
      </c>
      <c r="J924" s="21"/>
      <c r="K924" s="21" t="s">
        <v>406</v>
      </c>
      <c r="L924" s="21" t="s">
        <v>2671</v>
      </c>
      <c r="M924" s="21" t="s">
        <v>102</v>
      </c>
      <c r="N924" s="21"/>
    </row>
    <row r="925" spans="1:14" ht="64.05" customHeight="1">
      <c r="A925" s="20" t="s">
        <v>2654</v>
      </c>
      <c r="B925" s="20" t="s">
        <v>23</v>
      </c>
      <c r="C925" s="20" t="s">
        <v>103</v>
      </c>
      <c r="D925" s="20" t="s">
        <v>104</v>
      </c>
      <c r="E925" s="20" t="s">
        <v>2672</v>
      </c>
      <c r="F925" s="20">
        <v>1</v>
      </c>
      <c r="G925" s="20" t="s">
        <v>2673</v>
      </c>
      <c r="H925" s="20" t="s">
        <v>2674</v>
      </c>
      <c r="I925" s="21" t="s">
        <v>141</v>
      </c>
      <c r="J925" s="21"/>
      <c r="K925" s="21" t="s">
        <v>406</v>
      </c>
      <c r="L925" s="21" t="s">
        <v>2675</v>
      </c>
      <c r="M925" s="21" t="s">
        <v>62</v>
      </c>
      <c r="N925" s="21" t="s">
        <v>130</v>
      </c>
    </row>
    <row r="926" spans="1:14" ht="64.05" customHeight="1">
      <c r="A926" s="20" t="s">
        <v>2654</v>
      </c>
      <c r="B926" s="20" t="s">
        <v>24</v>
      </c>
      <c r="C926" s="20" t="s">
        <v>426</v>
      </c>
      <c r="D926" s="20" t="s">
        <v>427</v>
      </c>
      <c r="E926" s="20" t="s">
        <v>2676</v>
      </c>
      <c r="F926" s="20">
        <v>1</v>
      </c>
      <c r="G926" s="20" t="s">
        <v>1008</v>
      </c>
      <c r="H926" s="20" t="s">
        <v>1009</v>
      </c>
      <c r="I926" s="21" t="s">
        <v>141</v>
      </c>
      <c r="J926" s="21"/>
      <c r="K926" s="21"/>
      <c r="L926" s="21" t="s">
        <v>2677</v>
      </c>
      <c r="M926" s="21" t="s">
        <v>62</v>
      </c>
      <c r="N926" s="21" t="s">
        <v>130</v>
      </c>
    </row>
    <row r="927" spans="1:14" ht="64.05" customHeight="1">
      <c r="A927" s="20" t="s">
        <v>2654</v>
      </c>
      <c r="B927" s="20" t="s">
        <v>24</v>
      </c>
      <c r="C927" s="20" t="s">
        <v>426</v>
      </c>
      <c r="D927" s="20" t="s">
        <v>427</v>
      </c>
      <c r="E927" s="20" t="s">
        <v>2678</v>
      </c>
      <c r="F927" s="20">
        <v>1</v>
      </c>
      <c r="G927" s="20" t="s">
        <v>2679</v>
      </c>
      <c r="H927" s="20"/>
      <c r="I927" s="21"/>
      <c r="J927" s="21"/>
      <c r="K927" s="21" t="s">
        <v>2680</v>
      </c>
      <c r="L927" s="21" t="s">
        <v>2681</v>
      </c>
      <c r="M927" s="21" t="s">
        <v>62</v>
      </c>
      <c r="N927" s="21" t="s">
        <v>161</v>
      </c>
    </row>
    <row r="928" spans="1:14" ht="64.05" customHeight="1">
      <c r="A928" s="20" t="s">
        <v>2654</v>
      </c>
      <c r="B928" s="20" t="s">
        <v>24</v>
      </c>
      <c r="C928" s="20" t="s">
        <v>426</v>
      </c>
      <c r="D928" s="20" t="s">
        <v>427</v>
      </c>
      <c r="E928" s="20" t="s">
        <v>2682</v>
      </c>
      <c r="F928" s="20">
        <v>1</v>
      </c>
      <c r="G928" s="20" t="s">
        <v>2679</v>
      </c>
      <c r="H928" s="20"/>
      <c r="I928" s="21"/>
      <c r="J928" s="21"/>
      <c r="K928" s="21" t="s">
        <v>2680</v>
      </c>
      <c r="L928" s="21" t="s">
        <v>2681</v>
      </c>
      <c r="M928" s="21" t="s">
        <v>62</v>
      </c>
      <c r="N928" s="21" t="s">
        <v>161</v>
      </c>
    </row>
    <row r="929" spans="1:14" ht="64.05" customHeight="1">
      <c r="A929" s="20" t="s">
        <v>2654</v>
      </c>
      <c r="B929" s="20" t="s">
        <v>24</v>
      </c>
      <c r="C929" s="20" t="s">
        <v>426</v>
      </c>
      <c r="D929" s="20" t="s">
        <v>427</v>
      </c>
      <c r="E929" s="20" t="s">
        <v>2683</v>
      </c>
      <c r="F929" s="20">
        <v>1</v>
      </c>
      <c r="G929" s="20" t="s">
        <v>1863</v>
      </c>
      <c r="H929" s="20" t="s">
        <v>2684</v>
      </c>
      <c r="I929" s="21" t="s">
        <v>2685</v>
      </c>
      <c r="J929" s="21"/>
      <c r="K929" s="21" t="s">
        <v>320</v>
      </c>
      <c r="L929" s="21" t="s">
        <v>2686</v>
      </c>
      <c r="M929" s="21" t="s">
        <v>62</v>
      </c>
      <c r="N929" s="21" t="s">
        <v>811</v>
      </c>
    </row>
    <row r="930" spans="1:14" ht="64.05" customHeight="1">
      <c r="A930" s="20" t="s">
        <v>2654</v>
      </c>
      <c r="B930" s="20" t="s">
        <v>24</v>
      </c>
      <c r="C930" s="20" t="s">
        <v>426</v>
      </c>
      <c r="D930" s="20" t="s">
        <v>427</v>
      </c>
      <c r="E930" s="20" t="s">
        <v>2687</v>
      </c>
      <c r="F930" s="20">
        <v>1</v>
      </c>
      <c r="G930" s="20" t="s">
        <v>1863</v>
      </c>
      <c r="H930" s="20" t="s">
        <v>2684</v>
      </c>
      <c r="I930" s="21" t="s">
        <v>2685</v>
      </c>
      <c r="J930" s="21"/>
      <c r="K930" s="21" t="s">
        <v>320</v>
      </c>
      <c r="L930" s="21" t="s">
        <v>2688</v>
      </c>
      <c r="M930" s="21" t="s">
        <v>62</v>
      </c>
      <c r="N930" s="21" t="s">
        <v>811</v>
      </c>
    </row>
    <row r="931" spans="1:14" ht="64.05" customHeight="1">
      <c r="A931" s="20" t="s">
        <v>2654</v>
      </c>
      <c r="B931" s="20" t="s">
        <v>24</v>
      </c>
      <c r="C931" s="20" t="s">
        <v>426</v>
      </c>
      <c r="D931" s="20" t="s">
        <v>427</v>
      </c>
      <c r="E931" s="20" t="s">
        <v>2689</v>
      </c>
      <c r="F931" s="20">
        <v>1</v>
      </c>
      <c r="G931" s="20" t="s">
        <v>1863</v>
      </c>
      <c r="H931" s="20" t="s">
        <v>2684</v>
      </c>
      <c r="I931" s="21" t="s">
        <v>2685</v>
      </c>
      <c r="J931" s="21"/>
      <c r="K931" s="21" t="s">
        <v>320</v>
      </c>
      <c r="L931" s="21" t="s">
        <v>2686</v>
      </c>
      <c r="M931" s="21" t="s">
        <v>62</v>
      </c>
      <c r="N931" s="21" t="s">
        <v>811</v>
      </c>
    </row>
    <row r="932" spans="1:14" ht="64.05" customHeight="1">
      <c r="A932" s="20" t="s">
        <v>2654</v>
      </c>
      <c r="B932" s="20" t="s">
        <v>24</v>
      </c>
      <c r="C932" s="20" t="s">
        <v>431</v>
      </c>
      <c r="D932" s="20" t="s">
        <v>216</v>
      </c>
      <c r="E932" s="20" t="s">
        <v>2690</v>
      </c>
      <c r="F932" s="20">
        <v>1</v>
      </c>
      <c r="G932" s="20" t="s">
        <v>92</v>
      </c>
      <c r="H932" s="20" t="s">
        <v>216</v>
      </c>
      <c r="I932" s="21" t="s">
        <v>60</v>
      </c>
      <c r="J932" s="21"/>
      <c r="K932" s="21"/>
      <c r="L932" s="21" t="s">
        <v>2691</v>
      </c>
      <c r="M932" s="21" t="s">
        <v>62</v>
      </c>
      <c r="N932" s="21" t="s">
        <v>63</v>
      </c>
    </row>
    <row r="933" spans="1:14" ht="64.05" customHeight="1">
      <c r="A933" s="20" t="s">
        <v>2654</v>
      </c>
      <c r="B933" s="20" t="s">
        <v>24</v>
      </c>
      <c r="C933" s="20" t="s">
        <v>431</v>
      </c>
      <c r="D933" s="20" t="s">
        <v>216</v>
      </c>
      <c r="E933" s="20" t="s">
        <v>2692</v>
      </c>
      <c r="F933" s="20">
        <v>1</v>
      </c>
      <c r="G933" s="20" t="s">
        <v>92</v>
      </c>
      <c r="H933" s="20" t="s">
        <v>216</v>
      </c>
      <c r="I933" s="21" t="s">
        <v>2693</v>
      </c>
      <c r="J933" s="21"/>
      <c r="K933" s="21"/>
      <c r="L933" s="21" t="s">
        <v>2694</v>
      </c>
      <c r="M933" s="21" t="s">
        <v>62</v>
      </c>
      <c r="N933" s="21" t="s">
        <v>712</v>
      </c>
    </row>
    <row r="934" spans="1:14" ht="64.05" customHeight="1">
      <c r="A934" s="20" t="s">
        <v>2654</v>
      </c>
      <c r="B934" s="20" t="s">
        <v>24</v>
      </c>
      <c r="C934" s="20" t="s">
        <v>436</v>
      </c>
      <c r="D934" s="20" t="s">
        <v>437</v>
      </c>
      <c r="E934" s="20" t="s">
        <v>2695</v>
      </c>
      <c r="F934" s="20">
        <v>1</v>
      </c>
      <c r="G934" s="20" t="s">
        <v>92</v>
      </c>
      <c r="H934" s="20"/>
      <c r="I934" s="21" t="s">
        <v>406</v>
      </c>
      <c r="J934" s="21"/>
      <c r="K934" s="21"/>
      <c r="L934" s="21" t="s">
        <v>2696</v>
      </c>
      <c r="M934" s="21" t="s">
        <v>62</v>
      </c>
      <c r="N934" s="21" t="s">
        <v>63</v>
      </c>
    </row>
    <row r="935" spans="1:14" ht="64.05" customHeight="1">
      <c r="A935" s="20" t="s">
        <v>2654</v>
      </c>
      <c r="B935" s="20" t="s">
        <v>24</v>
      </c>
      <c r="C935" s="20" t="s">
        <v>436</v>
      </c>
      <c r="D935" s="20" t="s">
        <v>437</v>
      </c>
      <c r="E935" s="20" t="s">
        <v>2697</v>
      </c>
      <c r="F935" s="20">
        <v>1</v>
      </c>
      <c r="G935" s="20" t="s">
        <v>92</v>
      </c>
      <c r="H935" s="20"/>
      <c r="I935" s="21" t="s">
        <v>406</v>
      </c>
      <c r="J935" s="21"/>
      <c r="K935" s="21"/>
      <c r="L935" s="21" t="s">
        <v>2696</v>
      </c>
      <c r="M935" s="21" t="s">
        <v>62</v>
      </c>
      <c r="N935" s="21" t="s">
        <v>63</v>
      </c>
    </row>
    <row r="936" spans="1:14" ht="64.05" customHeight="1">
      <c r="A936" s="20" t="s">
        <v>2654</v>
      </c>
      <c r="B936" s="20" t="s">
        <v>24</v>
      </c>
      <c r="C936" s="20" t="s">
        <v>436</v>
      </c>
      <c r="D936" s="20" t="s">
        <v>437</v>
      </c>
      <c r="E936" s="20" t="s">
        <v>2698</v>
      </c>
      <c r="F936" s="20">
        <v>1</v>
      </c>
      <c r="G936" s="20" t="s">
        <v>92</v>
      </c>
      <c r="H936" s="20"/>
      <c r="I936" s="21"/>
      <c r="J936" s="21"/>
      <c r="K936" s="21"/>
      <c r="L936" s="21" t="s">
        <v>2699</v>
      </c>
      <c r="M936" s="21" t="s">
        <v>62</v>
      </c>
      <c r="N936" s="21" t="s">
        <v>63</v>
      </c>
    </row>
    <row r="937" spans="1:14" ht="64.05" customHeight="1">
      <c r="A937" s="20" t="s">
        <v>2654</v>
      </c>
      <c r="B937" s="20" t="s">
        <v>24</v>
      </c>
      <c r="C937" s="20" t="s">
        <v>136</v>
      </c>
      <c r="D937" s="20" t="s">
        <v>137</v>
      </c>
      <c r="E937" s="20" t="s">
        <v>2700</v>
      </c>
      <c r="F937" s="20">
        <v>1</v>
      </c>
      <c r="G937" s="20" t="s">
        <v>2701</v>
      </c>
      <c r="H937" s="20" t="s">
        <v>2702</v>
      </c>
      <c r="I937" s="21" t="s">
        <v>406</v>
      </c>
      <c r="J937" s="21"/>
      <c r="K937" s="21" t="s">
        <v>406</v>
      </c>
      <c r="L937" s="21" t="s">
        <v>2703</v>
      </c>
      <c r="M937" s="21" t="s">
        <v>62</v>
      </c>
      <c r="N937" s="21" t="s">
        <v>130</v>
      </c>
    </row>
    <row r="938" spans="1:14" ht="64.05" customHeight="1">
      <c r="A938" s="20" t="s">
        <v>2654</v>
      </c>
      <c r="B938" s="20" t="s">
        <v>24</v>
      </c>
      <c r="C938" s="20" t="s">
        <v>136</v>
      </c>
      <c r="D938" s="20" t="s">
        <v>137</v>
      </c>
      <c r="E938" s="20" t="s">
        <v>2704</v>
      </c>
      <c r="F938" s="20">
        <v>1</v>
      </c>
      <c r="G938" s="20" t="s">
        <v>2705</v>
      </c>
      <c r="H938" s="20" t="s">
        <v>2706</v>
      </c>
      <c r="I938" s="21" t="s">
        <v>2707</v>
      </c>
      <c r="J938" s="21"/>
      <c r="K938" s="21" t="s">
        <v>960</v>
      </c>
      <c r="L938" s="21" t="s">
        <v>2708</v>
      </c>
      <c r="M938" s="21" t="s">
        <v>62</v>
      </c>
      <c r="N938" s="21" t="s">
        <v>130</v>
      </c>
    </row>
    <row r="939" spans="1:14" ht="64.05" customHeight="1">
      <c r="A939" s="20" t="s">
        <v>2654</v>
      </c>
      <c r="B939" s="20" t="s">
        <v>24</v>
      </c>
      <c r="C939" s="20" t="s">
        <v>136</v>
      </c>
      <c r="D939" s="20" t="s">
        <v>137</v>
      </c>
      <c r="E939" s="20" t="s">
        <v>2709</v>
      </c>
      <c r="F939" s="20">
        <v>1</v>
      </c>
      <c r="G939" s="20" t="s">
        <v>2705</v>
      </c>
      <c r="H939" s="20" t="s">
        <v>2706</v>
      </c>
      <c r="I939" s="21" t="s">
        <v>2710</v>
      </c>
      <c r="J939" s="21"/>
      <c r="K939" s="21" t="s">
        <v>960</v>
      </c>
      <c r="L939" s="21" t="s">
        <v>2711</v>
      </c>
      <c r="M939" s="21" t="s">
        <v>62</v>
      </c>
      <c r="N939" s="21" t="s">
        <v>130</v>
      </c>
    </row>
    <row r="940" spans="1:14" ht="64.05" customHeight="1">
      <c r="A940" s="20" t="s">
        <v>2654</v>
      </c>
      <c r="B940" s="20" t="s">
        <v>24</v>
      </c>
      <c r="C940" s="20" t="s">
        <v>136</v>
      </c>
      <c r="D940" s="20" t="s">
        <v>137</v>
      </c>
      <c r="E940" s="20" t="s">
        <v>2712</v>
      </c>
      <c r="F940" s="20">
        <v>1</v>
      </c>
      <c r="G940" s="20" t="s">
        <v>92</v>
      </c>
      <c r="H940" s="20"/>
      <c r="I940" s="21" t="s">
        <v>2713</v>
      </c>
      <c r="J940" s="21"/>
      <c r="K940" s="21" t="s">
        <v>622</v>
      </c>
      <c r="L940" s="21" t="s">
        <v>2714</v>
      </c>
      <c r="M940" s="21" t="s">
        <v>102</v>
      </c>
      <c r="N940" s="21"/>
    </row>
    <row r="941" spans="1:14" ht="64.05" customHeight="1">
      <c r="A941" s="20" t="s">
        <v>2654</v>
      </c>
      <c r="B941" s="20" t="s">
        <v>28</v>
      </c>
      <c r="C941" s="20" t="s">
        <v>146</v>
      </c>
      <c r="D941" s="20" t="s">
        <v>147</v>
      </c>
      <c r="E941" s="20" t="s">
        <v>2715</v>
      </c>
      <c r="F941" s="20">
        <v>1</v>
      </c>
      <c r="G941" s="20" t="s">
        <v>149</v>
      </c>
      <c r="H941" s="20" t="s">
        <v>423</v>
      </c>
      <c r="I941" s="21" t="s">
        <v>2716</v>
      </c>
      <c r="J941" s="21"/>
      <c r="K941" s="21" t="s">
        <v>960</v>
      </c>
      <c r="L941" s="21" t="s">
        <v>2717</v>
      </c>
      <c r="M941" s="21" t="s">
        <v>73</v>
      </c>
      <c r="N941" s="21"/>
    </row>
    <row r="942" spans="1:14" ht="64.05" customHeight="1">
      <c r="A942" s="20" t="s">
        <v>2654</v>
      </c>
      <c r="B942" s="20" t="s">
        <v>28</v>
      </c>
      <c r="C942" s="20" t="s">
        <v>146</v>
      </c>
      <c r="D942" s="20" t="s">
        <v>147</v>
      </c>
      <c r="E942" s="20" t="s">
        <v>2718</v>
      </c>
      <c r="F942" s="20">
        <v>1</v>
      </c>
      <c r="G942" s="20" t="s">
        <v>149</v>
      </c>
      <c r="H942" s="20" t="s">
        <v>423</v>
      </c>
      <c r="I942" s="21" t="s">
        <v>2716</v>
      </c>
      <c r="J942" s="21"/>
      <c r="K942" s="21" t="s">
        <v>960</v>
      </c>
      <c r="L942" s="21" t="s">
        <v>2719</v>
      </c>
      <c r="M942" s="21" t="s">
        <v>73</v>
      </c>
      <c r="N942" s="21"/>
    </row>
    <row r="943" spans="1:14" ht="64.05" customHeight="1">
      <c r="A943" s="20" t="s">
        <v>2654</v>
      </c>
      <c r="B943" s="20" t="s">
        <v>28</v>
      </c>
      <c r="C943" s="20" t="s">
        <v>146</v>
      </c>
      <c r="D943" s="20" t="s">
        <v>147</v>
      </c>
      <c r="E943" s="20" t="s">
        <v>2720</v>
      </c>
      <c r="F943" s="20">
        <v>1</v>
      </c>
      <c r="G943" s="20" t="s">
        <v>149</v>
      </c>
      <c r="H943" s="20" t="s">
        <v>423</v>
      </c>
      <c r="I943" s="21" t="s">
        <v>2716</v>
      </c>
      <c r="J943" s="21"/>
      <c r="K943" s="21" t="s">
        <v>960</v>
      </c>
      <c r="L943" s="21" t="s">
        <v>2719</v>
      </c>
      <c r="M943" s="21" t="s">
        <v>73</v>
      </c>
      <c r="N943" s="21"/>
    </row>
    <row r="944" spans="1:14" ht="64.05" customHeight="1">
      <c r="A944" s="20" t="s">
        <v>2654</v>
      </c>
      <c r="B944" s="20" t="s">
        <v>28</v>
      </c>
      <c r="C944" s="20" t="s">
        <v>146</v>
      </c>
      <c r="D944" s="20" t="s">
        <v>147</v>
      </c>
      <c r="E944" s="20" t="s">
        <v>2721</v>
      </c>
      <c r="F944" s="20">
        <v>1</v>
      </c>
      <c r="G944" s="20" t="s">
        <v>149</v>
      </c>
      <c r="H944" s="20" t="s">
        <v>423</v>
      </c>
      <c r="I944" s="21" t="s">
        <v>2716</v>
      </c>
      <c r="J944" s="21"/>
      <c r="K944" s="21" t="s">
        <v>960</v>
      </c>
      <c r="L944" s="21" t="s">
        <v>2719</v>
      </c>
      <c r="M944" s="21" t="s">
        <v>73</v>
      </c>
      <c r="N944" s="21"/>
    </row>
    <row r="945" spans="1:14" ht="64.05" customHeight="1">
      <c r="A945" s="20" t="s">
        <v>2654</v>
      </c>
      <c r="B945" s="20" t="s">
        <v>28</v>
      </c>
      <c r="C945" s="20" t="s">
        <v>146</v>
      </c>
      <c r="D945" s="20" t="s">
        <v>147</v>
      </c>
      <c r="E945" s="20" t="s">
        <v>2722</v>
      </c>
      <c r="F945" s="20">
        <v>1</v>
      </c>
      <c r="G945" s="20" t="s">
        <v>149</v>
      </c>
      <c r="H945" s="20" t="s">
        <v>423</v>
      </c>
      <c r="I945" s="21" t="s">
        <v>2716</v>
      </c>
      <c r="J945" s="21"/>
      <c r="K945" s="21" t="s">
        <v>960</v>
      </c>
      <c r="L945" s="21" t="s">
        <v>2719</v>
      </c>
      <c r="M945" s="21" t="s">
        <v>73</v>
      </c>
      <c r="N945" s="21"/>
    </row>
    <row r="946" spans="1:14" ht="64.05" customHeight="1">
      <c r="A946" s="20" t="s">
        <v>2654</v>
      </c>
      <c r="B946" s="20" t="s">
        <v>28</v>
      </c>
      <c r="C946" s="20" t="s">
        <v>146</v>
      </c>
      <c r="D946" s="20" t="s">
        <v>147</v>
      </c>
      <c r="E946" s="20" t="s">
        <v>2723</v>
      </c>
      <c r="F946" s="20">
        <v>1</v>
      </c>
      <c r="G946" s="20" t="s">
        <v>149</v>
      </c>
      <c r="H946" s="20" t="s">
        <v>423</v>
      </c>
      <c r="I946" s="21" t="s">
        <v>2065</v>
      </c>
      <c r="J946" s="21"/>
      <c r="K946" s="21" t="s">
        <v>960</v>
      </c>
      <c r="L946" s="21" t="s">
        <v>2724</v>
      </c>
      <c r="M946" s="21" t="s">
        <v>62</v>
      </c>
      <c r="N946" s="21" t="s">
        <v>130</v>
      </c>
    </row>
    <row r="947" spans="1:14" ht="64.05" customHeight="1">
      <c r="A947" s="20" t="s">
        <v>2654</v>
      </c>
      <c r="B947" s="20" t="s">
        <v>28</v>
      </c>
      <c r="C947" s="20" t="s">
        <v>146</v>
      </c>
      <c r="D947" s="20" t="s">
        <v>147</v>
      </c>
      <c r="E947" s="20" t="s">
        <v>2725</v>
      </c>
      <c r="F947" s="20">
        <v>1</v>
      </c>
      <c r="G947" s="20" t="s">
        <v>149</v>
      </c>
      <c r="H947" s="20" t="s">
        <v>423</v>
      </c>
      <c r="I947" s="21" t="s">
        <v>2065</v>
      </c>
      <c r="J947" s="21"/>
      <c r="K947" s="21" t="s">
        <v>960</v>
      </c>
      <c r="L947" s="21" t="s">
        <v>2726</v>
      </c>
      <c r="M947" s="21" t="s">
        <v>73</v>
      </c>
      <c r="N947" s="21"/>
    </row>
    <row r="948" spans="1:14" ht="64.05" customHeight="1">
      <c r="A948" s="20" t="s">
        <v>2654</v>
      </c>
      <c r="B948" s="20" t="s">
        <v>28</v>
      </c>
      <c r="C948" s="20" t="s">
        <v>146</v>
      </c>
      <c r="D948" s="20" t="s">
        <v>147</v>
      </c>
      <c r="E948" s="20" t="s">
        <v>2727</v>
      </c>
      <c r="F948" s="20">
        <v>1</v>
      </c>
      <c r="G948" s="20" t="s">
        <v>149</v>
      </c>
      <c r="H948" s="20" t="s">
        <v>423</v>
      </c>
      <c r="I948" s="21" t="s">
        <v>2065</v>
      </c>
      <c r="J948" s="21"/>
      <c r="K948" s="21" t="s">
        <v>960</v>
      </c>
      <c r="L948" s="21" t="s">
        <v>2726</v>
      </c>
      <c r="M948" s="21" t="s">
        <v>73</v>
      </c>
      <c r="N948" s="21"/>
    </row>
    <row r="949" spans="1:14" ht="64.05" customHeight="1">
      <c r="A949" s="20" t="s">
        <v>2654</v>
      </c>
      <c r="B949" s="20" t="s">
        <v>28</v>
      </c>
      <c r="C949" s="20" t="s">
        <v>146</v>
      </c>
      <c r="D949" s="20" t="s">
        <v>147</v>
      </c>
      <c r="E949" s="20" t="s">
        <v>2728</v>
      </c>
      <c r="F949" s="20">
        <v>1</v>
      </c>
      <c r="G949" s="20" t="s">
        <v>149</v>
      </c>
      <c r="H949" s="20" t="s">
        <v>423</v>
      </c>
      <c r="I949" s="21" t="s">
        <v>2065</v>
      </c>
      <c r="J949" s="21"/>
      <c r="K949" s="21" t="s">
        <v>960</v>
      </c>
      <c r="L949" s="21" t="s">
        <v>2726</v>
      </c>
      <c r="M949" s="21" t="s">
        <v>73</v>
      </c>
      <c r="N949" s="21"/>
    </row>
    <row r="950" spans="1:14" ht="64.05" customHeight="1">
      <c r="A950" s="20" t="s">
        <v>2654</v>
      </c>
      <c r="B950" s="20" t="s">
        <v>28</v>
      </c>
      <c r="C950" s="20" t="s">
        <v>146</v>
      </c>
      <c r="D950" s="20" t="s">
        <v>147</v>
      </c>
      <c r="E950" s="20" t="s">
        <v>2729</v>
      </c>
      <c r="F950" s="20">
        <v>1</v>
      </c>
      <c r="G950" s="20" t="s">
        <v>149</v>
      </c>
      <c r="H950" s="20" t="s">
        <v>423</v>
      </c>
      <c r="I950" s="21" t="s">
        <v>2065</v>
      </c>
      <c r="J950" s="21"/>
      <c r="K950" s="21" t="s">
        <v>960</v>
      </c>
      <c r="L950" s="21" t="s">
        <v>2726</v>
      </c>
      <c r="M950" s="21" t="s">
        <v>73</v>
      </c>
      <c r="N950" s="21"/>
    </row>
    <row r="951" spans="1:14" ht="64.05" customHeight="1">
      <c r="A951" s="20" t="s">
        <v>2654</v>
      </c>
      <c r="B951" s="20" t="s">
        <v>28</v>
      </c>
      <c r="C951" s="20" t="s">
        <v>146</v>
      </c>
      <c r="D951" s="20" t="s">
        <v>147</v>
      </c>
      <c r="E951" s="20" t="s">
        <v>2730</v>
      </c>
      <c r="F951" s="20">
        <v>1</v>
      </c>
      <c r="G951" s="20" t="s">
        <v>149</v>
      </c>
      <c r="H951" s="20" t="s">
        <v>423</v>
      </c>
      <c r="I951" s="21" t="s">
        <v>2065</v>
      </c>
      <c r="J951" s="21"/>
      <c r="K951" s="21" t="s">
        <v>960</v>
      </c>
      <c r="L951" s="21" t="s">
        <v>2726</v>
      </c>
      <c r="M951" s="21" t="s">
        <v>73</v>
      </c>
      <c r="N951" s="21"/>
    </row>
    <row r="952" spans="1:14" ht="64.05" customHeight="1">
      <c r="A952" s="20" t="s">
        <v>2654</v>
      </c>
      <c r="B952" s="20" t="s">
        <v>28</v>
      </c>
      <c r="C952" s="20" t="s">
        <v>146</v>
      </c>
      <c r="D952" s="20" t="s">
        <v>147</v>
      </c>
      <c r="E952" s="20" t="s">
        <v>2731</v>
      </c>
      <c r="F952" s="20">
        <v>1</v>
      </c>
      <c r="G952" s="20" t="s">
        <v>149</v>
      </c>
      <c r="H952" s="20" t="s">
        <v>423</v>
      </c>
      <c r="I952" s="21" t="s">
        <v>2065</v>
      </c>
      <c r="J952" s="21"/>
      <c r="K952" s="21" t="s">
        <v>960</v>
      </c>
      <c r="L952" s="21" t="s">
        <v>2726</v>
      </c>
      <c r="M952" s="21" t="s">
        <v>73</v>
      </c>
      <c r="N952" s="21"/>
    </row>
    <row r="953" spans="1:14" ht="64.05" customHeight="1">
      <c r="A953" s="20" t="s">
        <v>2654</v>
      </c>
      <c r="B953" s="20" t="s">
        <v>28</v>
      </c>
      <c r="C953" s="20" t="s">
        <v>146</v>
      </c>
      <c r="D953" s="20" t="s">
        <v>147</v>
      </c>
      <c r="E953" s="20" t="s">
        <v>2732</v>
      </c>
      <c r="F953" s="20">
        <v>1</v>
      </c>
      <c r="G953" s="20" t="s">
        <v>149</v>
      </c>
      <c r="H953" s="20" t="s">
        <v>423</v>
      </c>
      <c r="I953" s="21" t="s">
        <v>2065</v>
      </c>
      <c r="J953" s="21"/>
      <c r="K953" s="21" t="s">
        <v>960</v>
      </c>
      <c r="L953" s="21" t="s">
        <v>2726</v>
      </c>
      <c r="M953" s="21" t="s">
        <v>73</v>
      </c>
      <c r="N953" s="21"/>
    </row>
    <row r="954" spans="1:14" ht="64.05" customHeight="1">
      <c r="A954" s="20" t="s">
        <v>2654</v>
      </c>
      <c r="B954" s="20" t="s">
        <v>28</v>
      </c>
      <c r="C954" s="20" t="s">
        <v>146</v>
      </c>
      <c r="D954" s="20" t="s">
        <v>147</v>
      </c>
      <c r="E954" s="20" t="s">
        <v>2733</v>
      </c>
      <c r="F954" s="20">
        <v>1</v>
      </c>
      <c r="G954" s="20" t="s">
        <v>149</v>
      </c>
      <c r="H954" s="20" t="s">
        <v>423</v>
      </c>
      <c r="I954" s="21" t="s">
        <v>2065</v>
      </c>
      <c r="J954" s="21"/>
      <c r="K954" s="21" t="s">
        <v>960</v>
      </c>
      <c r="L954" s="21" t="s">
        <v>2726</v>
      </c>
      <c r="M954" s="21" t="s">
        <v>73</v>
      </c>
      <c r="N954" s="21"/>
    </row>
    <row r="955" spans="1:14" ht="64.05" customHeight="1">
      <c r="A955" s="20" t="s">
        <v>2654</v>
      </c>
      <c r="B955" s="20" t="s">
        <v>28</v>
      </c>
      <c r="C955" s="20" t="s">
        <v>146</v>
      </c>
      <c r="D955" s="20" t="s">
        <v>147</v>
      </c>
      <c r="E955" s="20" t="s">
        <v>2734</v>
      </c>
      <c r="F955" s="20">
        <v>1</v>
      </c>
      <c r="G955" s="20" t="s">
        <v>149</v>
      </c>
      <c r="H955" s="20" t="s">
        <v>423</v>
      </c>
      <c r="I955" s="21" t="s">
        <v>2065</v>
      </c>
      <c r="J955" s="21"/>
      <c r="K955" s="21" t="s">
        <v>960</v>
      </c>
      <c r="L955" s="21" t="s">
        <v>2726</v>
      </c>
      <c r="M955" s="21" t="s">
        <v>73</v>
      </c>
      <c r="N955" s="21"/>
    </row>
    <row r="956" spans="1:14" ht="64.05" customHeight="1">
      <c r="A956" s="20" t="s">
        <v>2654</v>
      </c>
      <c r="B956" s="20" t="s">
        <v>28</v>
      </c>
      <c r="C956" s="20" t="s">
        <v>146</v>
      </c>
      <c r="D956" s="20" t="s">
        <v>147</v>
      </c>
      <c r="E956" s="20" t="s">
        <v>2735</v>
      </c>
      <c r="F956" s="20">
        <v>1</v>
      </c>
      <c r="G956" s="20" t="s">
        <v>149</v>
      </c>
      <c r="H956" s="20" t="s">
        <v>423</v>
      </c>
      <c r="I956" s="21" t="s">
        <v>2065</v>
      </c>
      <c r="J956" s="21"/>
      <c r="K956" s="21" t="s">
        <v>960</v>
      </c>
      <c r="L956" s="21" t="s">
        <v>2726</v>
      </c>
      <c r="M956" s="21" t="s">
        <v>73</v>
      </c>
      <c r="N956" s="21"/>
    </row>
    <row r="957" spans="1:14" ht="64.05" customHeight="1">
      <c r="A957" s="20" t="s">
        <v>2654</v>
      </c>
      <c r="B957" s="20" t="s">
        <v>28</v>
      </c>
      <c r="C957" s="20" t="s">
        <v>146</v>
      </c>
      <c r="D957" s="20" t="s">
        <v>147</v>
      </c>
      <c r="E957" s="20" t="s">
        <v>2736</v>
      </c>
      <c r="F957" s="20">
        <v>1</v>
      </c>
      <c r="G957" s="20" t="s">
        <v>149</v>
      </c>
      <c r="H957" s="20" t="s">
        <v>423</v>
      </c>
      <c r="I957" s="21" t="s">
        <v>2065</v>
      </c>
      <c r="J957" s="21"/>
      <c r="K957" s="21" t="s">
        <v>960</v>
      </c>
      <c r="L957" s="21" t="s">
        <v>2726</v>
      </c>
      <c r="M957" s="21" t="s">
        <v>73</v>
      </c>
      <c r="N957" s="21"/>
    </row>
    <row r="958" spans="1:14" ht="64.05" customHeight="1">
      <c r="A958" s="20" t="s">
        <v>2654</v>
      </c>
      <c r="B958" s="20" t="s">
        <v>28</v>
      </c>
      <c r="C958" s="20" t="s">
        <v>146</v>
      </c>
      <c r="D958" s="20" t="s">
        <v>147</v>
      </c>
      <c r="E958" s="20" t="s">
        <v>2737</v>
      </c>
      <c r="F958" s="20">
        <v>1</v>
      </c>
      <c r="G958" s="20" t="s">
        <v>92</v>
      </c>
      <c r="H958" s="20"/>
      <c r="I958" s="21" t="s">
        <v>2065</v>
      </c>
      <c r="J958" s="21"/>
      <c r="K958" s="21" t="s">
        <v>960</v>
      </c>
      <c r="L958" s="21" t="s">
        <v>2738</v>
      </c>
      <c r="M958" s="21" t="s">
        <v>73</v>
      </c>
      <c r="N958" s="21"/>
    </row>
    <row r="959" spans="1:14" ht="64.05" customHeight="1">
      <c r="A959" s="20" t="s">
        <v>2654</v>
      </c>
      <c r="B959" s="20" t="s">
        <v>28</v>
      </c>
      <c r="C959" s="20" t="s">
        <v>146</v>
      </c>
      <c r="D959" s="20" t="s">
        <v>147</v>
      </c>
      <c r="E959" s="20" t="s">
        <v>2739</v>
      </c>
      <c r="F959" s="20">
        <v>1</v>
      </c>
      <c r="G959" s="20" t="s">
        <v>149</v>
      </c>
      <c r="H959" s="20" t="s">
        <v>423</v>
      </c>
      <c r="I959" s="21" t="s">
        <v>2065</v>
      </c>
      <c r="J959" s="21"/>
      <c r="K959" s="21" t="s">
        <v>960</v>
      </c>
      <c r="L959" s="21" t="s">
        <v>2740</v>
      </c>
      <c r="M959" s="21" t="s">
        <v>62</v>
      </c>
      <c r="N959" s="21" t="s">
        <v>130</v>
      </c>
    </row>
    <row r="960" spans="1:14" ht="64.05" customHeight="1">
      <c r="A960" s="20" t="s">
        <v>2654</v>
      </c>
      <c r="B960" s="20" t="s">
        <v>28</v>
      </c>
      <c r="C960" s="20" t="s">
        <v>146</v>
      </c>
      <c r="D960" s="20" t="s">
        <v>147</v>
      </c>
      <c r="E960" s="20" t="s">
        <v>2741</v>
      </c>
      <c r="F960" s="20">
        <v>1</v>
      </c>
      <c r="G960" s="20" t="s">
        <v>149</v>
      </c>
      <c r="H960" s="20" t="s">
        <v>423</v>
      </c>
      <c r="I960" s="21" t="s">
        <v>2065</v>
      </c>
      <c r="J960" s="21"/>
      <c r="K960" s="21" t="s">
        <v>960</v>
      </c>
      <c r="L960" s="21" t="s">
        <v>2742</v>
      </c>
      <c r="M960" s="21" t="s">
        <v>62</v>
      </c>
      <c r="N960" s="21" t="s">
        <v>130</v>
      </c>
    </row>
    <row r="961" spans="1:14" ht="64.05" customHeight="1">
      <c r="A961" s="20" t="s">
        <v>2654</v>
      </c>
      <c r="B961" s="20" t="s">
        <v>28</v>
      </c>
      <c r="C961" s="20" t="s">
        <v>167</v>
      </c>
      <c r="D961" s="20" t="s">
        <v>168</v>
      </c>
      <c r="E961" s="20" t="s">
        <v>2743</v>
      </c>
      <c r="F961" s="20">
        <v>1</v>
      </c>
      <c r="G961" s="20" t="s">
        <v>149</v>
      </c>
      <c r="H961" s="20" t="s">
        <v>423</v>
      </c>
      <c r="I961" s="21"/>
      <c r="J961" s="21"/>
      <c r="K961" s="21"/>
      <c r="L961" s="21" t="s">
        <v>2744</v>
      </c>
      <c r="M961" s="21" t="s">
        <v>102</v>
      </c>
      <c r="N961" s="21"/>
    </row>
    <row r="962" spans="1:14" ht="64.05" customHeight="1">
      <c r="A962" s="20" t="s">
        <v>2654</v>
      </c>
      <c r="B962" s="20" t="s">
        <v>28</v>
      </c>
      <c r="C962" s="20" t="s">
        <v>167</v>
      </c>
      <c r="D962" s="20" t="s">
        <v>168</v>
      </c>
      <c r="E962" s="20" t="s">
        <v>2745</v>
      </c>
      <c r="F962" s="20">
        <v>1</v>
      </c>
      <c r="G962" s="20" t="s">
        <v>92</v>
      </c>
      <c r="H962" s="20"/>
      <c r="I962" s="21" t="s">
        <v>733</v>
      </c>
      <c r="J962" s="21"/>
      <c r="K962" s="21"/>
      <c r="L962" s="21" t="s">
        <v>2746</v>
      </c>
      <c r="M962" s="21" t="s">
        <v>102</v>
      </c>
      <c r="N962" s="21"/>
    </row>
    <row r="963" spans="1:14" ht="64.05" customHeight="1">
      <c r="A963" s="20" t="s">
        <v>2654</v>
      </c>
      <c r="B963" s="20" t="s">
        <v>27</v>
      </c>
      <c r="C963" s="20" t="s">
        <v>1069</v>
      </c>
      <c r="D963" s="20" t="s">
        <v>1070</v>
      </c>
      <c r="E963" s="20" t="s">
        <v>2747</v>
      </c>
      <c r="F963" s="20">
        <v>1</v>
      </c>
      <c r="G963" s="20" t="s">
        <v>92</v>
      </c>
      <c r="H963" s="20"/>
      <c r="I963" s="21" t="s">
        <v>2748</v>
      </c>
      <c r="J963" s="21"/>
      <c r="K963" s="21" t="s">
        <v>2749</v>
      </c>
      <c r="L963" s="21" t="s">
        <v>2750</v>
      </c>
      <c r="M963" s="21" t="s">
        <v>62</v>
      </c>
      <c r="N963" s="21" t="s">
        <v>957</v>
      </c>
    </row>
    <row r="964" spans="1:14" ht="64.05" customHeight="1">
      <c r="A964" s="20" t="s">
        <v>2654</v>
      </c>
      <c r="B964" s="20" t="s">
        <v>27</v>
      </c>
      <c r="C964" s="20" t="s">
        <v>1069</v>
      </c>
      <c r="D964" s="20" t="s">
        <v>1070</v>
      </c>
      <c r="E964" s="20" t="s">
        <v>2751</v>
      </c>
      <c r="F964" s="20">
        <v>1</v>
      </c>
      <c r="G964" s="20" t="s">
        <v>92</v>
      </c>
      <c r="H964" s="20"/>
      <c r="I964" s="21" t="s">
        <v>2748</v>
      </c>
      <c r="J964" s="21"/>
      <c r="K964" s="21" t="s">
        <v>2749</v>
      </c>
      <c r="L964" s="21" t="s">
        <v>2750</v>
      </c>
      <c r="M964" s="21" t="s">
        <v>62</v>
      </c>
      <c r="N964" s="21" t="s">
        <v>957</v>
      </c>
    </row>
    <row r="965" spans="1:14" ht="64.05" customHeight="1">
      <c r="A965" s="20" t="s">
        <v>2654</v>
      </c>
      <c r="B965" s="20" t="s">
        <v>27</v>
      </c>
      <c r="C965" s="20" t="s">
        <v>1069</v>
      </c>
      <c r="D965" s="20" t="s">
        <v>1070</v>
      </c>
      <c r="E965" s="20" t="s">
        <v>2752</v>
      </c>
      <c r="F965" s="20">
        <v>1</v>
      </c>
      <c r="G965" s="20" t="s">
        <v>92</v>
      </c>
      <c r="H965" s="20"/>
      <c r="I965" s="21" t="s">
        <v>2748</v>
      </c>
      <c r="J965" s="21"/>
      <c r="K965" s="21" t="s">
        <v>2749</v>
      </c>
      <c r="L965" s="21" t="s">
        <v>2750</v>
      </c>
      <c r="M965" s="21" t="s">
        <v>62</v>
      </c>
      <c r="N965" s="21" t="s">
        <v>957</v>
      </c>
    </row>
    <row r="966" spans="1:14" ht="64.05" customHeight="1">
      <c r="A966" s="20" t="s">
        <v>2654</v>
      </c>
      <c r="B966" s="20" t="s">
        <v>30</v>
      </c>
      <c r="C966" s="20" t="s">
        <v>188</v>
      </c>
      <c r="D966" s="20" t="s">
        <v>189</v>
      </c>
      <c r="E966" s="20" t="s">
        <v>2753</v>
      </c>
      <c r="F966" s="20">
        <v>1</v>
      </c>
      <c r="G966" s="20" t="s">
        <v>2754</v>
      </c>
      <c r="H966" s="20" t="s">
        <v>2755</v>
      </c>
      <c r="I966" s="21" t="s">
        <v>112</v>
      </c>
      <c r="J966" s="21" t="s">
        <v>245</v>
      </c>
      <c r="K966" s="21"/>
      <c r="L966" s="21" t="s">
        <v>2756</v>
      </c>
      <c r="M966" s="21" t="s">
        <v>62</v>
      </c>
      <c r="N966" s="21" t="s">
        <v>1435</v>
      </c>
    </row>
    <row r="967" spans="1:14" ht="64.05" customHeight="1">
      <c r="A967" s="20" t="s">
        <v>2654</v>
      </c>
      <c r="B967" s="20" t="s">
        <v>30</v>
      </c>
      <c r="C967" s="20" t="s">
        <v>188</v>
      </c>
      <c r="D967" s="20" t="s">
        <v>189</v>
      </c>
      <c r="E967" s="20" t="s">
        <v>2757</v>
      </c>
      <c r="F967" s="20">
        <v>1</v>
      </c>
      <c r="G967" s="20" t="s">
        <v>2758</v>
      </c>
      <c r="H967" s="20" t="s">
        <v>2759</v>
      </c>
      <c r="I967" s="21" t="s">
        <v>2760</v>
      </c>
      <c r="J967" s="21"/>
      <c r="K967" s="21"/>
      <c r="L967" s="21" t="s">
        <v>2761</v>
      </c>
      <c r="M967" s="21" t="s">
        <v>73</v>
      </c>
      <c r="N967" s="21"/>
    </row>
    <row r="968" spans="1:14" ht="64.05" customHeight="1">
      <c r="A968" s="20" t="s">
        <v>2654</v>
      </c>
      <c r="B968" s="20" t="s">
        <v>33</v>
      </c>
      <c r="C968" s="20" t="s">
        <v>2088</v>
      </c>
      <c r="D968" s="20" t="s">
        <v>660</v>
      </c>
      <c r="E968" s="20" t="s">
        <v>2762</v>
      </c>
      <c r="F968" s="20">
        <v>1</v>
      </c>
      <c r="G968" s="20" t="s">
        <v>2763</v>
      </c>
      <c r="H968" s="20" t="s">
        <v>2764</v>
      </c>
      <c r="I968" s="21" t="s">
        <v>2765</v>
      </c>
      <c r="J968" s="21"/>
      <c r="K968" s="21"/>
      <c r="L968" s="21" t="s">
        <v>2766</v>
      </c>
      <c r="M968" s="21" t="s">
        <v>73</v>
      </c>
      <c r="N968" s="21"/>
    </row>
    <row r="969" spans="1:14" ht="64.05" customHeight="1">
      <c r="A969" s="20" t="s">
        <v>2654</v>
      </c>
      <c r="B969" s="20" t="s">
        <v>33</v>
      </c>
      <c r="C969" s="20" t="s">
        <v>2088</v>
      </c>
      <c r="D969" s="20" t="s">
        <v>660</v>
      </c>
      <c r="E969" s="20" t="s">
        <v>2767</v>
      </c>
      <c r="F969" s="20">
        <v>1</v>
      </c>
      <c r="G969" s="20"/>
      <c r="H969" s="20"/>
      <c r="I969" s="21" t="s">
        <v>2768</v>
      </c>
      <c r="J969" s="21"/>
      <c r="K969" s="21" t="s">
        <v>687</v>
      </c>
      <c r="L969" s="21" t="s">
        <v>2769</v>
      </c>
      <c r="M969" s="21" t="s">
        <v>73</v>
      </c>
      <c r="N969" s="21"/>
    </row>
    <row r="970" spans="1:14" ht="64.05" customHeight="1">
      <c r="A970" s="20" t="s">
        <v>2654</v>
      </c>
      <c r="B970" s="20" t="s">
        <v>31</v>
      </c>
      <c r="C970" s="20" t="s">
        <v>491</v>
      </c>
      <c r="D970" s="20" t="s">
        <v>216</v>
      </c>
      <c r="E970" s="20" t="s">
        <v>2770</v>
      </c>
      <c r="F970" s="20">
        <v>1</v>
      </c>
      <c r="G970" s="20" t="s">
        <v>92</v>
      </c>
      <c r="H970" s="20"/>
      <c r="I970" s="21" t="s">
        <v>2771</v>
      </c>
      <c r="J970" s="21"/>
      <c r="K970" s="21"/>
      <c r="L970" s="21" t="s">
        <v>2772</v>
      </c>
      <c r="M970" s="21" t="s">
        <v>62</v>
      </c>
      <c r="N970" s="21" t="s">
        <v>161</v>
      </c>
    </row>
    <row r="971" spans="1:14" ht="64.05" customHeight="1">
      <c r="A971" s="20" t="s">
        <v>2654</v>
      </c>
      <c r="B971" s="20" t="s">
        <v>31</v>
      </c>
      <c r="C971" s="20" t="s">
        <v>491</v>
      </c>
      <c r="D971" s="20" t="s">
        <v>216</v>
      </c>
      <c r="E971" s="20" t="s">
        <v>2773</v>
      </c>
      <c r="F971" s="20">
        <v>1</v>
      </c>
      <c r="G971" s="20" t="s">
        <v>92</v>
      </c>
      <c r="H971" s="20" t="s">
        <v>216</v>
      </c>
      <c r="I971" s="21" t="s">
        <v>2774</v>
      </c>
      <c r="J971" s="21"/>
      <c r="K971" s="21"/>
      <c r="L971" s="21" t="s">
        <v>2775</v>
      </c>
      <c r="M971" s="21" t="s">
        <v>102</v>
      </c>
      <c r="N971" s="21"/>
    </row>
    <row r="972" spans="1:14" ht="64.05" customHeight="1">
      <c r="A972" s="20" t="s">
        <v>2654</v>
      </c>
      <c r="B972" s="20" t="s">
        <v>32</v>
      </c>
      <c r="C972" s="20" t="s">
        <v>200</v>
      </c>
      <c r="D972" s="20" t="s">
        <v>201</v>
      </c>
      <c r="E972" s="20" t="s">
        <v>2776</v>
      </c>
      <c r="F972" s="20">
        <v>1</v>
      </c>
      <c r="G972" s="20" t="s">
        <v>2777</v>
      </c>
      <c r="H972" s="20" t="s">
        <v>509</v>
      </c>
      <c r="I972" s="21" t="s">
        <v>2778</v>
      </c>
      <c r="J972" s="21"/>
      <c r="K972" s="21" t="s">
        <v>109</v>
      </c>
      <c r="L972" s="21" t="s">
        <v>2779</v>
      </c>
      <c r="M972" s="21" t="s">
        <v>73</v>
      </c>
      <c r="N972" s="21"/>
    </row>
    <row r="973" spans="1:14" ht="64.05" customHeight="1">
      <c r="A973" s="20" t="s">
        <v>2780</v>
      </c>
      <c r="B973" s="20" t="s">
        <v>23</v>
      </c>
      <c r="C973" s="20" t="s">
        <v>103</v>
      </c>
      <c r="D973" s="20" t="s">
        <v>104</v>
      </c>
      <c r="E973" s="20" t="s">
        <v>2781</v>
      </c>
      <c r="F973" s="20">
        <v>1</v>
      </c>
      <c r="G973" s="20" t="s">
        <v>2782</v>
      </c>
      <c r="H973" s="20" t="s">
        <v>2404</v>
      </c>
      <c r="I973" s="21" t="s">
        <v>141</v>
      </c>
      <c r="J973" s="21"/>
      <c r="K973" s="21" t="s">
        <v>406</v>
      </c>
      <c r="L973" s="21" t="s">
        <v>2783</v>
      </c>
      <c r="M973" s="21" t="s">
        <v>62</v>
      </c>
      <c r="N973" s="21" t="s">
        <v>130</v>
      </c>
    </row>
    <row r="974" spans="1:14" ht="64.05" customHeight="1">
      <c r="A974" s="20" t="s">
        <v>2780</v>
      </c>
      <c r="B974" s="20" t="s">
        <v>30</v>
      </c>
      <c r="C974" s="20" t="s">
        <v>180</v>
      </c>
      <c r="D974" s="20" t="s">
        <v>181</v>
      </c>
      <c r="E974" s="20" t="s">
        <v>2784</v>
      </c>
      <c r="F974" s="20">
        <v>1</v>
      </c>
      <c r="G974" s="20" t="s">
        <v>429</v>
      </c>
      <c r="H974" s="20"/>
      <c r="I974" s="21" t="s">
        <v>406</v>
      </c>
      <c r="J974" s="21" t="s">
        <v>245</v>
      </c>
      <c r="K974" s="21"/>
      <c r="L974" s="21" t="s">
        <v>2785</v>
      </c>
      <c r="M974" s="21" t="s">
        <v>62</v>
      </c>
      <c r="N974" s="21" t="s">
        <v>1435</v>
      </c>
    </row>
    <row r="975" spans="1:14" ht="64.05" customHeight="1">
      <c r="A975" s="20" t="s">
        <v>2780</v>
      </c>
      <c r="B975" s="20" t="s">
        <v>31</v>
      </c>
      <c r="C975" s="20" t="s">
        <v>491</v>
      </c>
      <c r="D975" s="20" t="s">
        <v>492</v>
      </c>
      <c r="E975" s="20" t="s">
        <v>2786</v>
      </c>
      <c r="F975" s="20">
        <v>1</v>
      </c>
      <c r="G975" s="20" t="s">
        <v>139</v>
      </c>
      <c r="H975" s="20"/>
      <c r="I975" s="21" t="s">
        <v>2787</v>
      </c>
      <c r="J975" s="21"/>
      <c r="K975" s="21" t="s">
        <v>109</v>
      </c>
      <c r="L975" s="21" t="s">
        <v>2788</v>
      </c>
      <c r="M975" s="21" t="s">
        <v>102</v>
      </c>
      <c r="N975" s="21"/>
    </row>
    <row r="976" spans="1:14" ht="64.05" customHeight="1">
      <c r="A976" s="20" t="s">
        <v>2780</v>
      </c>
      <c r="B976" s="20" t="s">
        <v>24</v>
      </c>
      <c r="C976" s="20" t="s">
        <v>431</v>
      </c>
      <c r="D976" s="20" t="s">
        <v>216</v>
      </c>
      <c r="E976" s="20" t="s">
        <v>2789</v>
      </c>
      <c r="F976" s="20">
        <v>1</v>
      </c>
      <c r="G976" s="20" t="s">
        <v>2790</v>
      </c>
      <c r="H976" s="20" t="s">
        <v>2791</v>
      </c>
      <c r="I976" s="21" t="s">
        <v>2792</v>
      </c>
      <c r="J976" s="21"/>
      <c r="K976" s="21" t="s">
        <v>960</v>
      </c>
      <c r="L976" s="21" t="s">
        <v>2793</v>
      </c>
      <c r="M976" s="21" t="s">
        <v>102</v>
      </c>
      <c r="N976" s="21"/>
    </row>
    <row r="977" spans="1:14" ht="64.05" customHeight="1">
      <c r="A977" s="20" t="s">
        <v>2780</v>
      </c>
      <c r="B977" s="20" t="s">
        <v>24</v>
      </c>
      <c r="C977" s="20" t="s">
        <v>431</v>
      </c>
      <c r="D977" s="20" t="s">
        <v>216</v>
      </c>
      <c r="E977" s="20" t="s">
        <v>2794</v>
      </c>
      <c r="F977" s="20">
        <v>1</v>
      </c>
      <c r="G977" s="20" t="s">
        <v>2790</v>
      </c>
      <c r="H977" s="20" t="s">
        <v>2791</v>
      </c>
      <c r="I977" s="21" t="s">
        <v>164</v>
      </c>
      <c r="J977" s="21"/>
      <c r="K977" s="21" t="s">
        <v>960</v>
      </c>
      <c r="L977" s="21" t="s">
        <v>2795</v>
      </c>
      <c r="M977" s="21" t="s">
        <v>62</v>
      </c>
      <c r="N977" s="21" t="s">
        <v>130</v>
      </c>
    </row>
    <row r="978" spans="1:14" ht="64.05" customHeight="1">
      <c r="A978" s="20" t="s">
        <v>2780</v>
      </c>
      <c r="B978" s="20" t="s">
        <v>24</v>
      </c>
      <c r="C978" s="20" t="s">
        <v>431</v>
      </c>
      <c r="D978" s="20" t="s">
        <v>216</v>
      </c>
      <c r="E978" s="20" t="s">
        <v>2796</v>
      </c>
      <c r="F978" s="20">
        <v>1</v>
      </c>
      <c r="G978" s="20" t="s">
        <v>2790</v>
      </c>
      <c r="H978" s="20" t="s">
        <v>2791</v>
      </c>
      <c r="I978" s="21" t="s">
        <v>164</v>
      </c>
      <c r="J978" s="21"/>
      <c r="K978" s="21" t="s">
        <v>960</v>
      </c>
      <c r="L978" s="21" t="s">
        <v>2797</v>
      </c>
      <c r="M978" s="21" t="s">
        <v>62</v>
      </c>
      <c r="N978" s="21" t="s">
        <v>130</v>
      </c>
    </row>
    <row r="979" spans="1:14" ht="64.05" customHeight="1">
      <c r="A979" s="20" t="s">
        <v>2780</v>
      </c>
      <c r="B979" s="20" t="s">
        <v>22</v>
      </c>
      <c r="C979" s="20" t="s">
        <v>1149</v>
      </c>
      <c r="D979" s="20" t="s">
        <v>1150</v>
      </c>
      <c r="E979" s="20" t="s">
        <v>2798</v>
      </c>
      <c r="F979" s="20">
        <v>1</v>
      </c>
      <c r="G979" s="20" t="s">
        <v>92</v>
      </c>
      <c r="H979" s="20"/>
      <c r="I979" s="21" t="s">
        <v>406</v>
      </c>
      <c r="J979" s="21"/>
      <c r="K979" s="21"/>
      <c r="L979" s="21" t="s">
        <v>2799</v>
      </c>
      <c r="M979" s="21" t="s">
        <v>62</v>
      </c>
      <c r="N979" s="21" t="s">
        <v>2800</v>
      </c>
    </row>
    <row r="980" spans="1:14" ht="64.05" customHeight="1">
      <c r="A980" s="20" t="s">
        <v>2780</v>
      </c>
      <c r="B980" s="20" t="s">
        <v>22</v>
      </c>
      <c r="C980" s="20" t="s">
        <v>1149</v>
      </c>
      <c r="D980" s="20" t="s">
        <v>1150</v>
      </c>
      <c r="E980" s="20" t="s">
        <v>2801</v>
      </c>
      <c r="F980" s="20">
        <v>1</v>
      </c>
      <c r="G980" s="20" t="s">
        <v>92</v>
      </c>
      <c r="H980" s="20"/>
      <c r="I980" s="21" t="s">
        <v>406</v>
      </c>
      <c r="J980" s="21"/>
      <c r="K980" s="21"/>
      <c r="L980" s="21" t="s">
        <v>2802</v>
      </c>
      <c r="M980" s="21" t="s">
        <v>102</v>
      </c>
      <c r="N980" s="21"/>
    </row>
    <row r="981" spans="1:14" ht="64.05" customHeight="1">
      <c r="A981" s="20" t="s">
        <v>2780</v>
      </c>
      <c r="B981" s="20" t="s">
        <v>32</v>
      </c>
      <c r="C981" s="20" t="s">
        <v>200</v>
      </c>
      <c r="D981" s="20" t="s">
        <v>201</v>
      </c>
      <c r="E981" s="20" t="s">
        <v>2803</v>
      </c>
      <c r="F981" s="20">
        <v>1</v>
      </c>
      <c r="G981" s="20" t="s">
        <v>92</v>
      </c>
      <c r="H981" s="20"/>
      <c r="I981" s="21" t="s">
        <v>687</v>
      </c>
      <c r="J981" s="21"/>
      <c r="K981" s="21" t="s">
        <v>2804</v>
      </c>
      <c r="L981" s="21" t="s">
        <v>2805</v>
      </c>
      <c r="M981" s="21" t="s">
        <v>62</v>
      </c>
      <c r="N981" s="21" t="s">
        <v>624</v>
      </c>
    </row>
    <row r="982" spans="1:14" ht="64.05" customHeight="1">
      <c r="A982" s="20" t="s">
        <v>2780</v>
      </c>
      <c r="B982" s="20" t="s">
        <v>28</v>
      </c>
      <c r="C982" s="20" t="s">
        <v>167</v>
      </c>
      <c r="D982" s="20" t="s">
        <v>168</v>
      </c>
      <c r="E982" s="20" t="s">
        <v>2806</v>
      </c>
      <c r="F982" s="20">
        <v>1</v>
      </c>
      <c r="G982" s="20" t="s">
        <v>2807</v>
      </c>
      <c r="H982" s="20" t="s">
        <v>2808</v>
      </c>
      <c r="I982" s="21" t="s">
        <v>2809</v>
      </c>
      <c r="J982" s="21"/>
      <c r="K982" s="21" t="s">
        <v>2810</v>
      </c>
      <c r="L982" s="21" t="s">
        <v>2811</v>
      </c>
      <c r="M982" s="21" t="s">
        <v>62</v>
      </c>
      <c r="N982" s="21" t="s">
        <v>303</v>
      </c>
    </row>
    <row r="983" spans="1:14" ht="64.05" customHeight="1">
      <c r="A983" s="20" t="s">
        <v>2780</v>
      </c>
      <c r="B983" s="20" t="s">
        <v>28</v>
      </c>
      <c r="C983" s="20" t="s">
        <v>167</v>
      </c>
      <c r="D983" s="20" t="s">
        <v>168</v>
      </c>
      <c r="E983" s="20" t="s">
        <v>2812</v>
      </c>
      <c r="F983" s="20">
        <v>1</v>
      </c>
      <c r="G983" s="20" t="s">
        <v>454</v>
      </c>
      <c r="H983" s="20" t="s">
        <v>2813</v>
      </c>
      <c r="I983" s="21" t="s">
        <v>112</v>
      </c>
      <c r="J983" s="21"/>
      <c r="K983" s="21"/>
      <c r="L983" s="21" t="s">
        <v>2814</v>
      </c>
      <c r="M983" s="21" t="s">
        <v>62</v>
      </c>
      <c r="N983" s="21" t="s">
        <v>712</v>
      </c>
    </row>
    <row r="984" spans="1:14" ht="64.05" customHeight="1">
      <c r="A984" s="20" t="s">
        <v>2780</v>
      </c>
      <c r="B984" s="20" t="s">
        <v>28</v>
      </c>
      <c r="C984" s="20" t="s">
        <v>167</v>
      </c>
      <c r="D984" s="20" t="s">
        <v>168</v>
      </c>
      <c r="E984" s="20" t="s">
        <v>2815</v>
      </c>
      <c r="F984" s="20">
        <v>1</v>
      </c>
      <c r="G984" s="20" t="s">
        <v>2816</v>
      </c>
      <c r="H984" s="20" t="s">
        <v>2188</v>
      </c>
      <c r="I984" s="21" t="s">
        <v>112</v>
      </c>
      <c r="J984" s="21"/>
      <c r="K984" s="21"/>
      <c r="L984" s="21" t="s">
        <v>2817</v>
      </c>
      <c r="M984" s="21" t="s">
        <v>62</v>
      </c>
      <c r="N984" s="21" t="s">
        <v>303</v>
      </c>
    </row>
    <row r="985" spans="1:14" ht="64.05" customHeight="1">
      <c r="A985" s="20" t="s">
        <v>2780</v>
      </c>
      <c r="B985" s="20" t="s">
        <v>28</v>
      </c>
      <c r="C985" s="20" t="s">
        <v>167</v>
      </c>
      <c r="D985" s="20" t="s">
        <v>168</v>
      </c>
      <c r="E985" s="20" t="s">
        <v>2818</v>
      </c>
      <c r="F985" s="20">
        <v>1</v>
      </c>
      <c r="G985" s="20" t="s">
        <v>2807</v>
      </c>
      <c r="H985" s="20" t="s">
        <v>2808</v>
      </c>
      <c r="I985" s="21" t="s">
        <v>2819</v>
      </c>
      <c r="J985" s="21"/>
      <c r="K985" s="21"/>
      <c r="L985" s="21" t="s">
        <v>2820</v>
      </c>
      <c r="M985" s="21" t="s">
        <v>62</v>
      </c>
      <c r="N985" s="21" t="s">
        <v>811</v>
      </c>
    </row>
    <row r="986" spans="1:14" ht="64.05" customHeight="1">
      <c r="A986" s="20" t="s">
        <v>2780</v>
      </c>
      <c r="B986" s="20" t="s">
        <v>33</v>
      </c>
      <c r="C986" s="20" t="s">
        <v>2103</v>
      </c>
      <c r="D986" s="20" t="s">
        <v>2104</v>
      </c>
      <c r="E986" s="20" t="s">
        <v>2821</v>
      </c>
      <c r="F986" s="20">
        <v>1</v>
      </c>
      <c r="G986" s="20" t="s">
        <v>2822</v>
      </c>
      <c r="H986" s="20" t="s">
        <v>2823</v>
      </c>
      <c r="I986" s="21" t="s">
        <v>2824</v>
      </c>
      <c r="J986" s="21"/>
      <c r="K986" s="21"/>
      <c r="L986" s="21" t="s">
        <v>2825</v>
      </c>
      <c r="M986" s="21" t="s">
        <v>73</v>
      </c>
      <c r="N986" s="21"/>
    </row>
    <row r="987" spans="1:14" ht="64.05" customHeight="1">
      <c r="A987" s="20" t="s">
        <v>2780</v>
      </c>
      <c r="B987" s="20" t="s">
        <v>29</v>
      </c>
      <c r="C987" s="20" t="s">
        <v>1084</v>
      </c>
      <c r="D987" s="20" t="s">
        <v>1085</v>
      </c>
      <c r="E987" s="20" t="s">
        <v>2826</v>
      </c>
      <c r="F987" s="20">
        <v>1</v>
      </c>
      <c r="G987" s="20" t="s">
        <v>139</v>
      </c>
      <c r="H987" s="20"/>
      <c r="I987" s="21" t="s">
        <v>2827</v>
      </c>
      <c r="J987" s="21"/>
      <c r="K987" s="21" t="s">
        <v>109</v>
      </c>
      <c r="L987" s="21" t="s">
        <v>2828</v>
      </c>
      <c r="M987" s="21" t="s">
        <v>62</v>
      </c>
      <c r="N987" s="21" t="s">
        <v>63</v>
      </c>
    </row>
    <row r="988" spans="1:14" ht="64.05" customHeight="1">
      <c r="A988" s="20" t="s">
        <v>2780</v>
      </c>
      <c r="B988" s="20" t="s">
        <v>29</v>
      </c>
      <c r="C988" s="20" t="s">
        <v>1084</v>
      </c>
      <c r="D988" s="20" t="s">
        <v>1085</v>
      </c>
      <c r="E988" s="20" t="s">
        <v>2829</v>
      </c>
      <c r="F988" s="20">
        <v>1</v>
      </c>
      <c r="G988" s="20" t="s">
        <v>92</v>
      </c>
      <c r="H988" s="20"/>
      <c r="I988" s="21" t="s">
        <v>2830</v>
      </c>
      <c r="J988" s="21"/>
      <c r="K988" s="21"/>
      <c r="L988" s="21" t="s">
        <v>2831</v>
      </c>
      <c r="M988" s="21" t="s">
        <v>102</v>
      </c>
      <c r="N988" s="21"/>
    </row>
    <row r="989" spans="1:14" ht="64.05" customHeight="1">
      <c r="A989" s="20" t="s">
        <v>2780</v>
      </c>
      <c r="B989" s="20" t="s">
        <v>26</v>
      </c>
      <c r="C989" s="20" t="s">
        <v>196</v>
      </c>
      <c r="D989" s="20" t="s">
        <v>197</v>
      </c>
      <c r="E989" s="20" t="s">
        <v>2832</v>
      </c>
      <c r="F989" s="20">
        <v>1</v>
      </c>
      <c r="G989" s="20" t="s">
        <v>508</v>
      </c>
      <c r="H989" s="20" t="s">
        <v>2833</v>
      </c>
      <c r="I989" s="21" t="s">
        <v>2834</v>
      </c>
      <c r="J989" s="21"/>
      <c r="K989" s="21" t="s">
        <v>1371</v>
      </c>
      <c r="L989" s="21" t="s">
        <v>2835</v>
      </c>
      <c r="M989" s="21" t="s">
        <v>62</v>
      </c>
      <c r="N989" s="21" t="s">
        <v>130</v>
      </c>
    </row>
    <row r="990" spans="1:14" ht="64.05" customHeight="1">
      <c r="A990" s="20" t="s">
        <v>2780</v>
      </c>
      <c r="B990" s="20" t="s">
        <v>26</v>
      </c>
      <c r="C990" s="20" t="s">
        <v>196</v>
      </c>
      <c r="D990" s="20" t="s">
        <v>197</v>
      </c>
      <c r="E990" s="20" t="s">
        <v>2836</v>
      </c>
      <c r="F990" s="20">
        <v>1</v>
      </c>
      <c r="G990" s="20" t="s">
        <v>508</v>
      </c>
      <c r="H990" s="20" t="s">
        <v>2833</v>
      </c>
      <c r="I990" s="21" t="s">
        <v>2834</v>
      </c>
      <c r="J990" s="21"/>
      <c r="K990" s="21" t="s">
        <v>1371</v>
      </c>
      <c r="L990" s="21" t="s">
        <v>2835</v>
      </c>
      <c r="M990" s="21" t="s">
        <v>62</v>
      </c>
      <c r="N990" s="21" t="s">
        <v>130</v>
      </c>
    </row>
    <row r="991" spans="1:14" ht="64.05" customHeight="1">
      <c r="A991" s="20" t="s">
        <v>2837</v>
      </c>
      <c r="B991" s="20" t="s">
        <v>20</v>
      </c>
      <c r="C991" s="20" t="s">
        <v>65</v>
      </c>
      <c r="D991" s="20" t="s">
        <v>66</v>
      </c>
      <c r="E991" s="20" t="s">
        <v>2838</v>
      </c>
      <c r="F991" s="20">
        <v>1</v>
      </c>
      <c r="G991" s="20" t="s">
        <v>2839</v>
      </c>
      <c r="H991" s="20" t="s">
        <v>2840</v>
      </c>
      <c r="I991" s="21" t="s">
        <v>2841</v>
      </c>
      <c r="J991" s="21"/>
      <c r="K991" s="21" t="s">
        <v>2842</v>
      </c>
      <c r="L991" s="21" t="s">
        <v>2843</v>
      </c>
      <c r="M991" s="21" t="s">
        <v>73</v>
      </c>
      <c r="N991" s="21"/>
    </row>
    <row r="992" spans="1:14" ht="64.05" customHeight="1">
      <c r="A992" s="20" t="s">
        <v>2837</v>
      </c>
      <c r="B992" s="20" t="s">
        <v>20</v>
      </c>
      <c r="C992" s="20" t="s">
        <v>65</v>
      </c>
      <c r="D992" s="20" t="s">
        <v>66</v>
      </c>
      <c r="E992" s="20" t="s">
        <v>2844</v>
      </c>
      <c r="F992" s="20">
        <v>1</v>
      </c>
      <c r="G992" s="20" t="s">
        <v>2839</v>
      </c>
      <c r="H992" s="20" t="s">
        <v>2840</v>
      </c>
      <c r="I992" s="21" t="s">
        <v>2845</v>
      </c>
      <c r="J992" s="21"/>
      <c r="K992" s="21" t="s">
        <v>2846</v>
      </c>
      <c r="L992" s="21" t="s">
        <v>2843</v>
      </c>
      <c r="M992" s="21" t="s">
        <v>73</v>
      </c>
      <c r="N992" s="21"/>
    </row>
    <row r="993" spans="1:14" ht="64.05" customHeight="1">
      <c r="A993" s="20" t="s">
        <v>2837</v>
      </c>
      <c r="B993" s="20" t="s">
        <v>20</v>
      </c>
      <c r="C993" s="20" t="s">
        <v>65</v>
      </c>
      <c r="D993" s="20" t="s">
        <v>66</v>
      </c>
      <c r="E993" s="20" t="s">
        <v>2847</v>
      </c>
      <c r="F993" s="20">
        <v>1</v>
      </c>
      <c r="G993" s="20" t="s">
        <v>139</v>
      </c>
      <c r="H993" s="20"/>
      <c r="I993" s="21" t="s">
        <v>140</v>
      </c>
      <c r="J993" s="21"/>
      <c r="K993" s="21" t="s">
        <v>2848</v>
      </c>
      <c r="L993" s="21" t="s">
        <v>2849</v>
      </c>
      <c r="M993" s="21" t="s">
        <v>62</v>
      </c>
      <c r="N993" s="21" t="s">
        <v>624</v>
      </c>
    </row>
    <row r="994" spans="1:14" ht="64.05" customHeight="1">
      <c r="A994" s="20" t="s">
        <v>2837</v>
      </c>
      <c r="B994" s="20" t="s">
        <v>20</v>
      </c>
      <c r="C994" s="20" t="s">
        <v>65</v>
      </c>
      <c r="D994" s="20" t="s">
        <v>66</v>
      </c>
      <c r="E994" s="20" t="s">
        <v>2850</v>
      </c>
      <c r="F994" s="20">
        <v>1</v>
      </c>
      <c r="G994" s="20" t="s">
        <v>139</v>
      </c>
      <c r="H994" s="20"/>
      <c r="I994" s="21" t="s">
        <v>140</v>
      </c>
      <c r="J994" s="21"/>
      <c r="K994" s="21" t="s">
        <v>2848</v>
      </c>
      <c r="L994" s="21" t="s">
        <v>2851</v>
      </c>
      <c r="M994" s="21" t="s">
        <v>73</v>
      </c>
      <c r="N994" s="21"/>
    </row>
    <row r="995" spans="1:14" ht="64.05" customHeight="1">
      <c r="A995" s="20" t="s">
        <v>2837</v>
      </c>
      <c r="B995" s="20" t="s">
        <v>20</v>
      </c>
      <c r="C995" s="20" t="s">
        <v>65</v>
      </c>
      <c r="D995" s="20" t="s">
        <v>66</v>
      </c>
      <c r="E995" s="20" t="s">
        <v>2852</v>
      </c>
      <c r="F995" s="20">
        <v>1</v>
      </c>
      <c r="G995" s="20" t="s">
        <v>92</v>
      </c>
      <c r="H995" s="20"/>
      <c r="I995" s="21" t="s">
        <v>2853</v>
      </c>
      <c r="J995" s="21"/>
      <c r="K995" s="21" t="s">
        <v>2854</v>
      </c>
      <c r="L995" s="21" t="s">
        <v>2855</v>
      </c>
      <c r="M995" s="21" t="s">
        <v>73</v>
      </c>
      <c r="N995" s="21"/>
    </row>
    <row r="996" spans="1:14" ht="64.05" customHeight="1">
      <c r="A996" s="20" t="s">
        <v>2837</v>
      </c>
      <c r="B996" s="20" t="s">
        <v>22</v>
      </c>
      <c r="C996" s="20" t="s">
        <v>1149</v>
      </c>
      <c r="D996" s="20" t="s">
        <v>1150</v>
      </c>
      <c r="E996" s="20" t="s">
        <v>2856</v>
      </c>
      <c r="F996" s="20">
        <v>1</v>
      </c>
      <c r="G996" s="20" t="s">
        <v>149</v>
      </c>
      <c r="H996" s="20" t="s">
        <v>492</v>
      </c>
      <c r="I996" s="21" t="s">
        <v>406</v>
      </c>
      <c r="J996" s="21"/>
      <c r="K996" s="21"/>
      <c r="L996" s="21" t="s">
        <v>2857</v>
      </c>
      <c r="M996" s="21" t="s">
        <v>73</v>
      </c>
      <c r="N996" s="21"/>
    </row>
    <row r="997" spans="1:14" ht="64.05" customHeight="1">
      <c r="A997" s="20" t="s">
        <v>2837</v>
      </c>
      <c r="B997" s="20" t="s">
        <v>22</v>
      </c>
      <c r="C997" s="20" t="s">
        <v>1149</v>
      </c>
      <c r="D997" s="20" t="s">
        <v>1150</v>
      </c>
      <c r="E997" s="20" t="s">
        <v>2858</v>
      </c>
      <c r="F997" s="20">
        <v>1</v>
      </c>
      <c r="G997" s="20" t="s">
        <v>149</v>
      </c>
      <c r="H997" s="20" t="s">
        <v>492</v>
      </c>
      <c r="I997" s="21" t="s">
        <v>406</v>
      </c>
      <c r="J997" s="21"/>
      <c r="K997" s="21"/>
      <c r="L997" s="21" t="s">
        <v>2859</v>
      </c>
      <c r="M997" s="21" t="s">
        <v>73</v>
      </c>
      <c r="N997" s="21"/>
    </row>
    <row r="998" spans="1:14" ht="64.05" customHeight="1">
      <c r="A998" s="20" t="s">
        <v>2837</v>
      </c>
      <c r="B998" s="20" t="s">
        <v>22</v>
      </c>
      <c r="C998" s="20" t="s">
        <v>1149</v>
      </c>
      <c r="D998" s="20" t="s">
        <v>1150</v>
      </c>
      <c r="E998" s="20" t="s">
        <v>2860</v>
      </c>
      <c r="F998" s="20">
        <v>1</v>
      </c>
      <c r="G998" s="20" t="s">
        <v>149</v>
      </c>
      <c r="H998" s="20" t="s">
        <v>492</v>
      </c>
      <c r="I998" s="21" t="s">
        <v>406</v>
      </c>
      <c r="J998" s="21"/>
      <c r="K998" s="21"/>
      <c r="L998" s="21" t="s">
        <v>2861</v>
      </c>
      <c r="M998" s="21" t="s">
        <v>73</v>
      </c>
      <c r="N998" s="21"/>
    </row>
    <row r="999" spans="1:14" ht="64.05" customHeight="1">
      <c r="A999" s="20" t="s">
        <v>2837</v>
      </c>
      <c r="B999" s="20" t="s">
        <v>22</v>
      </c>
      <c r="C999" s="20" t="s">
        <v>1149</v>
      </c>
      <c r="D999" s="20" t="s">
        <v>1150</v>
      </c>
      <c r="E999" s="20" t="s">
        <v>2862</v>
      </c>
      <c r="F999" s="20">
        <v>1</v>
      </c>
      <c r="G999" s="20" t="s">
        <v>92</v>
      </c>
      <c r="H999" s="20"/>
      <c r="I999" s="21" t="s">
        <v>406</v>
      </c>
      <c r="J999" s="21"/>
      <c r="K999" s="21" t="s">
        <v>406</v>
      </c>
      <c r="L999" s="21" t="s">
        <v>2863</v>
      </c>
      <c r="M999" s="21" t="s">
        <v>73</v>
      </c>
      <c r="N999" s="21"/>
    </row>
    <row r="1000" spans="1:14" ht="64.05" customHeight="1">
      <c r="A1000" s="20" t="s">
        <v>2837</v>
      </c>
      <c r="B1000" s="20" t="s">
        <v>22</v>
      </c>
      <c r="C1000" s="20" t="s">
        <v>1149</v>
      </c>
      <c r="D1000" s="20" t="s">
        <v>1150</v>
      </c>
      <c r="E1000" s="20" t="s">
        <v>2864</v>
      </c>
      <c r="F1000" s="20">
        <v>1</v>
      </c>
      <c r="G1000" s="20" t="s">
        <v>92</v>
      </c>
      <c r="H1000" s="20"/>
      <c r="I1000" s="21" t="s">
        <v>406</v>
      </c>
      <c r="J1000" s="21"/>
      <c r="K1000" s="21" t="s">
        <v>406</v>
      </c>
      <c r="L1000" s="21" t="s">
        <v>2865</v>
      </c>
      <c r="M1000" s="21" t="s">
        <v>62</v>
      </c>
      <c r="N1000" s="21" t="s">
        <v>63</v>
      </c>
    </row>
    <row r="1001" spans="1:14" ht="64.05" customHeight="1">
      <c r="A1001" s="20" t="s">
        <v>2837</v>
      </c>
      <c r="B1001" s="20" t="s">
        <v>22</v>
      </c>
      <c r="C1001" s="20" t="s">
        <v>370</v>
      </c>
      <c r="D1001" s="20" t="s">
        <v>371</v>
      </c>
      <c r="E1001" s="20" t="s">
        <v>2866</v>
      </c>
      <c r="F1001" s="20">
        <v>1</v>
      </c>
      <c r="G1001" s="20" t="s">
        <v>92</v>
      </c>
      <c r="H1001" s="20"/>
      <c r="I1001" s="21" t="s">
        <v>2867</v>
      </c>
      <c r="J1001" s="21"/>
      <c r="K1001" s="21" t="s">
        <v>2854</v>
      </c>
      <c r="L1001" s="21" t="s">
        <v>2868</v>
      </c>
      <c r="M1001" s="21" t="s">
        <v>73</v>
      </c>
      <c r="N1001" s="21"/>
    </row>
    <row r="1002" spans="1:14" ht="64.05" customHeight="1">
      <c r="A1002" s="20" t="s">
        <v>2837</v>
      </c>
      <c r="B1002" s="20" t="s">
        <v>22</v>
      </c>
      <c r="C1002" s="20" t="s">
        <v>370</v>
      </c>
      <c r="D1002" s="20" t="s">
        <v>371</v>
      </c>
      <c r="E1002" s="20" t="s">
        <v>2869</v>
      </c>
      <c r="F1002" s="20">
        <v>1</v>
      </c>
      <c r="G1002" s="20" t="s">
        <v>92</v>
      </c>
      <c r="H1002" s="20"/>
      <c r="I1002" s="21" t="s">
        <v>2870</v>
      </c>
      <c r="J1002" s="21"/>
      <c r="K1002" s="21" t="s">
        <v>2854</v>
      </c>
      <c r="L1002" s="21" t="s">
        <v>2871</v>
      </c>
      <c r="M1002" s="21" t="s">
        <v>73</v>
      </c>
      <c r="N1002" s="21"/>
    </row>
    <row r="1003" spans="1:14" ht="64.05" customHeight="1">
      <c r="A1003" s="20" t="s">
        <v>2837</v>
      </c>
      <c r="B1003" s="20" t="s">
        <v>22</v>
      </c>
      <c r="C1003" s="20" t="s">
        <v>370</v>
      </c>
      <c r="D1003" s="20" t="s">
        <v>371</v>
      </c>
      <c r="E1003" s="20" t="s">
        <v>2872</v>
      </c>
      <c r="F1003" s="20">
        <v>1</v>
      </c>
      <c r="G1003" s="20" t="s">
        <v>92</v>
      </c>
      <c r="H1003" s="20"/>
      <c r="I1003" s="21" t="s">
        <v>2873</v>
      </c>
      <c r="J1003" s="21" t="s">
        <v>672</v>
      </c>
      <c r="K1003" s="21" t="s">
        <v>2874</v>
      </c>
      <c r="L1003" s="21" t="s">
        <v>2875</v>
      </c>
      <c r="M1003" s="21" t="s">
        <v>102</v>
      </c>
      <c r="N1003" s="21"/>
    </row>
    <row r="1004" spans="1:14" ht="64.05" customHeight="1">
      <c r="A1004" s="20" t="s">
        <v>2837</v>
      </c>
      <c r="B1004" s="20" t="s">
        <v>23</v>
      </c>
      <c r="C1004" s="20" t="s">
        <v>103</v>
      </c>
      <c r="D1004" s="20" t="s">
        <v>1070</v>
      </c>
      <c r="E1004" s="20" t="s">
        <v>2876</v>
      </c>
      <c r="F1004" s="20">
        <v>1</v>
      </c>
      <c r="G1004" s="20" t="s">
        <v>2877</v>
      </c>
      <c r="H1004" s="20"/>
      <c r="I1004" s="21" t="s">
        <v>517</v>
      </c>
      <c r="J1004" s="21"/>
      <c r="K1004" s="21"/>
      <c r="L1004" s="21" t="s">
        <v>2878</v>
      </c>
      <c r="M1004" s="21" t="s">
        <v>102</v>
      </c>
      <c r="N1004" s="21"/>
    </row>
    <row r="1005" spans="1:14" ht="64.05" customHeight="1">
      <c r="A1005" s="20" t="s">
        <v>2837</v>
      </c>
      <c r="B1005" s="20" t="s">
        <v>23</v>
      </c>
      <c r="C1005" s="20" t="s">
        <v>103</v>
      </c>
      <c r="D1005" s="20" t="s">
        <v>104</v>
      </c>
      <c r="E1005" s="20" t="s">
        <v>2879</v>
      </c>
      <c r="F1005" s="20">
        <v>1</v>
      </c>
      <c r="G1005" s="20" t="s">
        <v>2880</v>
      </c>
      <c r="H1005" s="20" t="s">
        <v>2881</v>
      </c>
      <c r="I1005" s="21" t="s">
        <v>2092</v>
      </c>
      <c r="J1005" s="21"/>
      <c r="K1005" s="21"/>
      <c r="L1005" s="21" t="s">
        <v>2882</v>
      </c>
      <c r="M1005" s="21" t="s">
        <v>73</v>
      </c>
      <c r="N1005" s="21"/>
    </row>
    <row r="1006" spans="1:14" ht="64.05" customHeight="1">
      <c r="A1006" s="20" t="s">
        <v>2837</v>
      </c>
      <c r="B1006" s="20" t="s">
        <v>23</v>
      </c>
      <c r="C1006" s="20" t="s">
        <v>103</v>
      </c>
      <c r="D1006" s="20" t="s">
        <v>104</v>
      </c>
      <c r="E1006" s="20" t="s">
        <v>2883</v>
      </c>
      <c r="F1006" s="20">
        <v>1</v>
      </c>
      <c r="G1006" s="20" t="s">
        <v>2880</v>
      </c>
      <c r="H1006" s="20" t="s">
        <v>2881</v>
      </c>
      <c r="I1006" s="21" t="s">
        <v>2092</v>
      </c>
      <c r="J1006" s="21"/>
      <c r="K1006" s="21"/>
      <c r="L1006" s="21" t="s">
        <v>2882</v>
      </c>
      <c r="M1006" s="21" t="s">
        <v>73</v>
      </c>
      <c r="N1006" s="21"/>
    </row>
    <row r="1007" spans="1:14" ht="64.05" customHeight="1">
      <c r="A1007" s="20" t="s">
        <v>2837</v>
      </c>
      <c r="B1007" s="20" t="s">
        <v>23</v>
      </c>
      <c r="C1007" s="20" t="s">
        <v>103</v>
      </c>
      <c r="D1007" s="20" t="s">
        <v>104</v>
      </c>
      <c r="E1007" s="20" t="s">
        <v>2884</v>
      </c>
      <c r="F1007" s="20">
        <v>1</v>
      </c>
      <c r="G1007" s="20" t="s">
        <v>2880</v>
      </c>
      <c r="H1007" s="20" t="s">
        <v>2881</v>
      </c>
      <c r="I1007" s="21" t="s">
        <v>2092</v>
      </c>
      <c r="J1007" s="21"/>
      <c r="K1007" s="21"/>
      <c r="L1007" s="21" t="s">
        <v>2882</v>
      </c>
      <c r="M1007" s="21" t="s">
        <v>73</v>
      </c>
      <c r="N1007" s="21"/>
    </row>
    <row r="1008" spans="1:14" ht="64.05" customHeight="1">
      <c r="A1008" s="20" t="s">
        <v>2837</v>
      </c>
      <c r="B1008" s="20" t="s">
        <v>23</v>
      </c>
      <c r="C1008" s="20" t="s">
        <v>103</v>
      </c>
      <c r="D1008" s="20" t="s">
        <v>104</v>
      </c>
      <c r="E1008" s="20" t="s">
        <v>2885</v>
      </c>
      <c r="F1008" s="20">
        <v>1</v>
      </c>
      <c r="G1008" s="20" t="s">
        <v>2880</v>
      </c>
      <c r="H1008" s="20" t="s">
        <v>2881</v>
      </c>
      <c r="I1008" s="21" t="s">
        <v>2092</v>
      </c>
      <c r="J1008" s="21"/>
      <c r="K1008" s="21"/>
      <c r="L1008" s="21" t="s">
        <v>2882</v>
      </c>
      <c r="M1008" s="21" t="s">
        <v>73</v>
      </c>
      <c r="N1008" s="21"/>
    </row>
    <row r="1009" spans="1:14" ht="64.05" customHeight="1">
      <c r="A1009" s="20" t="s">
        <v>2837</v>
      </c>
      <c r="B1009" s="20" t="s">
        <v>23</v>
      </c>
      <c r="C1009" s="20" t="s">
        <v>103</v>
      </c>
      <c r="D1009" s="20" t="s">
        <v>104</v>
      </c>
      <c r="E1009" s="20" t="s">
        <v>2886</v>
      </c>
      <c r="F1009" s="20">
        <v>1</v>
      </c>
      <c r="G1009" s="20" t="s">
        <v>2880</v>
      </c>
      <c r="H1009" s="20" t="s">
        <v>2881</v>
      </c>
      <c r="I1009" s="21" t="s">
        <v>2092</v>
      </c>
      <c r="J1009" s="21"/>
      <c r="K1009" s="21"/>
      <c r="L1009" s="21" t="s">
        <v>2882</v>
      </c>
      <c r="M1009" s="21" t="s">
        <v>73</v>
      </c>
      <c r="N1009" s="21"/>
    </row>
    <row r="1010" spans="1:14" ht="64.05" customHeight="1">
      <c r="A1010" s="20" t="s">
        <v>2837</v>
      </c>
      <c r="B1010" s="20" t="s">
        <v>23</v>
      </c>
      <c r="C1010" s="20" t="s">
        <v>103</v>
      </c>
      <c r="D1010" s="20" t="s">
        <v>104</v>
      </c>
      <c r="E1010" s="20" t="s">
        <v>2887</v>
      </c>
      <c r="F1010" s="20">
        <v>1</v>
      </c>
      <c r="G1010" s="20" t="s">
        <v>2880</v>
      </c>
      <c r="H1010" s="20" t="s">
        <v>2881</v>
      </c>
      <c r="I1010" s="21" t="s">
        <v>2092</v>
      </c>
      <c r="J1010" s="21"/>
      <c r="K1010" s="21"/>
      <c r="L1010" s="21" t="s">
        <v>2882</v>
      </c>
      <c r="M1010" s="21" t="s">
        <v>73</v>
      </c>
      <c r="N1010" s="21"/>
    </row>
    <row r="1011" spans="1:14" ht="64.05" customHeight="1">
      <c r="A1011" s="20" t="s">
        <v>2837</v>
      </c>
      <c r="B1011" s="20" t="s">
        <v>23</v>
      </c>
      <c r="C1011" s="20" t="s">
        <v>103</v>
      </c>
      <c r="D1011" s="20" t="s">
        <v>104</v>
      </c>
      <c r="E1011" s="20" t="s">
        <v>2888</v>
      </c>
      <c r="F1011" s="20">
        <v>1</v>
      </c>
      <c r="G1011" s="20" t="s">
        <v>2880</v>
      </c>
      <c r="H1011" s="20" t="s">
        <v>2881</v>
      </c>
      <c r="I1011" s="21" t="s">
        <v>2092</v>
      </c>
      <c r="J1011" s="21"/>
      <c r="K1011" s="21"/>
      <c r="L1011" s="21" t="s">
        <v>2882</v>
      </c>
      <c r="M1011" s="21" t="s">
        <v>73</v>
      </c>
      <c r="N1011" s="21"/>
    </row>
    <row r="1012" spans="1:14" ht="64.05" customHeight="1">
      <c r="A1012" s="20" t="s">
        <v>2837</v>
      </c>
      <c r="B1012" s="20" t="s">
        <v>23</v>
      </c>
      <c r="C1012" s="20" t="s">
        <v>103</v>
      </c>
      <c r="D1012" s="20" t="s">
        <v>104</v>
      </c>
      <c r="E1012" s="20" t="s">
        <v>2889</v>
      </c>
      <c r="F1012" s="20">
        <v>1</v>
      </c>
      <c r="G1012" s="20" t="s">
        <v>2880</v>
      </c>
      <c r="H1012" s="20" t="s">
        <v>2881</v>
      </c>
      <c r="I1012" s="21" t="s">
        <v>2092</v>
      </c>
      <c r="J1012" s="21"/>
      <c r="K1012" s="21"/>
      <c r="L1012" s="21" t="s">
        <v>2882</v>
      </c>
      <c r="M1012" s="21" t="s">
        <v>73</v>
      </c>
      <c r="N1012" s="21"/>
    </row>
    <row r="1013" spans="1:14" ht="64.05" customHeight="1">
      <c r="A1013" s="20" t="s">
        <v>2837</v>
      </c>
      <c r="B1013" s="20" t="s">
        <v>23</v>
      </c>
      <c r="C1013" s="20" t="s">
        <v>103</v>
      </c>
      <c r="D1013" s="20" t="s">
        <v>104</v>
      </c>
      <c r="E1013" s="20" t="s">
        <v>2890</v>
      </c>
      <c r="F1013" s="20">
        <v>1</v>
      </c>
      <c r="G1013" s="20" t="s">
        <v>2880</v>
      </c>
      <c r="H1013" s="20" t="s">
        <v>2881</v>
      </c>
      <c r="I1013" s="21" t="s">
        <v>2092</v>
      </c>
      <c r="J1013" s="21"/>
      <c r="K1013" s="21"/>
      <c r="L1013" s="21" t="s">
        <v>2882</v>
      </c>
      <c r="M1013" s="21" t="s">
        <v>73</v>
      </c>
      <c r="N1013" s="21"/>
    </row>
    <row r="1014" spans="1:14" ht="64.05" customHeight="1">
      <c r="A1014" s="20" t="s">
        <v>2837</v>
      </c>
      <c r="B1014" s="20" t="s">
        <v>23</v>
      </c>
      <c r="C1014" s="20" t="s">
        <v>103</v>
      </c>
      <c r="D1014" s="20" t="s">
        <v>104</v>
      </c>
      <c r="E1014" s="20" t="s">
        <v>2891</v>
      </c>
      <c r="F1014" s="20">
        <v>1</v>
      </c>
      <c r="G1014" s="20" t="s">
        <v>2880</v>
      </c>
      <c r="H1014" s="20" t="s">
        <v>2881</v>
      </c>
      <c r="I1014" s="21" t="s">
        <v>2092</v>
      </c>
      <c r="J1014" s="21"/>
      <c r="K1014" s="21"/>
      <c r="L1014" s="21" t="s">
        <v>2882</v>
      </c>
      <c r="M1014" s="21" t="s">
        <v>73</v>
      </c>
      <c r="N1014" s="21"/>
    </row>
    <row r="1015" spans="1:14" ht="64.05" customHeight="1">
      <c r="A1015" s="20" t="s">
        <v>2837</v>
      </c>
      <c r="B1015" s="20" t="s">
        <v>23</v>
      </c>
      <c r="C1015" s="20" t="s">
        <v>103</v>
      </c>
      <c r="D1015" s="20" t="s">
        <v>104</v>
      </c>
      <c r="E1015" s="20" t="s">
        <v>2892</v>
      </c>
      <c r="F1015" s="20">
        <v>1</v>
      </c>
      <c r="G1015" s="20" t="s">
        <v>2880</v>
      </c>
      <c r="H1015" s="20" t="s">
        <v>2881</v>
      </c>
      <c r="I1015" s="21" t="s">
        <v>2092</v>
      </c>
      <c r="J1015" s="21"/>
      <c r="K1015" s="21"/>
      <c r="L1015" s="21" t="s">
        <v>2893</v>
      </c>
      <c r="M1015" s="21" t="s">
        <v>62</v>
      </c>
      <c r="N1015" s="21" t="s">
        <v>130</v>
      </c>
    </row>
    <row r="1016" spans="1:14" ht="64.05" customHeight="1">
      <c r="A1016" s="20" t="s">
        <v>2837</v>
      </c>
      <c r="B1016" s="20" t="s">
        <v>23</v>
      </c>
      <c r="C1016" s="20" t="s">
        <v>103</v>
      </c>
      <c r="D1016" s="20" t="s">
        <v>104</v>
      </c>
      <c r="E1016" s="20" t="s">
        <v>2894</v>
      </c>
      <c r="F1016" s="20">
        <v>1</v>
      </c>
      <c r="G1016" s="20" t="s">
        <v>2880</v>
      </c>
      <c r="H1016" s="20" t="s">
        <v>2881</v>
      </c>
      <c r="I1016" s="21" t="s">
        <v>2092</v>
      </c>
      <c r="J1016" s="21"/>
      <c r="K1016" s="21"/>
      <c r="L1016" s="21" t="s">
        <v>2895</v>
      </c>
      <c r="M1016" s="21" t="s">
        <v>102</v>
      </c>
      <c r="N1016" s="21"/>
    </row>
    <row r="1017" spans="1:14" ht="64.05" customHeight="1">
      <c r="A1017" s="20" t="s">
        <v>2837</v>
      </c>
      <c r="B1017" s="20" t="s">
        <v>25</v>
      </c>
      <c r="C1017" s="20" t="s">
        <v>131</v>
      </c>
      <c r="D1017" s="20" t="s">
        <v>132</v>
      </c>
      <c r="E1017" s="20" t="s">
        <v>2896</v>
      </c>
      <c r="F1017" s="20">
        <v>1</v>
      </c>
      <c r="G1017" s="20" t="s">
        <v>422</v>
      </c>
      <c r="H1017" s="20" t="s">
        <v>2897</v>
      </c>
      <c r="I1017" s="21" t="s">
        <v>415</v>
      </c>
      <c r="J1017" s="21"/>
      <c r="K1017" s="21" t="s">
        <v>109</v>
      </c>
      <c r="L1017" s="21" t="s">
        <v>2898</v>
      </c>
      <c r="M1017" s="21" t="s">
        <v>73</v>
      </c>
      <c r="N1017" s="21"/>
    </row>
    <row r="1018" spans="1:14" ht="64.05" customHeight="1">
      <c r="A1018" s="20" t="s">
        <v>2837</v>
      </c>
      <c r="B1018" s="20" t="s">
        <v>25</v>
      </c>
      <c r="C1018" s="20" t="s">
        <v>131</v>
      </c>
      <c r="D1018" s="20" t="s">
        <v>132</v>
      </c>
      <c r="E1018" s="20" t="s">
        <v>2899</v>
      </c>
      <c r="F1018" s="20">
        <v>1</v>
      </c>
      <c r="G1018" s="20" t="s">
        <v>422</v>
      </c>
      <c r="H1018" s="20" t="s">
        <v>2897</v>
      </c>
      <c r="I1018" s="21" t="s">
        <v>415</v>
      </c>
      <c r="J1018" s="21"/>
      <c r="K1018" s="21" t="s">
        <v>109</v>
      </c>
      <c r="L1018" s="21" t="s">
        <v>2898</v>
      </c>
      <c r="M1018" s="21" t="s">
        <v>73</v>
      </c>
      <c r="N1018" s="21"/>
    </row>
    <row r="1019" spans="1:14" ht="64.05" customHeight="1">
      <c r="A1019" s="20" t="s">
        <v>2837</v>
      </c>
      <c r="B1019" s="20" t="s">
        <v>24</v>
      </c>
      <c r="C1019" s="20" t="s">
        <v>436</v>
      </c>
      <c r="D1019" s="20" t="s">
        <v>437</v>
      </c>
      <c r="E1019" s="20" t="s">
        <v>2900</v>
      </c>
      <c r="F1019" s="20">
        <v>1</v>
      </c>
      <c r="G1019" s="20" t="s">
        <v>139</v>
      </c>
      <c r="H1019" s="20"/>
      <c r="I1019" s="21" t="s">
        <v>406</v>
      </c>
      <c r="J1019" s="21"/>
      <c r="K1019" s="21" t="s">
        <v>406</v>
      </c>
      <c r="L1019" s="21" t="s">
        <v>2901</v>
      </c>
      <c r="M1019" s="21" t="s">
        <v>62</v>
      </c>
      <c r="N1019" s="21" t="s">
        <v>63</v>
      </c>
    </row>
    <row r="1020" spans="1:14" ht="64.05" customHeight="1">
      <c r="A1020" s="20" t="s">
        <v>2837</v>
      </c>
      <c r="B1020" s="20" t="s">
        <v>24</v>
      </c>
      <c r="C1020" s="20" t="s">
        <v>436</v>
      </c>
      <c r="D1020" s="20" t="s">
        <v>437</v>
      </c>
      <c r="E1020" s="20" t="s">
        <v>2902</v>
      </c>
      <c r="F1020" s="20">
        <v>1</v>
      </c>
      <c r="G1020" s="20" t="s">
        <v>139</v>
      </c>
      <c r="H1020" s="20"/>
      <c r="I1020" s="21" t="s">
        <v>406</v>
      </c>
      <c r="J1020" s="21"/>
      <c r="K1020" s="21" t="s">
        <v>406</v>
      </c>
      <c r="L1020" s="21" t="s">
        <v>2903</v>
      </c>
      <c r="M1020" s="21" t="s">
        <v>62</v>
      </c>
      <c r="N1020" s="21" t="s">
        <v>63</v>
      </c>
    </row>
    <row r="1021" spans="1:14" ht="64.05" customHeight="1">
      <c r="A1021" s="20" t="s">
        <v>2837</v>
      </c>
      <c r="B1021" s="20" t="s">
        <v>24</v>
      </c>
      <c r="C1021" s="20" t="s">
        <v>436</v>
      </c>
      <c r="D1021" s="20" t="s">
        <v>437</v>
      </c>
      <c r="E1021" s="20" t="s">
        <v>2904</v>
      </c>
      <c r="F1021" s="20">
        <v>1</v>
      </c>
      <c r="G1021" s="20" t="s">
        <v>139</v>
      </c>
      <c r="H1021" s="20"/>
      <c r="I1021" s="21" t="s">
        <v>406</v>
      </c>
      <c r="J1021" s="21"/>
      <c r="K1021" s="21" t="s">
        <v>406</v>
      </c>
      <c r="L1021" s="21" t="s">
        <v>2903</v>
      </c>
      <c r="M1021" s="21" t="s">
        <v>62</v>
      </c>
      <c r="N1021" s="21" t="s">
        <v>63</v>
      </c>
    </row>
    <row r="1022" spans="1:14" ht="64.05" customHeight="1">
      <c r="A1022" s="20" t="s">
        <v>2837</v>
      </c>
      <c r="B1022" s="20" t="s">
        <v>24</v>
      </c>
      <c r="C1022" s="20" t="s">
        <v>436</v>
      </c>
      <c r="D1022" s="20" t="s">
        <v>437</v>
      </c>
      <c r="E1022" s="20" t="s">
        <v>2905</v>
      </c>
      <c r="F1022" s="20">
        <v>1</v>
      </c>
      <c r="G1022" s="20" t="s">
        <v>92</v>
      </c>
      <c r="H1022" s="20"/>
      <c r="I1022" s="21" t="s">
        <v>2906</v>
      </c>
      <c r="J1022" s="21"/>
      <c r="K1022" s="21" t="s">
        <v>109</v>
      </c>
      <c r="L1022" s="21" t="s">
        <v>2907</v>
      </c>
      <c r="M1022" s="21" t="s">
        <v>102</v>
      </c>
      <c r="N1022" s="21"/>
    </row>
    <row r="1023" spans="1:14" ht="64.05" customHeight="1">
      <c r="A1023" s="20" t="s">
        <v>2837</v>
      </c>
      <c r="B1023" s="20" t="s">
        <v>24</v>
      </c>
      <c r="C1023" s="20" t="s">
        <v>136</v>
      </c>
      <c r="D1023" s="20" t="s">
        <v>674</v>
      </c>
      <c r="E1023" s="20" t="s">
        <v>2908</v>
      </c>
      <c r="F1023" s="20">
        <v>1</v>
      </c>
      <c r="G1023" s="20" t="s">
        <v>92</v>
      </c>
      <c r="H1023" s="20"/>
      <c r="I1023" s="21" t="s">
        <v>2909</v>
      </c>
      <c r="J1023" s="21"/>
      <c r="K1023" s="21" t="s">
        <v>109</v>
      </c>
      <c r="L1023" s="21" t="s">
        <v>2910</v>
      </c>
      <c r="M1023" s="21" t="s">
        <v>102</v>
      </c>
      <c r="N1023" s="21"/>
    </row>
    <row r="1024" spans="1:14" ht="64.05" customHeight="1">
      <c r="A1024" s="20" t="s">
        <v>2837</v>
      </c>
      <c r="B1024" s="20" t="s">
        <v>24</v>
      </c>
      <c r="C1024" s="20" t="s">
        <v>136</v>
      </c>
      <c r="D1024" s="20" t="s">
        <v>674</v>
      </c>
      <c r="E1024" s="20" t="s">
        <v>2911</v>
      </c>
      <c r="F1024" s="20">
        <v>1</v>
      </c>
      <c r="G1024" s="20" t="s">
        <v>92</v>
      </c>
      <c r="H1024" s="20"/>
      <c r="I1024" s="21" t="s">
        <v>2909</v>
      </c>
      <c r="J1024" s="21"/>
      <c r="K1024" s="21" t="s">
        <v>109</v>
      </c>
      <c r="L1024" s="21" t="s">
        <v>2910</v>
      </c>
      <c r="M1024" s="21" t="s">
        <v>102</v>
      </c>
      <c r="N1024" s="21"/>
    </row>
    <row r="1025" spans="1:14" ht="64.05" customHeight="1">
      <c r="A1025" s="20" t="s">
        <v>2837</v>
      </c>
      <c r="B1025" s="20" t="s">
        <v>24</v>
      </c>
      <c r="C1025" s="20" t="s">
        <v>136</v>
      </c>
      <c r="D1025" s="20" t="s">
        <v>674</v>
      </c>
      <c r="E1025" s="20" t="s">
        <v>2912</v>
      </c>
      <c r="F1025" s="20">
        <v>1</v>
      </c>
      <c r="G1025" s="20" t="s">
        <v>92</v>
      </c>
      <c r="H1025" s="20"/>
      <c r="I1025" s="21" t="s">
        <v>2909</v>
      </c>
      <c r="J1025" s="21"/>
      <c r="K1025" s="21" t="s">
        <v>109</v>
      </c>
      <c r="L1025" s="21" t="s">
        <v>2910</v>
      </c>
      <c r="M1025" s="21" t="s">
        <v>102</v>
      </c>
      <c r="N1025" s="21"/>
    </row>
    <row r="1026" spans="1:14" ht="64.05" customHeight="1">
      <c r="A1026" s="20" t="s">
        <v>2837</v>
      </c>
      <c r="B1026" s="20" t="s">
        <v>24</v>
      </c>
      <c r="C1026" s="20" t="s">
        <v>136</v>
      </c>
      <c r="D1026" s="20" t="s">
        <v>674</v>
      </c>
      <c r="E1026" s="20" t="s">
        <v>2913</v>
      </c>
      <c r="F1026" s="20">
        <v>1</v>
      </c>
      <c r="G1026" s="20" t="s">
        <v>139</v>
      </c>
      <c r="H1026" s="20"/>
      <c r="I1026" s="21" t="s">
        <v>140</v>
      </c>
      <c r="J1026" s="21"/>
      <c r="K1026" s="21" t="s">
        <v>2914</v>
      </c>
      <c r="L1026" s="21" t="s">
        <v>2915</v>
      </c>
      <c r="M1026" s="21" t="s">
        <v>62</v>
      </c>
      <c r="N1026" s="21" t="s">
        <v>63</v>
      </c>
    </row>
    <row r="1027" spans="1:14" ht="64.05" customHeight="1">
      <c r="A1027" s="20" t="s">
        <v>2837</v>
      </c>
      <c r="B1027" s="20" t="s">
        <v>24</v>
      </c>
      <c r="C1027" s="20" t="s">
        <v>136</v>
      </c>
      <c r="D1027" s="20" t="s">
        <v>674</v>
      </c>
      <c r="E1027" s="20" t="s">
        <v>2916</v>
      </c>
      <c r="F1027" s="20">
        <v>1</v>
      </c>
      <c r="G1027" s="20" t="s">
        <v>92</v>
      </c>
      <c r="H1027" s="20"/>
      <c r="I1027" s="21" t="s">
        <v>140</v>
      </c>
      <c r="J1027" s="21" t="s">
        <v>672</v>
      </c>
      <c r="K1027" s="21" t="s">
        <v>2917</v>
      </c>
      <c r="L1027" s="21" t="s">
        <v>2918</v>
      </c>
      <c r="M1027" s="21" t="s">
        <v>102</v>
      </c>
      <c r="N1027" s="21"/>
    </row>
    <row r="1028" spans="1:14" ht="64.05" customHeight="1">
      <c r="A1028" s="20" t="s">
        <v>2837</v>
      </c>
      <c r="B1028" s="20" t="s">
        <v>24</v>
      </c>
      <c r="C1028" s="20" t="s">
        <v>443</v>
      </c>
      <c r="D1028" s="20" t="s">
        <v>444</v>
      </c>
      <c r="E1028" s="20" t="s">
        <v>2919</v>
      </c>
      <c r="F1028" s="20">
        <v>1</v>
      </c>
      <c r="G1028" s="20" t="s">
        <v>92</v>
      </c>
      <c r="H1028" s="20"/>
      <c r="I1028" s="21" t="s">
        <v>2920</v>
      </c>
      <c r="J1028" s="21"/>
      <c r="K1028" s="21" t="s">
        <v>2921</v>
      </c>
      <c r="L1028" s="21" t="s">
        <v>2922</v>
      </c>
      <c r="M1028" s="21" t="s">
        <v>73</v>
      </c>
      <c r="N1028" s="21"/>
    </row>
    <row r="1029" spans="1:14" ht="64.05" customHeight="1">
      <c r="A1029" s="20" t="s">
        <v>2837</v>
      </c>
      <c r="B1029" s="20" t="s">
        <v>24</v>
      </c>
      <c r="C1029" s="20" t="s">
        <v>443</v>
      </c>
      <c r="D1029" s="20" t="s">
        <v>444</v>
      </c>
      <c r="E1029" s="20" t="s">
        <v>2923</v>
      </c>
      <c r="F1029" s="20">
        <v>1</v>
      </c>
      <c r="G1029" s="20" t="s">
        <v>92</v>
      </c>
      <c r="H1029" s="20"/>
      <c r="I1029" s="21" t="s">
        <v>2924</v>
      </c>
      <c r="J1029" s="21"/>
      <c r="K1029" s="21" t="s">
        <v>2921</v>
      </c>
      <c r="L1029" s="21" t="s">
        <v>2922</v>
      </c>
      <c r="M1029" s="21" t="s">
        <v>73</v>
      </c>
      <c r="N1029" s="21"/>
    </row>
    <row r="1030" spans="1:14" ht="64.05" customHeight="1">
      <c r="A1030" s="20" t="s">
        <v>2837</v>
      </c>
      <c r="B1030" s="20" t="s">
        <v>28</v>
      </c>
      <c r="C1030" s="20" t="s">
        <v>146</v>
      </c>
      <c r="D1030" s="20" t="s">
        <v>147</v>
      </c>
      <c r="E1030" s="20" t="s">
        <v>2925</v>
      </c>
      <c r="F1030" s="20">
        <v>1</v>
      </c>
      <c r="G1030" s="20" t="s">
        <v>149</v>
      </c>
      <c r="H1030" s="20" t="s">
        <v>492</v>
      </c>
      <c r="I1030" s="21" t="s">
        <v>408</v>
      </c>
      <c r="J1030" s="21"/>
      <c r="K1030" s="21" t="s">
        <v>408</v>
      </c>
      <c r="L1030" s="21" t="s">
        <v>2926</v>
      </c>
      <c r="M1030" s="21" t="s">
        <v>62</v>
      </c>
      <c r="N1030" s="21" t="s">
        <v>130</v>
      </c>
    </row>
    <row r="1031" spans="1:14" ht="64.05" customHeight="1">
      <c r="A1031" s="20" t="s">
        <v>2837</v>
      </c>
      <c r="B1031" s="20" t="s">
        <v>28</v>
      </c>
      <c r="C1031" s="20" t="s">
        <v>146</v>
      </c>
      <c r="D1031" s="20" t="s">
        <v>147</v>
      </c>
      <c r="E1031" s="20" t="s">
        <v>2927</v>
      </c>
      <c r="F1031" s="20">
        <v>1</v>
      </c>
      <c r="G1031" s="20" t="s">
        <v>508</v>
      </c>
      <c r="H1031" s="20" t="s">
        <v>181</v>
      </c>
      <c r="I1031" s="21" t="s">
        <v>451</v>
      </c>
      <c r="J1031" s="21"/>
      <c r="K1031" s="21" t="s">
        <v>109</v>
      </c>
      <c r="L1031" s="21" t="s">
        <v>2928</v>
      </c>
      <c r="M1031" s="21" t="s">
        <v>62</v>
      </c>
      <c r="N1031" s="21" t="s">
        <v>130</v>
      </c>
    </row>
    <row r="1032" spans="1:14" ht="64.05" customHeight="1">
      <c r="A1032" s="20" t="s">
        <v>2837</v>
      </c>
      <c r="B1032" s="20" t="s">
        <v>28</v>
      </c>
      <c r="C1032" s="20" t="s">
        <v>146</v>
      </c>
      <c r="D1032" s="20" t="s">
        <v>147</v>
      </c>
      <c r="E1032" s="20" t="s">
        <v>2929</v>
      </c>
      <c r="F1032" s="20">
        <v>1</v>
      </c>
      <c r="G1032" s="20" t="s">
        <v>149</v>
      </c>
      <c r="H1032" s="20" t="s">
        <v>492</v>
      </c>
      <c r="I1032" s="21" t="s">
        <v>2930</v>
      </c>
      <c r="J1032" s="21"/>
      <c r="K1032" s="21" t="s">
        <v>109</v>
      </c>
      <c r="L1032" s="21" t="s">
        <v>2931</v>
      </c>
      <c r="M1032" s="21" t="s">
        <v>62</v>
      </c>
      <c r="N1032" s="21" t="s">
        <v>130</v>
      </c>
    </row>
    <row r="1033" spans="1:14" ht="64.05" customHeight="1">
      <c r="A1033" s="20" t="s">
        <v>2837</v>
      </c>
      <c r="B1033" s="20" t="s">
        <v>28</v>
      </c>
      <c r="C1033" s="20" t="s">
        <v>146</v>
      </c>
      <c r="D1033" s="20" t="s">
        <v>147</v>
      </c>
      <c r="E1033" s="20" t="s">
        <v>2932</v>
      </c>
      <c r="F1033" s="20">
        <v>1</v>
      </c>
      <c r="G1033" s="20" t="s">
        <v>149</v>
      </c>
      <c r="H1033" s="20" t="s">
        <v>492</v>
      </c>
      <c r="I1033" s="21" t="s">
        <v>2930</v>
      </c>
      <c r="J1033" s="21"/>
      <c r="K1033" s="21" t="s">
        <v>109</v>
      </c>
      <c r="L1033" s="21" t="s">
        <v>2933</v>
      </c>
      <c r="M1033" s="21" t="s">
        <v>62</v>
      </c>
      <c r="N1033" s="21" t="s">
        <v>130</v>
      </c>
    </row>
    <row r="1034" spans="1:14" ht="64.05" customHeight="1">
      <c r="A1034" s="20" t="s">
        <v>2837</v>
      </c>
      <c r="B1034" s="20" t="s">
        <v>28</v>
      </c>
      <c r="C1034" s="20" t="s">
        <v>146</v>
      </c>
      <c r="D1034" s="20" t="s">
        <v>147</v>
      </c>
      <c r="E1034" s="20" t="s">
        <v>2934</v>
      </c>
      <c r="F1034" s="20">
        <v>1</v>
      </c>
      <c r="G1034" s="20" t="s">
        <v>149</v>
      </c>
      <c r="H1034" s="20" t="s">
        <v>492</v>
      </c>
      <c r="I1034" s="21" t="s">
        <v>2930</v>
      </c>
      <c r="J1034" s="21"/>
      <c r="K1034" s="21" t="s">
        <v>109</v>
      </c>
      <c r="L1034" s="21" t="s">
        <v>2935</v>
      </c>
      <c r="M1034" s="21" t="s">
        <v>62</v>
      </c>
      <c r="N1034" s="21" t="s">
        <v>130</v>
      </c>
    </row>
    <row r="1035" spans="1:14" ht="64.05" customHeight="1">
      <c r="A1035" s="20" t="s">
        <v>2837</v>
      </c>
      <c r="B1035" s="20" t="s">
        <v>28</v>
      </c>
      <c r="C1035" s="20" t="s">
        <v>146</v>
      </c>
      <c r="D1035" s="20" t="s">
        <v>147</v>
      </c>
      <c r="E1035" s="20" t="s">
        <v>2936</v>
      </c>
      <c r="F1035" s="20">
        <v>1</v>
      </c>
      <c r="G1035" s="20" t="s">
        <v>149</v>
      </c>
      <c r="H1035" s="20" t="s">
        <v>492</v>
      </c>
      <c r="I1035" s="21" t="s">
        <v>2930</v>
      </c>
      <c r="J1035" s="21"/>
      <c r="K1035" s="21" t="s">
        <v>109</v>
      </c>
      <c r="L1035" s="21" t="s">
        <v>2937</v>
      </c>
      <c r="M1035" s="21" t="s">
        <v>62</v>
      </c>
      <c r="N1035" s="21" t="s">
        <v>130</v>
      </c>
    </row>
    <row r="1036" spans="1:14" ht="64.05" customHeight="1">
      <c r="A1036" s="20" t="s">
        <v>2837</v>
      </c>
      <c r="B1036" s="20" t="s">
        <v>28</v>
      </c>
      <c r="C1036" s="20" t="s">
        <v>146</v>
      </c>
      <c r="D1036" s="20" t="s">
        <v>147</v>
      </c>
      <c r="E1036" s="20" t="s">
        <v>2938</v>
      </c>
      <c r="F1036" s="20">
        <v>1</v>
      </c>
      <c r="G1036" s="20" t="s">
        <v>149</v>
      </c>
      <c r="H1036" s="20" t="s">
        <v>492</v>
      </c>
      <c r="I1036" s="21" t="s">
        <v>2930</v>
      </c>
      <c r="J1036" s="21"/>
      <c r="K1036" s="21" t="s">
        <v>109</v>
      </c>
      <c r="L1036" s="21" t="s">
        <v>2937</v>
      </c>
      <c r="M1036" s="21" t="s">
        <v>62</v>
      </c>
      <c r="N1036" s="21" t="s">
        <v>130</v>
      </c>
    </row>
    <row r="1037" spans="1:14" ht="64.05" customHeight="1">
      <c r="A1037" s="20" t="s">
        <v>2837</v>
      </c>
      <c r="B1037" s="20" t="s">
        <v>28</v>
      </c>
      <c r="C1037" s="20" t="s">
        <v>146</v>
      </c>
      <c r="D1037" s="20" t="s">
        <v>147</v>
      </c>
      <c r="E1037" s="20" t="s">
        <v>2939</v>
      </c>
      <c r="F1037" s="20">
        <v>1</v>
      </c>
      <c r="G1037" s="20" t="s">
        <v>149</v>
      </c>
      <c r="H1037" s="20" t="s">
        <v>492</v>
      </c>
      <c r="I1037" s="21" t="s">
        <v>2930</v>
      </c>
      <c r="J1037" s="21"/>
      <c r="K1037" s="21" t="s">
        <v>109</v>
      </c>
      <c r="L1037" s="21" t="s">
        <v>2940</v>
      </c>
      <c r="M1037" s="21" t="s">
        <v>62</v>
      </c>
      <c r="N1037" s="21" t="s">
        <v>130</v>
      </c>
    </row>
    <row r="1038" spans="1:14" ht="64.05" customHeight="1">
      <c r="A1038" s="20" t="s">
        <v>2837</v>
      </c>
      <c r="B1038" s="20" t="s">
        <v>28</v>
      </c>
      <c r="C1038" s="20" t="s">
        <v>146</v>
      </c>
      <c r="D1038" s="20" t="s">
        <v>147</v>
      </c>
      <c r="E1038" s="20" t="s">
        <v>2941</v>
      </c>
      <c r="F1038" s="20">
        <v>1</v>
      </c>
      <c r="G1038" s="20" t="s">
        <v>149</v>
      </c>
      <c r="H1038" s="20" t="s">
        <v>492</v>
      </c>
      <c r="I1038" s="21" t="s">
        <v>2930</v>
      </c>
      <c r="J1038" s="21"/>
      <c r="K1038" s="21" t="s">
        <v>109</v>
      </c>
      <c r="L1038" s="21" t="s">
        <v>2942</v>
      </c>
      <c r="M1038" s="21" t="s">
        <v>62</v>
      </c>
      <c r="N1038" s="21" t="s">
        <v>130</v>
      </c>
    </row>
    <row r="1039" spans="1:14" ht="64.05" customHeight="1">
      <c r="A1039" s="20" t="s">
        <v>2837</v>
      </c>
      <c r="B1039" s="20" t="s">
        <v>28</v>
      </c>
      <c r="C1039" s="20" t="s">
        <v>146</v>
      </c>
      <c r="D1039" s="20" t="s">
        <v>147</v>
      </c>
      <c r="E1039" s="20" t="s">
        <v>2943</v>
      </c>
      <c r="F1039" s="20">
        <v>1</v>
      </c>
      <c r="G1039" s="20" t="s">
        <v>149</v>
      </c>
      <c r="H1039" s="20" t="s">
        <v>492</v>
      </c>
      <c r="I1039" s="21" t="s">
        <v>2930</v>
      </c>
      <c r="J1039" s="21"/>
      <c r="K1039" s="21" t="s">
        <v>109</v>
      </c>
      <c r="L1039" s="21" t="s">
        <v>2931</v>
      </c>
      <c r="M1039" s="21" t="s">
        <v>62</v>
      </c>
      <c r="N1039" s="21" t="s">
        <v>130</v>
      </c>
    </row>
    <row r="1040" spans="1:14" ht="64.05" customHeight="1">
      <c r="A1040" s="20" t="s">
        <v>2837</v>
      </c>
      <c r="B1040" s="20" t="s">
        <v>28</v>
      </c>
      <c r="C1040" s="20" t="s">
        <v>146</v>
      </c>
      <c r="D1040" s="20" t="s">
        <v>147</v>
      </c>
      <c r="E1040" s="20" t="s">
        <v>2944</v>
      </c>
      <c r="F1040" s="20">
        <v>1</v>
      </c>
      <c r="G1040" s="20" t="s">
        <v>149</v>
      </c>
      <c r="H1040" s="20" t="s">
        <v>492</v>
      </c>
      <c r="I1040" s="21" t="s">
        <v>2930</v>
      </c>
      <c r="J1040" s="21"/>
      <c r="K1040" s="21" t="s">
        <v>109</v>
      </c>
      <c r="L1040" s="21" t="s">
        <v>2931</v>
      </c>
      <c r="M1040" s="21" t="s">
        <v>62</v>
      </c>
      <c r="N1040" s="21" t="s">
        <v>130</v>
      </c>
    </row>
    <row r="1041" spans="1:14" ht="64.05" customHeight="1">
      <c r="A1041" s="20" t="s">
        <v>2837</v>
      </c>
      <c r="B1041" s="20" t="s">
        <v>28</v>
      </c>
      <c r="C1041" s="20" t="s">
        <v>167</v>
      </c>
      <c r="D1041" s="20" t="s">
        <v>168</v>
      </c>
      <c r="E1041" s="20" t="s">
        <v>2945</v>
      </c>
      <c r="F1041" s="20">
        <v>1</v>
      </c>
      <c r="G1041" s="20" t="s">
        <v>2946</v>
      </c>
      <c r="H1041" s="20" t="s">
        <v>2947</v>
      </c>
      <c r="I1041" s="21" t="s">
        <v>2948</v>
      </c>
      <c r="J1041" s="21"/>
      <c r="K1041" s="21" t="s">
        <v>78</v>
      </c>
      <c r="L1041" s="21" t="s">
        <v>2949</v>
      </c>
      <c r="M1041" s="21" t="s">
        <v>73</v>
      </c>
      <c r="N1041" s="21"/>
    </row>
    <row r="1042" spans="1:14" ht="64.05" customHeight="1">
      <c r="A1042" s="20" t="s">
        <v>2837</v>
      </c>
      <c r="B1042" s="20" t="s">
        <v>28</v>
      </c>
      <c r="C1042" s="20" t="s">
        <v>167</v>
      </c>
      <c r="D1042" s="20" t="s">
        <v>168</v>
      </c>
      <c r="E1042" s="20" t="s">
        <v>2950</v>
      </c>
      <c r="F1042" s="20">
        <v>1</v>
      </c>
      <c r="G1042" s="20" t="s">
        <v>92</v>
      </c>
      <c r="H1042" s="20"/>
      <c r="I1042" s="21" t="s">
        <v>2951</v>
      </c>
      <c r="J1042" s="21"/>
      <c r="K1042" s="21" t="s">
        <v>109</v>
      </c>
      <c r="L1042" s="21" t="s">
        <v>2952</v>
      </c>
      <c r="M1042" s="21" t="s">
        <v>73</v>
      </c>
      <c r="N1042" s="21"/>
    </row>
    <row r="1043" spans="1:14" ht="64.05" customHeight="1">
      <c r="A1043" s="20" t="s">
        <v>2837</v>
      </c>
      <c r="B1043" s="20" t="s">
        <v>27</v>
      </c>
      <c r="C1043" s="20" t="s">
        <v>1069</v>
      </c>
      <c r="D1043" s="20" t="s">
        <v>1070</v>
      </c>
      <c r="E1043" s="20" t="s">
        <v>2953</v>
      </c>
      <c r="F1043" s="20">
        <v>1</v>
      </c>
      <c r="G1043" s="20" t="s">
        <v>92</v>
      </c>
      <c r="H1043" s="20"/>
      <c r="I1043" s="21" t="s">
        <v>2954</v>
      </c>
      <c r="J1043" s="21"/>
      <c r="K1043" s="21"/>
      <c r="L1043" s="21" t="s">
        <v>2955</v>
      </c>
      <c r="M1043" s="21" t="s">
        <v>102</v>
      </c>
      <c r="N1043" s="21"/>
    </row>
    <row r="1044" spans="1:14" ht="64.05" customHeight="1">
      <c r="A1044" s="20" t="s">
        <v>2837</v>
      </c>
      <c r="B1044" s="20" t="s">
        <v>30</v>
      </c>
      <c r="C1044" s="20" t="s">
        <v>188</v>
      </c>
      <c r="D1044" s="20" t="s">
        <v>189</v>
      </c>
      <c r="E1044" s="20" t="s">
        <v>2956</v>
      </c>
      <c r="F1044" s="20">
        <v>1</v>
      </c>
      <c r="G1044" s="20" t="s">
        <v>92</v>
      </c>
      <c r="H1044" s="20"/>
      <c r="I1044" s="21" t="s">
        <v>2957</v>
      </c>
      <c r="J1044" s="21"/>
      <c r="K1044" s="21" t="s">
        <v>2958</v>
      </c>
      <c r="L1044" s="21" t="s">
        <v>2959</v>
      </c>
      <c r="M1044" s="21" t="s">
        <v>73</v>
      </c>
      <c r="N1044" s="21"/>
    </row>
    <row r="1045" spans="1:14" ht="64.05" customHeight="1">
      <c r="A1045" s="20" t="s">
        <v>2837</v>
      </c>
      <c r="B1045" s="20" t="s">
        <v>30</v>
      </c>
      <c r="C1045" s="20" t="s">
        <v>188</v>
      </c>
      <c r="D1045" s="20" t="s">
        <v>189</v>
      </c>
      <c r="E1045" s="20" t="s">
        <v>2960</v>
      </c>
      <c r="F1045" s="20">
        <v>1</v>
      </c>
      <c r="G1045" s="20" t="s">
        <v>92</v>
      </c>
      <c r="H1045" s="20"/>
      <c r="I1045" s="21" t="s">
        <v>2961</v>
      </c>
      <c r="J1045" s="21"/>
      <c r="K1045" s="21" t="s">
        <v>2958</v>
      </c>
      <c r="L1045" s="21" t="s">
        <v>2959</v>
      </c>
      <c r="M1045" s="21" t="s">
        <v>73</v>
      </c>
      <c r="N1045" s="21"/>
    </row>
    <row r="1046" spans="1:14" ht="64.05" customHeight="1">
      <c r="A1046" s="20" t="s">
        <v>2837</v>
      </c>
      <c r="B1046" s="20" t="s">
        <v>30</v>
      </c>
      <c r="C1046" s="20" t="s">
        <v>188</v>
      </c>
      <c r="D1046" s="20" t="s">
        <v>189</v>
      </c>
      <c r="E1046" s="20" t="s">
        <v>2962</v>
      </c>
      <c r="F1046" s="20">
        <v>1</v>
      </c>
      <c r="G1046" s="20" t="s">
        <v>92</v>
      </c>
      <c r="H1046" s="20"/>
      <c r="I1046" s="21" t="s">
        <v>2957</v>
      </c>
      <c r="J1046" s="21"/>
      <c r="K1046" s="21" t="s">
        <v>2958</v>
      </c>
      <c r="L1046" s="21" t="s">
        <v>2959</v>
      </c>
      <c r="M1046" s="21" t="s">
        <v>73</v>
      </c>
      <c r="N1046" s="21"/>
    </row>
    <row r="1047" spans="1:14" ht="64.05" customHeight="1">
      <c r="A1047" s="20" t="s">
        <v>2837</v>
      </c>
      <c r="B1047" s="20" t="s">
        <v>30</v>
      </c>
      <c r="C1047" s="20" t="s">
        <v>188</v>
      </c>
      <c r="D1047" s="20" t="s">
        <v>189</v>
      </c>
      <c r="E1047" s="20" t="s">
        <v>2963</v>
      </c>
      <c r="F1047" s="20">
        <v>1</v>
      </c>
      <c r="G1047" s="20" t="s">
        <v>92</v>
      </c>
      <c r="H1047" s="20"/>
      <c r="I1047" s="21" t="s">
        <v>2964</v>
      </c>
      <c r="J1047" s="21"/>
      <c r="K1047" s="21" t="s">
        <v>2958</v>
      </c>
      <c r="L1047" s="21" t="s">
        <v>2959</v>
      </c>
      <c r="M1047" s="21" t="s">
        <v>73</v>
      </c>
      <c r="N1047" s="21"/>
    </row>
    <row r="1048" spans="1:14" ht="64.05" customHeight="1">
      <c r="A1048" s="20" t="s">
        <v>2837</v>
      </c>
      <c r="B1048" s="20" t="s">
        <v>26</v>
      </c>
      <c r="C1048" s="20" t="s">
        <v>196</v>
      </c>
      <c r="D1048" s="20" t="s">
        <v>197</v>
      </c>
      <c r="E1048" s="20" t="s">
        <v>2965</v>
      </c>
      <c r="F1048" s="20">
        <v>1</v>
      </c>
      <c r="G1048" s="20" t="s">
        <v>92</v>
      </c>
      <c r="H1048" s="20"/>
      <c r="I1048" s="21" t="s">
        <v>2083</v>
      </c>
      <c r="J1048" s="21"/>
      <c r="K1048" s="21" t="s">
        <v>2966</v>
      </c>
      <c r="L1048" s="21" t="s">
        <v>2967</v>
      </c>
      <c r="M1048" s="21" t="s">
        <v>102</v>
      </c>
      <c r="N1048" s="21"/>
    </row>
    <row r="1049" spans="1:14" ht="64.05" customHeight="1">
      <c r="A1049" s="20" t="s">
        <v>2837</v>
      </c>
      <c r="B1049" s="20" t="s">
        <v>26</v>
      </c>
      <c r="C1049" s="20" t="s">
        <v>196</v>
      </c>
      <c r="D1049" s="20" t="s">
        <v>197</v>
      </c>
      <c r="E1049" s="20" t="s">
        <v>2968</v>
      </c>
      <c r="F1049" s="20">
        <v>1</v>
      </c>
      <c r="G1049" s="20" t="s">
        <v>92</v>
      </c>
      <c r="H1049" s="20"/>
      <c r="I1049" s="21" t="s">
        <v>2969</v>
      </c>
      <c r="J1049" s="21"/>
      <c r="K1049" s="21" t="s">
        <v>2966</v>
      </c>
      <c r="L1049" s="21" t="s">
        <v>2970</v>
      </c>
      <c r="M1049" s="21" t="s">
        <v>102</v>
      </c>
      <c r="N1049" s="21"/>
    </row>
    <row r="1050" spans="1:14" ht="64.05" customHeight="1">
      <c r="A1050" s="20" t="s">
        <v>2837</v>
      </c>
      <c r="B1050" s="20" t="s">
        <v>26</v>
      </c>
      <c r="C1050" s="20" t="s">
        <v>196</v>
      </c>
      <c r="D1050" s="20" t="s">
        <v>197</v>
      </c>
      <c r="E1050" s="20" t="s">
        <v>2971</v>
      </c>
      <c r="F1050" s="20">
        <v>1</v>
      </c>
      <c r="G1050" s="20" t="s">
        <v>1887</v>
      </c>
      <c r="H1050" s="20"/>
      <c r="I1050" s="21" t="s">
        <v>2969</v>
      </c>
      <c r="J1050" s="21"/>
      <c r="K1050" s="21" t="s">
        <v>2966</v>
      </c>
      <c r="L1050" s="21" t="s">
        <v>2970</v>
      </c>
      <c r="M1050" s="21" t="s">
        <v>102</v>
      </c>
      <c r="N1050" s="21"/>
    </row>
    <row r="1051" spans="1:14" ht="64.05" customHeight="1">
      <c r="A1051" s="20" t="s">
        <v>2837</v>
      </c>
      <c r="B1051" s="20" t="s">
        <v>26</v>
      </c>
      <c r="C1051" s="20" t="s">
        <v>196</v>
      </c>
      <c r="D1051" s="20" t="s">
        <v>197</v>
      </c>
      <c r="E1051" s="20" t="s">
        <v>2972</v>
      </c>
      <c r="F1051" s="20">
        <v>1</v>
      </c>
      <c r="G1051" s="20" t="s">
        <v>1887</v>
      </c>
      <c r="H1051" s="20"/>
      <c r="I1051" s="21" t="s">
        <v>2969</v>
      </c>
      <c r="J1051" s="21"/>
      <c r="K1051" s="21" t="s">
        <v>2966</v>
      </c>
      <c r="L1051" s="21" t="s">
        <v>2967</v>
      </c>
      <c r="M1051" s="21" t="s">
        <v>102</v>
      </c>
      <c r="N1051" s="21"/>
    </row>
    <row r="1052" spans="1:14" ht="64.05" customHeight="1">
      <c r="A1052" s="20" t="s">
        <v>2837</v>
      </c>
      <c r="B1052" s="20" t="s">
        <v>26</v>
      </c>
      <c r="C1052" s="20" t="s">
        <v>196</v>
      </c>
      <c r="D1052" s="20" t="s">
        <v>197</v>
      </c>
      <c r="E1052" s="20" t="s">
        <v>2973</v>
      </c>
      <c r="F1052" s="20">
        <v>1</v>
      </c>
      <c r="G1052" s="20" t="s">
        <v>1448</v>
      </c>
      <c r="H1052" s="20" t="s">
        <v>1397</v>
      </c>
      <c r="I1052" s="21" t="s">
        <v>406</v>
      </c>
      <c r="J1052" s="21"/>
      <c r="K1052" s="21" t="s">
        <v>408</v>
      </c>
      <c r="L1052" s="21" t="s">
        <v>2974</v>
      </c>
      <c r="M1052" s="21" t="s">
        <v>102</v>
      </c>
      <c r="N1052" s="21"/>
    </row>
    <row r="1053" spans="1:14" ht="64.05" customHeight="1">
      <c r="A1053" s="20" t="s">
        <v>2837</v>
      </c>
      <c r="B1053" s="20" t="s">
        <v>26</v>
      </c>
      <c r="C1053" s="20" t="s">
        <v>196</v>
      </c>
      <c r="D1053" s="20" t="s">
        <v>197</v>
      </c>
      <c r="E1053" s="20" t="s">
        <v>2975</v>
      </c>
      <c r="F1053" s="20">
        <v>1</v>
      </c>
      <c r="G1053" s="20" t="s">
        <v>139</v>
      </c>
      <c r="H1053" s="20"/>
      <c r="I1053" s="21" t="s">
        <v>408</v>
      </c>
      <c r="J1053" s="21"/>
      <c r="K1053" s="21" t="s">
        <v>408</v>
      </c>
      <c r="L1053" s="21" t="s">
        <v>2863</v>
      </c>
      <c r="M1053" s="21" t="s">
        <v>73</v>
      </c>
      <c r="N1053" s="21"/>
    </row>
    <row r="1054" spans="1:14" ht="64.05" customHeight="1">
      <c r="A1054" s="20" t="s">
        <v>2837</v>
      </c>
      <c r="B1054" s="20" t="s">
        <v>26</v>
      </c>
      <c r="C1054" s="20" t="s">
        <v>196</v>
      </c>
      <c r="D1054" s="20" t="s">
        <v>197</v>
      </c>
      <c r="E1054" s="20" t="s">
        <v>2976</v>
      </c>
      <c r="F1054" s="20">
        <v>1</v>
      </c>
      <c r="G1054" s="20" t="s">
        <v>2977</v>
      </c>
      <c r="H1054" s="20" t="s">
        <v>2978</v>
      </c>
      <c r="I1054" s="21" t="s">
        <v>2083</v>
      </c>
      <c r="J1054" s="21"/>
      <c r="K1054" s="21"/>
      <c r="L1054" s="21" t="s">
        <v>2979</v>
      </c>
      <c r="M1054" s="21" t="s">
        <v>102</v>
      </c>
      <c r="N1054" s="21"/>
    </row>
    <row r="1055" spans="1:14" ht="64.05" customHeight="1">
      <c r="A1055" s="20" t="s">
        <v>2837</v>
      </c>
      <c r="B1055" s="20" t="s">
        <v>33</v>
      </c>
      <c r="C1055" s="20" t="s">
        <v>2103</v>
      </c>
      <c r="D1055" s="20" t="s">
        <v>2104</v>
      </c>
      <c r="E1055" s="20" t="s">
        <v>2980</v>
      </c>
      <c r="F1055" s="20">
        <v>1</v>
      </c>
      <c r="G1055" s="20" t="s">
        <v>92</v>
      </c>
      <c r="H1055" s="20"/>
      <c r="I1055" s="21" t="s">
        <v>2981</v>
      </c>
      <c r="J1055" s="21"/>
      <c r="K1055" s="21" t="s">
        <v>2982</v>
      </c>
      <c r="L1055" s="21" t="s">
        <v>2983</v>
      </c>
      <c r="M1055" s="21" t="s">
        <v>73</v>
      </c>
      <c r="N1055" s="21"/>
    </row>
    <row r="1056" spans="1:14" ht="64.05" customHeight="1">
      <c r="A1056" s="20" t="s">
        <v>2837</v>
      </c>
      <c r="B1056" s="20" t="s">
        <v>33</v>
      </c>
      <c r="C1056" s="20" t="s">
        <v>2103</v>
      </c>
      <c r="D1056" s="20" t="s">
        <v>2104</v>
      </c>
      <c r="E1056" s="20" t="s">
        <v>2984</v>
      </c>
      <c r="F1056" s="20">
        <v>1</v>
      </c>
      <c r="G1056" s="20" t="s">
        <v>92</v>
      </c>
      <c r="H1056" s="20"/>
      <c r="I1056" s="21" t="s">
        <v>2985</v>
      </c>
      <c r="J1056" s="21"/>
      <c r="K1056" s="21" t="s">
        <v>2986</v>
      </c>
      <c r="L1056" s="21" t="s">
        <v>2983</v>
      </c>
      <c r="M1056" s="21" t="s">
        <v>73</v>
      </c>
      <c r="N1056" s="21"/>
    </row>
    <row r="1057" spans="1:14" ht="64.05" customHeight="1">
      <c r="A1057" s="20" t="s">
        <v>2837</v>
      </c>
      <c r="B1057" s="20" t="s">
        <v>33</v>
      </c>
      <c r="C1057" s="20" t="s">
        <v>2103</v>
      </c>
      <c r="D1057" s="20" t="s">
        <v>2104</v>
      </c>
      <c r="E1057" s="20" t="s">
        <v>2987</v>
      </c>
      <c r="F1057" s="20">
        <v>1</v>
      </c>
      <c r="G1057" s="20" t="s">
        <v>92</v>
      </c>
      <c r="H1057" s="20"/>
      <c r="I1057" s="21" t="s">
        <v>2988</v>
      </c>
      <c r="J1057" s="21"/>
      <c r="K1057" s="21" t="s">
        <v>2854</v>
      </c>
      <c r="L1057" s="21" t="s">
        <v>2989</v>
      </c>
      <c r="M1057" s="21" t="s">
        <v>73</v>
      </c>
      <c r="N1057" s="21"/>
    </row>
    <row r="1058" spans="1:14" ht="64.05" customHeight="1">
      <c r="A1058" s="20" t="s">
        <v>2990</v>
      </c>
      <c r="B1058" s="20" t="s">
        <v>20</v>
      </c>
      <c r="C1058" s="20" t="s">
        <v>55</v>
      </c>
      <c r="D1058" s="20" t="s">
        <v>56</v>
      </c>
      <c r="E1058" s="20" t="s">
        <v>2991</v>
      </c>
      <c r="F1058" s="20">
        <v>1</v>
      </c>
      <c r="G1058" s="20" t="s">
        <v>58</v>
      </c>
      <c r="H1058" s="20" t="s">
        <v>2038</v>
      </c>
      <c r="I1058" s="21" t="s">
        <v>2992</v>
      </c>
      <c r="J1058" s="21"/>
      <c r="K1058" s="21" t="s">
        <v>2560</v>
      </c>
      <c r="L1058" s="21" t="s">
        <v>2993</v>
      </c>
      <c r="M1058" s="21" t="s">
        <v>102</v>
      </c>
      <c r="N1058" s="21"/>
    </row>
    <row r="1059" spans="1:14" ht="64.05" customHeight="1">
      <c r="A1059" s="20" t="s">
        <v>2990</v>
      </c>
      <c r="B1059" s="20" t="s">
        <v>22</v>
      </c>
      <c r="C1059" s="20" t="s">
        <v>779</v>
      </c>
      <c r="D1059" s="20" t="s">
        <v>780</v>
      </c>
      <c r="E1059" s="20" t="s">
        <v>2994</v>
      </c>
      <c r="F1059" s="20">
        <v>1</v>
      </c>
      <c r="G1059" s="20" t="s">
        <v>92</v>
      </c>
      <c r="H1059" s="20"/>
      <c r="I1059" s="21" t="s">
        <v>2995</v>
      </c>
      <c r="J1059" s="21" t="s">
        <v>446</v>
      </c>
      <c r="K1059" s="21" t="s">
        <v>1371</v>
      </c>
      <c r="L1059" s="21" t="s">
        <v>2996</v>
      </c>
      <c r="M1059" s="21" t="s">
        <v>102</v>
      </c>
      <c r="N1059" s="21"/>
    </row>
    <row r="1060" spans="1:14" ht="64.05" customHeight="1">
      <c r="A1060" s="20" t="s">
        <v>2990</v>
      </c>
      <c r="B1060" s="20" t="s">
        <v>22</v>
      </c>
      <c r="C1060" s="20" t="s">
        <v>370</v>
      </c>
      <c r="D1060" s="20" t="s">
        <v>371</v>
      </c>
      <c r="E1060" s="20" t="s">
        <v>2997</v>
      </c>
      <c r="F1060" s="20">
        <v>1</v>
      </c>
      <c r="G1060" s="20" t="s">
        <v>2998</v>
      </c>
      <c r="H1060" s="20" t="s">
        <v>2999</v>
      </c>
      <c r="I1060" s="21" t="s">
        <v>3000</v>
      </c>
      <c r="J1060" s="21"/>
      <c r="K1060" s="21" t="s">
        <v>109</v>
      </c>
      <c r="L1060" s="21" t="s">
        <v>3001</v>
      </c>
      <c r="M1060" s="21" t="s">
        <v>73</v>
      </c>
      <c r="N1060" s="21"/>
    </row>
    <row r="1061" spans="1:14" ht="64.05" customHeight="1">
      <c r="A1061" s="20" t="s">
        <v>2990</v>
      </c>
      <c r="B1061" s="20" t="s">
        <v>22</v>
      </c>
      <c r="C1061" s="20" t="s">
        <v>370</v>
      </c>
      <c r="D1061" s="20" t="s">
        <v>371</v>
      </c>
      <c r="E1061" s="20" t="s">
        <v>3002</v>
      </c>
      <c r="F1061" s="20">
        <v>1</v>
      </c>
      <c r="G1061" s="20" t="s">
        <v>92</v>
      </c>
      <c r="H1061" s="20"/>
      <c r="I1061" s="21" t="s">
        <v>3003</v>
      </c>
      <c r="J1061" s="21"/>
      <c r="K1061" s="21" t="s">
        <v>3004</v>
      </c>
      <c r="L1061" s="21" t="s">
        <v>3005</v>
      </c>
      <c r="M1061" s="21" t="s">
        <v>73</v>
      </c>
      <c r="N1061" s="21"/>
    </row>
    <row r="1062" spans="1:14" ht="64.05" customHeight="1">
      <c r="A1062" s="20" t="s">
        <v>2990</v>
      </c>
      <c r="B1062" s="20" t="s">
        <v>23</v>
      </c>
      <c r="C1062" s="20" t="s">
        <v>103</v>
      </c>
      <c r="D1062" s="20" t="s">
        <v>104</v>
      </c>
      <c r="E1062" s="20" t="s">
        <v>3006</v>
      </c>
      <c r="F1062" s="20">
        <v>1</v>
      </c>
      <c r="G1062" s="20" t="s">
        <v>3007</v>
      </c>
      <c r="H1062" s="20" t="s">
        <v>3008</v>
      </c>
      <c r="I1062" s="21" t="s">
        <v>3009</v>
      </c>
      <c r="J1062" s="21"/>
      <c r="K1062" s="21" t="s">
        <v>109</v>
      </c>
      <c r="L1062" s="21" t="s">
        <v>3010</v>
      </c>
      <c r="M1062" s="21" t="s">
        <v>62</v>
      </c>
      <c r="N1062" s="21" t="s">
        <v>303</v>
      </c>
    </row>
    <row r="1063" spans="1:14" ht="64.05" customHeight="1">
      <c r="A1063" s="20" t="s">
        <v>2990</v>
      </c>
      <c r="B1063" s="20" t="s">
        <v>23</v>
      </c>
      <c r="C1063" s="20" t="s">
        <v>103</v>
      </c>
      <c r="D1063" s="20" t="s">
        <v>104</v>
      </c>
      <c r="E1063" s="20" t="s">
        <v>3011</v>
      </c>
      <c r="F1063" s="20">
        <v>1</v>
      </c>
      <c r="G1063" s="20" t="s">
        <v>3012</v>
      </c>
      <c r="H1063" s="20" t="s">
        <v>3013</v>
      </c>
      <c r="I1063" s="21" t="s">
        <v>2556</v>
      </c>
      <c r="J1063" s="21"/>
      <c r="K1063" s="21" t="s">
        <v>3014</v>
      </c>
      <c r="L1063" s="21" t="s">
        <v>3015</v>
      </c>
      <c r="M1063" s="21" t="s">
        <v>62</v>
      </c>
      <c r="N1063" s="21" t="s">
        <v>1435</v>
      </c>
    </row>
    <row r="1064" spans="1:14" ht="64.05" customHeight="1">
      <c r="A1064" s="20" t="s">
        <v>2990</v>
      </c>
      <c r="B1064" s="20" t="s">
        <v>23</v>
      </c>
      <c r="C1064" s="20" t="s">
        <v>103</v>
      </c>
      <c r="D1064" s="20" t="s">
        <v>104</v>
      </c>
      <c r="E1064" s="20" t="s">
        <v>3016</v>
      </c>
      <c r="F1064" s="20">
        <v>1</v>
      </c>
      <c r="G1064" s="20" t="s">
        <v>3012</v>
      </c>
      <c r="H1064" s="20" t="s">
        <v>3013</v>
      </c>
      <c r="I1064" s="21" t="s">
        <v>2556</v>
      </c>
      <c r="J1064" s="21"/>
      <c r="K1064" s="21" t="s">
        <v>3014</v>
      </c>
      <c r="L1064" s="21" t="s">
        <v>3015</v>
      </c>
      <c r="M1064" s="21" t="s">
        <v>62</v>
      </c>
      <c r="N1064" s="21" t="s">
        <v>1435</v>
      </c>
    </row>
    <row r="1065" spans="1:14" ht="64.05" customHeight="1">
      <c r="A1065" s="20" t="s">
        <v>2990</v>
      </c>
      <c r="B1065" s="20" t="s">
        <v>23</v>
      </c>
      <c r="C1065" s="20" t="s">
        <v>103</v>
      </c>
      <c r="D1065" s="20" t="s">
        <v>104</v>
      </c>
      <c r="E1065" s="20" t="s">
        <v>3017</v>
      </c>
      <c r="F1065" s="20">
        <v>1</v>
      </c>
      <c r="G1065" s="20" t="s">
        <v>92</v>
      </c>
      <c r="H1065" s="20"/>
      <c r="I1065" s="21" t="s">
        <v>3018</v>
      </c>
      <c r="J1065" s="21" t="s">
        <v>672</v>
      </c>
      <c r="K1065" s="21" t="s">
        <v>109</v>
      </c>
      <c r="L1065" s="21" t="s">
        <v>3019</v>
      </c>
      <c r="M1065" s="21" t="s">
        <v>102</v>
      </c>
      <c r="N1065" s="21"/>
    </row>
    <row r="1066" spans="1:14" ht="64.05" customHeight="1">
      <c r="A1066" s="20" t="s">
        <v>2990</v>
      </c>
      <c r="B1066" s="20" t="s">
        <v>25</v>
      </c>
      <c r="C1066" s="20" t="s">
        <v>131</v>
      </c>
      <c r="D1066" s="20" t="s">
        <v>132</v>
      </c>
      <c r="E1066" s="20" t="s">
        <v>3020</v>
      </c>
      <c r="F1066" s="20">
        <v>1</v>
      </c>
      <c r="G1066" s="20" t="s">
        <v>422</v>
      </c>
      <c r="H1066" s="20" t="s">
        <v>312</v>
      </c>
      <c r="I1066" s="21" t="s">
        <v>3021</v>
      </c>
      <c r="J1066" s="21"/>
      <c r="K1066" s="21" t="s">
        <v>3022</v>
      </c>
      <c r="L1066" s="21" t="s">
        <v>3023</v>
      </c>
      <c r="M1066" s="21" t="s">
        <v>73</v>
      </c>
      <c r="N1066" s="21"/>
    </row>
    <row r="1067" spans="1:14" ht="64.05" customHeight="1">
      <c r="A1067" s="20" t="s">
        <v>2990</v>
      </c>
      <c r="B1067" s="20" t="s">
        <v>25</v>
      </c>
      <c r="C1067" s="20" t="s">
        <v>131</v>
      </c>
      <c r="D1067" s="20" t="s">
        <v>132</v>
      </c>
      <c r="E1067" s="20" t="s">
        <v>3024</v>
      </c>
      <c r="F1067" s="20">
        <v>1</v>
      </c>
      <c r="G1067" s="20" t="s">
        <v>422</v>
      </c>
      <c r="H1067" s="20" t="s">
        <v>312</v>
      </c>
      <c r="I1067" s="21" t="s">
        <v>3021</v>
      </c>
      <c r="J1067" s="21"/>
      <c r="K1067" s="21" t="s">
        <v>3022</v>
      </c>
      <c r="L1067" s="21" t="s">
        <v>3023</v>
      </c>
      <c r="M1067" s="21" t="s">
        <v>73</v>
      </c>
      <c r="N1067" s="21"/>
    </row>
    <row r="1068" spans="1:14" ht="64.05" customHeight="1">
      <c r="A1068" s="20" t="s">
        <v>2990</v>
      </c>
      <c r="B1068" s="20" t="s">
        <v>25</v>
      </c>
      <c r="C1068" s="20" t="s">
        <v>131</v>
      </c>
      <c r="D1068" s="20" t="s">
        <v>132</v>
      </c>
      <c r="E1068" s="20" t="s">
        <v>3025</v>
      </c>
      <c r="F1068" s="20">
        <v>1</v>
      </c>
      <c r="G1068" s="20" t="s">
        <v>139</v>
      </c>
      <c r="H1068" s="20"/>
      <c r="I1068" s="21" t="s">
        <v>3026</v>
      </c>
      <c r="J1068" s="21"/>
      <c r="K1068" s="21" t="s">
        <v>109</v>
      </c>
      <c r="L1068" s="21" t="s">
        <v>3027</v>
      </c>
      <c r="M1068" s="21" t="s">
        <v>73</v>
      </c>
      <c r="N1068" s="21"/>
    </row>
    <row r="1069" spans="1:14" ht="64.05" customHeight="1">
      <c r="A1069" s="20" t="s">
        <v>2990</v>
      </c>
      <c r="B1069" s="20" t="s">
        <v>24</v>
      </c>
      <c r="C1069" s="20" t="s">
        <v>426</v>
      </c>
      <c r="D1069" s="20" t="s">
        <v>427</v>
      </c>
      <c r="E1069" s="20" t="s">
        <v>3028</v>
      </c>
      <c r="F1069" s="20">
        <v>1</v>
      </c>
      <c r="G1069" s="20" t="s">
        <v>3029</v>
      </c>
      <c r="H1069" s="20" t="s">
        <v>3030</v>
      </c>
      <c r="I1069" s="21" t="s">
        <v>3031</v>
      </c>
      <c r="J1069" s="21"/>
      <c r="K1069" s="21" t="s">
        <v>78</v>
      </c>
      <c r="L1069" s="21" t="s">
        <v>3032</v>
      </c>
      <c r="M1069" s="21" t="s">
        <v>62</v>
      </c>
      <c r="N1069" s="21" t="s">
        <v>811</v>
      </c>
    </row>
    <row r="1070" spans="1:14" ht="64.05" customHeight="1">
      <c r="A1070" s="20" t="s">
        <v>2990</v>
      </c>
      <c r="B1070" s="20" t="s">
        <v>24</v>
      </c>
      <c r="C1070" s="20" t="s">
        <v>426</v>
      </c>
      <c r="D1070" s="20" t="s">
        <v>427</v>
      </c>
      <c r="E1070" s="20" t="s">
        <v>3033</v>
      </c>
      <c r="F1070" s="20">
        <v>1</v>
      </c>
      <c r="G1070" s="20" t="s">
        <v>3029</v>
      </c>
      <c r="H1070" s="20" t="s">
        <v>3030</v>
      </c>
      <c r="I1070" s="21" t="s">
        <v>3031</v>
      </c>
      <c r="J1070" s="21"/>
      <c r="K1070" s="21" t="s">
        <v>78</v>
      </c>
      <c r="L1070" s="21" t="s">
        <v>3032</v>
      </c>
      <c r="M1070" s="21" t="s">
        <v>62</v>
      </c>
      <c r="N1070" s="21" t="s">
        <v>811</v>
      </c>
    </row>
    <row r="1071" spans="1:14" ht="64.05" customHeight="1">
      <c r="A1071" s="20" t="s">
        <v>2990</v>
      </c>
      <c r="B1071" s="20" t="s">
        <v>24</v>
      </c>
      <c r="C1071" s="20" t="s">
        <v>436</v>
      </c>
      <c r="D1071" s="20" t="s">
        <v>437</v>
      </c>
      <c r="E1071" s="20" t="s">
        <v>3034</v>
      </c>
      <c r="F1071" s="20">
        <v>1</v>
      </c>
      <c r="G1071" s="20" t="s">
        <v>92</v>
      </c>
      <c r="H1071" s="20"/>
      <c r="I1071" s="21" t="s">
        <v>406</v>
      </c>
      <c r="J1071" s="21" t="s">
        <v>99</v>
      </c>
      <c r="K1071" s="21" t="s">
        <v>408</v>
      </c>
      <c r="L1071" s="21" t="s">
        <v>3035</v>
      </c>
      <c r="M1071" s="21" t="s">
        <v>102</v>
      </c>
      <c r="N1071" s="21"/>
    </row>
    <row r="1072" spans="1:14" ht="64.05" customHeight="1">
      <c r="A1072" s="20" t="s">
        <v>2990</v>
      </c>
      <c r="B1072" s="20" t="s">
        <v>24</v>
      </c>
      <c r="C1072" s="20" t="s">
        <v>436</v>
      </c>
      <c r="D1072" s="20" t="s">
        <v>437</v>
      </c>
      <c r="E1072" s="20" t="s">
        <v>3036</v>
      </c>
      <c r="F1072" s="20">
        <v>1</v>
      </c>
      <c r="G1072" s="20" t="s">
        <v>92</v>
      </c>
      <c r="H1072" s="20"/>
      <c r="I1072" s="21" t="s">
        <v>408</v>
      </c>
      <c r="J1072" s="21" t="s">
        <v>99</v>
      </c>
      <c r="K1072" s="21" t="s">
        <v>406</v>
      </c>
      <c r="L1072" s="21" t="s">
        <v>3035</v>
      </c>
      <c r="M1072" s="21" t="s">
        <v>102</v>
      </c>
      <c r="N1072" s="21"/>
    </row>
    <row r="1073" spans="1:14" ht="64.05" customHeight="1">
      <c r="A1073" s="20" t="s">
        <v>2990</v>
      </c>
      <c r="B1073" s="20" t="s">
        <v>24</v>
      </c>
      <c r="C1073" s="20" t="s">
        <v>136</v>
      </c>
      <c r="D1073" s="20" t="s">
        <v>674</v>
      </c>
      <c r="E1073" s="20" t="s">
        <v>3037</v>
      </c>
      <c r="F1073" s="20">
        <v>1</v>
      </c>
      <c r="G1073" s="20" t="s">
        <v>92</v>
      </c>
      <c r="H1073" s="20"/>
      <c r="I1073" s="21" t="s">
        <v>3038</v>
      </c>
      <c r="J1073" s="21"/>
      <c r="K1073" s="21" t="s">
        <v>109</v>
      </c>
      <c r="L1073" s="21" t="s">
        <v>3039</v>
      </c>
      <c r="M1073" s="21" t="s">
        <v>73</v>
      </c>
      <c r="N1073" s="21"/>
    </row>
    <row r="1074" spans="1:14" ht="64.05" customHeight="1">
      <c r="A1074" s="20" t="s">
        <v>2990</v>
      </c>
      <c r="B1074" s="20" t="s">
        <v>24</v>
      </c>
      <c r="C1074" s="20" t="s">
        <v>136</v>
      </c>
      <c r="D1074" s="20" t="s">
        <v>674</v>
      </c>
      <c r="E1074" s="20" t="s">
        <v>3040</v>
      </c>
      <c r="F1074" s="20">
        <v>1</v>
      </c>
      <c r="G1074" s="20" t="s">
        <v>92</v>
      </c>
      <c r="H1074" s="20"/>
      <c r="I1074" s="21" t="s">
        <v>3038</v>
      </c>
      <c r="J1074" s="21"/>
      <c r="K1074" s="21" t="s">
        <v>109</v>
      </c>
      <c r="L1074" s="21" t="s">
        <v>3039</v>
      </c>
      <c r="M1074" s="21" t="s">
        <v>73</v>
      </c>
      <c r="N1074" s="21"/>
    </row>
    <row r="1075" spans="1:14" ht="64.05" customHeight="1">
      <c r="A1075" s="20" t="s">
        <v>2990</v>
      </c>
      <c r="B1075" s="20" t="s">
        <v>24</v>
      </c>
      <c r="C1075" s="20" t="s">
        <v>136</v>
      </c>
      <c r="D1075" s="20" t="s">
        <v>674</v>
      </c>
      <c r="E1075" s="20" t="s">
        <v>3041</v>
      </c>
      <c r="F1075" s="20">
        <v>1</v>
      </c>
      <c r="G1075" s="20" t="s">
        <v>92</v>
      </c>
      <c r="H1075" s="20"/>
      <c r="I1075" s="21" t="s">
        <v>3042</v>
      </c>
      <c r="J1075" s="21"/>
      <c r="K1075" s="21" t="s">
        <v>109</v>
      </c>
      <c r="L1075" s="21" t="s">
        <v>3039</v>
      </c>
      <c r="M1075" s="21" t="s">
        <v>73</v>
      </c>
      <c r="N1075" s="21"/>
    </row>
    <row r="1076" spans="1:14" ht="64.05" customHeight="1">
      <c r="A1076" s="20" t="s">
        <v>2990</v>
      </c>
      <c r="B1076" s="20" t="s">
        <v>24</v>
      </c>
      <c r="C1076" s="20" t="s">
        <v>136</v>
      </c>
      <c r="D1076" s="20" t="s">
        <v>674</v>
      </c>
      <c r="E1076" s="20" t="s">
        <v>3043</v>
      </c>
      <c r="F1076" s="20">
        <v>1</v>
      </c>
      <c r="G1076" s="20" t="s">
        <v>92</v>
      </c>
      <c r="H1076" s="20"/>
      <c r="I1076" s="21" t="s">
        <v>3042</v>
      </c>
      <c r="J1076" s="21"/>
      <c r="K1076" s="21" t="s">
        <v>109</v>
      </c>
      <c r="L1076" s="21" t="s">
        <v>3039</v>
      </c>
      <c r="M1076" s="21" t="s">
        <v>73</v>
      </c>
      <c r="N1076" s="21"/>
    </row>
    <row r="1077" spans="1:14" ht="64.05" customHeight="1">
      <c r="A1077" s="20" t="s">
        <v>2990</v>
      </c>
      <c r="B1077" s="20" t="s">
        <v>28</v>
      </c>
      <c r="C1077" s="20" t="s">
        <v>146</v>
      </c>
      <c r="D1077" s="20" t="s">
        <v>147</v>
      </c>
      <c r="E1077" s="20" t="s">
        <v>3044</v>
      </c>
      <c r="F1077" s="20">
        <v>1</v>
      </c>
      <c r="G1077" s="20" t="s">
        <v>3045</v>
      </c>
      <c r="H1077" s="20" t="s">
        <v>988</v>
      </c>
      <c r="I1077" s="21" t="s">
        <v>3046</v>
      </c>
      <c r="J1077" s="21"/>
      <c r="K1077" s="21" t="s">
        <v>3047</v>
      </c>
      <c r="L1077" s="21" t="s">
        <v>3048</v>
      </c>
      <c r="M1077" s="21" t="s">
        <v>62</v>
      </c>
      <c r="N1077" s="21" t="s">
        <v>712</v>
      </c>
    </row>
    <row r="1078" spans="1:14" ht="64.05" customHeight="1">
      <c r="A1078" s="20" t="s">
        <v>2990</v>
      </c>
      <c r="B1078" s="20" t="s">
        <v>28</v>
      </c>
      <c r="C1078" s="20" t="s">
        <v>146</v>
      </c>
      <c r="D1078" s="20" t="s">
        <v>147</v>
      </c>
      <c r="E1078" s="20" t="s">
        <v>3049</v>
      </c>
      <c r="F1078" s="20">
        <v>1</v>
      </c>
      <c r="G1078" s="20" t="s">
        <v>92</v>
      </c>
      <c r="H1078" s="20"/>
      <c r="I1078" s="21" t="s">
        <v>3050</v>
      </c>
      <c r="J1078" s="21"/>
      <c r="K1078" s="21" t="s">
        <v>109</v>
      </c>
      <c r="L1078" s="21" t="s">
        <v>3051</v>
      </c>
      <c r="M1078" s="21" t="s">
        <v>73</v>
      </c>
      <c r="N1078" s="21"/>
    </row>
    <row r="1079" spans="1:14" ht="64.05" customHeight="1">
      <c r="A1079" s="20" t="s">
        <v>2990</v>
      </c>
      <c r="B1079" s="20" t="s">
        <v>28</v>
      </c>
      <c r="C1079" s="20" t="s">
        <v>146</v>
      </c>
      <c r="D1079" s="20" t="s">
        <v>147</v>
      </c>
      <c r="E1079" s="20" t="s">
        <v>3052</v>
      </c>
      <c r="F1079" s="20">
        <v>1</v>
      </c>
      <c r="G1079" s="20" t="s">
        <v>92</v>
      </c>
      <c r="H1079" s="20"/>
      <c r="I1079" s="21" t="s">
        <v>3050</v>
      </c>
      <c r="J1079" s="21"/>
      <c r="K1079" s="21" t="s">
        <v>109</v>
      </c>
      <c r="L1079" s="21" t="s">
        <v>3051</v>
      </c>
      <c r="M1079" s="21" t="s">
        <v>73</v>
      </c>
      <c r="N1079" s="21"/>
    </row>
    <row r="1080" spans="1:14" ht="64.05" customHeight="1">
      <c r="A1080" s="20" t="s">
        <v>2990</v>
      </c>
      <c r="B1080" s="20" t="s">
        <v>30</v>
      </c>
      <c r="C1080" s="20" t="s">
        <v>180</v>
      </c>
      <c r="D1080" s="20" t="s">
        <v>181</v>
      </c>
      <c r="E1080" s="20" t="s">
        <v>3053</v>
      </c>
      <c r="F1080" s="20">
        <v>1</v>
      </c>
      <c r="G1080" s="20" t="s">
        <v>1495</v>
      </c>
      <c r="H1080" s="20" t="s">
        <v>3054</v>
      </c>
      <c r="I1080" s="21" t="s">
        <v>3055</v>
      </c>
      <c r="J1080" s="21"/>
      <c r="K1080" s="21" t="s">
        <v>1371</v>
      </c>
      <c r="L1080" s="21" t="s">
        <v>3056</v>
      </c>
      <c r="M1080" s="21" t="s">
        <v>73</v>
      </c>
      <c r="N1080" s="21"/>
    </row>
    <row r="1081" spans="1:14" ht="64.05" customHeight="1">
      <c r="A1081" s="20" t="s">
        <v>2990</v>
      </c>
      <c r="B1081" s="20" t="s">
        <v>30</v>
      </c>
      <c r="C1081" s="20" t="s">
        <v>180</v>
      </c>
      <c r="D1081" s="20" t="s">
        <v>181</v>
      </c>
      <c r="E1081" s="20" t="s">
        <v>3057</v>
      </c>
      <c r="F1081" s="20">
        <v>1</v>
      </c>
      <c r="G1081" s="20" t="s">
        <v>901</v>
      </c>
      <c r="H1081" s="20" t="s">
        <v>3058</v>
      </c>
      <c r="I1081" s="21" t="s">
        <v>3055</v>
      </c>
      <c r="J1081" s="21"/>
      <c r="K1081" s="21" t="s">
        <v>1371</v>
      </c>
      <c r="L1081" s="21" t="s">
        <v>3056</v>
      </c>
      <c r="M1081" s="21" t="s">
        <v>73</v>
      </c>
      <c r="N1081" s="21"/>
    </row>
    <row r="1082" spans="1:14" ht="64.05" customHeight="1">
      <c r="A1082" s="20" t="s">
        <v>2990</v>
      </c>
      <c r="B1082" s="20" t="s">
        <v>30</v>
      </c>
      <c r="C1082" s="20" t="s">
        <v>180</v>
      </c>
      <c r="D1082" s="20" t="s">
        <v>181</v>
      </c>
      <c r="E1082" s="20" t="s">
        <v>3059</v>
      </c>
      <c r="F1082" s="20">
        <v>1</v>
      </c>
      <c r="G1082" s="20" t="s">
        <v>702</v>
      </c>
      <c r="H1082" s="20" t="s">
        <v>3060</v>
      </c>
      <c r="I1082" s="21" t="s">
        <v>3055</v>
      </c>
      <c r="J1082" s="21"/>
      <c r="K1082" s="21" t="s">
        <v>1371</v>
      </c>
      <c r="L1082" s="21" t="s">
        <v>3056</v>
      </c>
      <c r="M1082" s="21" t="s">
        <v>73</v>
      </c>
      <c r="N1082" s="21"/>
    </row>
    <row r="1083" spans="1:14" ht="64.05" customHeight="1">
      <c r="A1083" s="20" t="s">
        <v>2990</v>
      </c>
      <c r="B1083" s="20" t="s">
        <v>30</v>
      </c>
      <c r="C1083" s="20" t="s">
        <v>180</v>
      </c>
      <c r="D1083" s="20" t="s">
        <v>181</v>
      </c>
      <c r="E1083" s="20" t="s">
        <v>3061</v>
      </c>
      <c r="F1083" s="20">
        <v>1</v>
      </c>
      <c r="G1083" s="20" t="s">
        <v>702</v>
      </c>
      <c r="H1083" s="20" t="s">
        <v>3060</v>
      </c>
      <c r="I1083" s="21" t="s">
        <v>3055</v>
      </c>
      <c r="J1083" s="21"/>
      <c r="K1083" s="21" t="s">
        <v>1371</v>
      </c>
      <c r="L1083" s="21" t="s">
        <v>3056</v>
      </c>
      <c r="M1083" s="21" t="s">
        <v>73</v>
      </c>
      <c r="N1083" s="21"/>
    </row>
    <row r="1084" spans="1:14" ht="64.05" customHeight="1">
      <c r="A1084" s="20" t="s">
        <v>2990</v>
      </c>
      <c r="B1084" s="20" t="s">
        <v>30</v>
      </c>
      <c r="C1084" s="20" t="s">
        <v>180</v>
      </c>
      <c r="D1084" s="20" t="s">
        <v>181</v>
      </c>
      <c r="E1084" s="20" t="s">
        <v>3062</v>
      </c>
      <c r="F1084" s="20">
        <v>1</v>
      </c>
      <c r="G1084" s="20" t="s">
        <v>702</v>
      </c>
      <c r="H1084" s="20" t="s">
        <v>3060</v>
      </c>
      <c r="I1084" s="21" t="s">
        <v>3055</v>
      </c>
      <c r="J1084" s="21"/>
      <c r="K1084" s="21" t="s">
        <v>1371</v>
      </c>
      <c r="L1084" s="21" t="s">
        <v>3056</v>
      </c>
      <c r="M1084" s="21" t="s">
        <v>73</v>
      </c>
      <c r="N1084" s="21"/>
    </row>
    <row r="1085" spans="1:14" ht="64.05" customHeight="1">
      <c r="A1085" s="20" t="s">
        <v>2990</v>
      </c>
      <c r="B1085" s="20" t="s">
        <v>30</v>
      </c>
      <c r="C1085" s="20" t="s">
        <v>188</v>
      </c>
      <c r="D1085" s="20" t="s">
        <v>189</v>
      </c>
      <c r="E1085" s="20" t="s">
        <v>3063</v>
      </c>
      <c r="F1085" s="20">
        <v>1</v>
      </c>
      <c r="G1085" s="20" t="s">
        <v>1987</v>
      </c>
      <c r="H1085" s="20" t="s">
        <v>3064</v>
      </c>
      <c r="I1085" s="21" t="s">
        <v>3065</v>
      </c>
      <c r="J1085" s="21"/>
      <c r="K1085" s="21" t="s">
        <v>109</v>
      </c>
      <c r="L1085" s="21" t="s">
        <v>3066</v>
      </c>
      <c r="M1085" s="21" t="s">
        <v>73</v>
      </c>
      <c r="N1085" s="21"/>
    </row>
    <row r="1086" spans="1:14" ht="64.05" customHeight="1">
      <c r="A1086" s="20" t="s">
        <v>2990</v>
      </c>
      <c r="B1086" s="20" t="s">
        <v>30</v>
      </c>
      <c r="C1086" s="20" t="s">
        <v>188</v>
      </c>
      <c r="D1086" s="20" t="s">
        <v>189</v>
      </c>
      <c r="E1086" s="20" t="s">
        <v>3067</v>
      </c>
      <c r="F1086" s="20">
        <v>1</v>
      </c>
      <c r="G1086" s="20" t="s">
        <v>3068</v>
      </c>
      <c r="H1086" s="20" t="s">
        <v>3069</v>
      </c>
      <c r="I1086" s="21" t="s">
        <v>3070</v>
      </c>
      <c r="J1086" s="21"/>
      <c r="K1086" s="21" t="s">
        <v>109</v>
      </c>
      <c r="L1086" s="21" t="s">
        <v>3066</v>
      </c>
      <c r="M1086" s="21" t="s">
        <v>73</v>
      </c>
      <c r="N1086" s="21"/>
    </row>
    <row r="1087" spans="1:14" ht="64.05" customHeight="1">
      <c r="A1087" s="20" t="s">
        <v>2990</v>
      </c>
      <c r="B1087" s="20" t="s">
        <v>26</v>
      </c>
      <c r="C1087" s="20" t="s">
        <v>196</v>
      </c>
      <c r="D1087" s="20" t="s">
        <v>197</v>
      </c>
      <c r="E1087" s="20" t="s">
        <v>3071</v>
      </c>
      <c r="F1087" s="20">
        <v>1</v>
      </c>
      <c r="G1087" s="20" t="s">
        <v>1512</v>
      </c>
      <c r="H1087" s="20" t="s">
        <v>301</v>
      </c>
      <c r="I1087" s="21" t="s">
        <v>3072</v>
      </c>
      <c r="J1087" s="21"/>
      <c r="K1087" s="21" t="s">
        <v>1371</v>
      </c>
      <c r="L1087" s="21" t="s">
        <v>3073</v>
      </c>
      <c r="M1087" s="21" t="s">
        <v>62</v>
      </c>
      <c r="N1087" s="21" t="s">
        <v>2126</v>
      </c>
    </row>
    <row r="1088" spans="1:14" ht="64.05" customHeight="1">
      <c r="A1088" s="20" t="s">
        <v>2990</v>
      </c>
      <c r="B1088" s="20" t="s">
        <v>26</v>
      </c>
      <c r="C1088" s="20" t="s">
        <v>196</v>
      </c>
      <c r="D1088" s="20" t="s">
        <v>197</v>
      </c>
      <c r="E1088" s="20" t="s">
        <v>3074</v>
      </c>
      <c r="F1088" s="20">
        <v>1</v>
      </c>
      <c r="G1088" s="20" t="s">
        <v>139</v>
      </c>
      <c r="H1088" s="20"/>
      <c r="I1088" s="21" t="s">
        <v>879</v>
      </c>
      <c r="J1088" s="21"/>
      <c r="K1088" s="21" t="s">
        <v>1324</v>
      </c>
      <c r="L1088" s="21" t="s">
        <v>3075</v>
      </c>
      <c r="M1088" s="21" t="s">
        <v>102</v>
      </c>
      <c r="N1088" s="21"/>
    </row>
    <row r="1089" spans="1:14" ht="64.05" customHeight="1">
      <c r="A1089" s="20" t="s">
        <v>2990</v>
      </c>
      <c r="B1089" s="20" t="s">
        <v>26</v>
      </c>
      <c r="C1089" s="20" t="s">
        <v>196</v>
      </c>
      <c r="D1089" s="20" t="s">
        <v>197</v>
      </c>
      <c r="E1089" s="20" t="s">
        <v>3076</v>
      </c>
      <c r="F1089" s="20">
        <v>1</v>
      </c>
      <c r="G1089" s="20" t="s">
        <v>92</v>
      </c>
      <c r="H1089" s="20"/>
      <c r="I1089" s="21" t="s">
        <v>733</v>
      </c>
      <c r="J1089" s="21"/>
      <c r="K1089" s="21" t="s">
        <v>2475</v>
      </c>
      <c r="L1089" s="21" t="s">
        <v>3077</v>
      </c>
      <c r="M1089" s="21" t="s">
        <v>73</v>
      </c>
      <c r="N1089" s="21"/>
    </row>
    <row r="1090" spans="1:14" ht="64.05" customHeight="1">
      <c r="A1090" s="20" t="s">
        <v>2990</v>
      </c>
      <c r="B1090" s="20" t="s">
        <v>33</v>
      </c>
      <c r="C1090" s="20" t="s">
        <v>2088</v>
      </c>
      <c r="D1090" s="20" t="s">
        <v>660</v>
      </c>
      <c r="E1090" s="20" t="s">
        <v>3078</v>
      </c>
      <c r="F1090" s="20">
        <v>1</v>
      </c>
      <c r="G1090" s="20" t="s">
        <v>92</v>
      </c>
      <c r="H1090" s="20"/>
      <c r="I1090" s="21" t="s">
        <v>3079</v>
      </c>
      <c r="J1090" s="21"/>
      <c r="K1090" s="21" t="s">
        <v>109</v>
      </c>
      <c r="L1090" s="21" t="s">
        <v>3080</v>
      </c>
      <c r="M1090" s="21" t="s">
        <v>73</v>
      </c>
      <c r="N1090" s="21"/>
    </row>
    <row r="1091" spans="1:14" ht="64.05" customHeight="1">
      <c r="A1091" s="20" t="s">
        <v>2990</v>
      </c>
      <c r="B1091" s="20" t="s">
        <v>33</v>
      </c>
      <c r="C1091" s="20" t="s">
        <v>2088</v>
      </c>
      <c r="D1091" s="20" t="s">
        <v>660</v>
      </c>
      <c r="E1091" s="20" t="s">
        <v>3081</v>
      </c>
      <c r="F1091" s="20">
        <v>1</v>
      </c>
      <c r="G1091" s="20" t="s">
        <v>92</v>
      </c>
      <c r="H1091" s="20"/>
      <c r="I1091" s="21" t="s">
        <v>3082</v>
      </c>
      <c r="J1091" s="21"/>
      <c r="K1091" s="21" t="s">
        <v>2556</v>
      </c>
      <c r="L1091" s="21" t="s">
        <v>3083</v>
      </c>
      <c r="M1091" s="21" t="s">
        <v>73</v>
      </c>
      <c r="N1091" s="21"/>
    </row>
    <row r="1092" spans="1:14" ht="64.05" customHeight="1">
      <c r="A1092" s="20" t="s">
        <v>2990</v>
      </c>
      <c r="B1092" s="20" t="s">
        <v>33</v>
      </c>
      <c r="C1092" s="20" t="s">
        <v>2314</v>
      </c>
      <c r="D1092" s="20" t="s">
        <v>2315</v>
      </c>
      <c r="E1092" s="20" t="s">
        <v>3084</v>
      </c>
      <c r="F1092" s="20">
        <v>1</v>
      </c>
      <c r="G1092" s="20" t="s">
        <v>3085</v>
      </c>
      <c r="H1092" s="20" t="s">
        <v>3086</v>
      </c>
      <c r="I1092" s="21" t="s">
        <v>3087</v>
      </c>
      <c r="J1092" s="21"/>
      <c r="K1092" s="21" t="s">
        <v>109</v>
      </c>
      <c r="L1092" s="21" t="s">
        <v>3088</v>
      </c>
      <c r="M1092" s="21" t="s">
        <v>62</v>
      </c>
      <c r="N1092" s="21" t="s">
        <v>130</v>
      </c>
    </row>
    <row r="1093" spans="1:14" ht="64.05" customHeight="1">
      <c r="A1093" s="20" t="s">
        <v>2990</v>
      </c>
      <c r="B1093" s="20" t="s">
        <v>33</v>
      </c>
      <c r="C1093" s="20" t="s">
        <v>2314</v>
      </c>
      <c r="D1093" s="20" t="s">
        <v>2897</v>
      </c>
      <c r="E1093" s="20" t="s">
        <v>3089</v>
      </c>
      <c r="F1093" s="20">
        <v>1</v>
      </c>
      <c r="G1093" s="20" t="s">
        <v>3085</v>
      </c>
      <c r="H1093" s="20" t="s">
        <v>3086</v>
      </c>
      <c r="I1093" s="21" t="s">
        <v>3087</v>
      </c>
      <c r="J1093" s="21"/>
      <c r="K1093" s="21" t="s">
        <v>109</v>
      </c>
      <c r="L1093" s="21" t="s">
        <v>3090</v>
      </c>
      <c r="M1093" s="21" t="s">
        <v>62</v>
      </c>
      <c r="N1093" s="21" t="s">
        <v>130</v>
      </c>
    </row>
    <row r="1094" spans="1:14" ht="64.05" customHeight="1">
      <c r="A1094" s="20" t="s">
        <v>2990</v>
      </c>
      <c r="B1094" s="20" t="s">
        <v>33</v>
      </c>
      <c r="C1094" s="20" t="s">
        <v>2314</v>
      </c>
      <c r="D1094" s="20" t="s">
        <v>2897</v>
      </c>
      <c r="E1094" s="20" t="s">
        <v>3091</v>
      </c>
      <c r="F1094" s="20">
        <v>1</v>
      </c>
      <c r="G1094" s="20" t="s">
        <v>3085</v>
      </c>
      <c r="H1094" s="20" t="s">
        <v>3086</v>
      </c>
      <c r="I1094" s="21" t="s">
        <v>3087</v>
      </c>
      <c r="J1094" s="21"/>
      <c r="K1094" s="21" t="s">
        <v>109</v>
      </c>
      <c r="L1094" s="21" t="s">
        <v>3090</v>
      </c>
      <c r="M1094" s="21" t="s">
        <v>62</v>
      </c>
      <c r="N1094" s="21" t="s">
        <v>130</v>
      </c>
    </row>
    <row r="1095" spans="1:14" ht="64.05" customHeight="1">
      <c r="A1095" s="20" t="s">
        <v>2990</v>
      </c>
      <c r="B1095" s="20" t="s">
        <v>33</v>
      </c>
      <c r="C1095" s="20" t="s">
        <v>2314</v>
      </c>
      <c r="D1095" s="20" t="s">
        <v>2897</v>
      </c>
      <c r="E1095" s="20" t="s">
        <v>3092</v>
      </c>
      <c r="F1095" s="20">
        <v>1</v>
      </c>
      <c r="G1095" s="20" t="s">
        <v>3085</v>
      </c>
      <c r="H1095" s="20" t="s">
        <v>3086</v>
      </c>
      <c r="I1095" s="21" t="s">
        <v>140</v>
      </c>
      <c r="J1095" s="21"/>
      <c r="K1095" s="21" t="s">
        <v>3093</v>
      </c>
      <c r="L1095" s="21" t="s">
        <v>3094</v>
      </c>
      <c r="M1095" s="21" t="s">
        <v>62</v>
      </c>
      <c r="N1095" s="21" t="s">
        <v>130</v>
      </c>
    </row>
    <row r="1096" spans="1:14" ht="64.05" customHeight="1">
      <c r="A1096" s="20" t="s">
        <v>2990</v>
      </c>
      <c r="B1096" s="20" t="s">
        <v>33</v>
      </c>
      <c r="C1096" s="20" t="s">
        <v>2103</v>
      </c>
      <c r="D1096" s="20" t="s">
        <v>2897</v>
      </c>
      <c r="E1096" s="20" t="s">
        <v>3095</v>
      </c>
      <c r="F1096" s="20">
        <v>1</v>
      </c>
      <c r="G1096" s="20" t="s">
        <v>92</v>
      </c>
      <c r="H1096" s="20"/>
      <c r="I1096" s="21" t="s">
        <v>140</v>
      </c>
      <c r="J1096" s="21" t="s">
        <v>446</v>
      </c>
      <c r="K1096" s="21" t="s">
        <v>3096</v>
      </c>
      <c r="L1096" s="21" t="s">
        <v>3097</v>
      </c>
      <c r="M1096" s="21" t="s">
        <v>102</v>
      </c>
      <c r="N1096" s="21"/>
    </row>
    <row r="1097" spans="1:14" ht="64.05" customHeight="1">
      <c r="A1097" s="20" t="s">
        <v>2990</v>
      </c>
      <c r="B1097" s="20" t="s">
        <v>33</v>
      </c>
      <c r="C1097" s="20" t="s">
        <v>2103</v>
      </c>
      <c r="D1097" s="20" t="s">
        <v>2897</v>
      </c>
      <c r="E1097" s="20" t="s">
        <v>3098</v>
      </c>
      <c r="F1097" s="20">
        <v>1</v>
      </c>
      <c r="G1097" s="20" t="s">
        <v>92</v>
      </c>
      <c r="H1097" s="20"/>
      <c r="I1097" s="21" t="s">
        <v>140</v>
      </c>
      <c r="J1097" s="21" t="s">
        <v>446</v>
      </c>
      <c r="K1097" s="21" t="s">
        <v>3099</v>
      </c>
      <c r="L1097" s="21" t="s">
        <v>3097</v>
      </c>
      <c r="M1097" s="21" t="s">
        <v>102</v>
      </c>
      <c r="N1097" s="21"/>
    </row>
    <row r="1098" spans="1:14" ht="64.05" customHeight="1">
      <c r="A1098" s="20" t="s">
        <v>2990</v>
      </c>
      <c r="B1098" s="20" t="s">
        <v>33</v>
      </c>
      <c r="C1098" s="20" t="s">
        <v>2314</v>
      </c>
      <c r="D1098" s="20" t="s">
        <v>2897</v>
      </c>
      <c r="E1098" s="20" t="s">
        <v>3100</v>
      </c>
      <c r="F1098" s="20">
        <v>1</v>
      </c>
      <c r="G1098" s="20" t="s">
        <v>92</v>
      </c>
      <c r="H1098" s="20"/>
      <c r="I1098" s="21" t="s">
        <v>1123</v>
      </c>
      <c r="J1098" s="21"/>
      <c r="K1098" s="21" t="s">
        <v>109</v>
      </c>
      <c r="L1098" s="21" t="s">
        <v>3101</v>
      </c>
      <c r="M1098" s="21" t="s">
        <v>102</v>
      </c>
      <c r="N1098" s="21"/>
    </row>
    <row r="1099" spans="1:14" ht="64.05" customHeight="1">
      <c r="A1099" s="20" t="s">
        <v>2990</v>
      </c>
      <c r="B1099" s="20" t="s">
        <v>33</v>
      </c>
      <c r="C1099" s="20" t="s">
        <v>2314</v>
      </c>
      <c r="D1099" s="20" t="s">
        <v>2897</v>
      </c>
      <c r="E1099" s="20" t="s">
        <v>3102</v>
      </c>
      <c r="F1099" s="20">
        <v>1</v>
      </c>
      <c r="G1099" s="20" t="s">
        <v>92</v>
      </c>
      <c r="H1099" s="20"/>
      <c r="I1099" s="21" t="s">
        <v>1123</v>
      </c>
      <c r="J1099" s="21"/>
      <c r="K1099" s="21" t="s">
        <v>109</v>
      </c>
      <c r="L1099" s="21" t="s">
        <v>3101</v>
      </c>
      <c r="M1099" s="21" t="s">
        <v>102</v>
      </c>
      <c r="N1099" s="21"/>
    </row>
    <row r="1100" spans="1:14" ht="64.05" customHeight="1">
      <c r="A1100" s="20" t="s">
        <v>2990</v>
      </c>
      <c r="B1100" s="20" t="s">
        <v>33</v>
      </c>
      <c r="C1100" s="20" t="s">
        <v>2314</v>
      </c>
      <c r="D1100" s="20" t="s">
        <v>2897</v>
      </c>
      <c r="E1100" s="20" t="s">
        <v>3103</v>
      </c>
      <c r="F1100" s="20">
        <v>1</v>
      </c>
      <c r="G1100" s="20" t="s">
        <v>92</v>
      </c>
      <c r="H1100" s="20"/>
      <c r="I1100" s="21" t="s">
        <v>1123</v>
      </c>
      <c r="J1100" s="21"/>
      <c r="K1100" s="21" t="s">
        <v>109</v>
      </c>
      <c r="L1100" s="21" t="s">
        <v>3101</v>
      </c>
      <c r="M1100" s="21" t="s">
        <v>102</v>
      </c>
      <c r="N1100" s="21"/>
    </row>
    <row r="1101" spans="1:14" ht="64.05" customHeight="1">
      <c r="A1101" s="20" t="s">
        <v>2990</v>
      </c>
      <c r="B1101" s="20" t="s">
        <v>33</v>
      </c>
      <c r="C1101" s="20" t="s">
        <v>2314</v>
      </c>
      <c r="D1101" s="20" t="s">
        <v>2897</v>
      </c>
      <c r="E1101" s="20" t="s">
        <v>3104</v>
      </c>
      <c r="F1101" s="20">
        <v>1</v>
      </c>
      <c r="G1101" s="20" t="s">
        <v>92</v>
      </c>
      <c r="H1101" s="20"/>
      <c r="I1101" s="21" t="s">
        <v>1123</v>
      </c>
      <c r="J1101" s="21"/>
      <c r="K1101" s="21" t="s">
        <v>109</v>
      </c>
      <c r="L1101" s="21" t="s">
        <v>3101</v>
      </c>
      <c r="M1101" s="21" t="s">
        <v>102</v>
      </c>
      <c r="N1101" s="21"/>
    </row>
    <row r="1102" spans="1:14" ht="64.05" customHeight="1">
      <c r="A1102" s="20" t="s">
        <v>2990</v>
      </c>
      <c r="B1102" s="20" t="s">
        <v>33</v>
      </c>
      <c r="C1102" s="20" t="s">
        <v>2314</v>
      </c>
      <c r="D1102" s="20" t="s">
        <v>2897</v>
      </c>
      <c r="E1102" s="20" t="s">
        <v>3105</v>
      </c>
      <c r="F1102" s="20">
        <v>1</v>
      </c>
      <c r="G1102" s="20" t="s">
        <v>92</v>
      </c>
      <c r="H1102" s="20"/>
      <c r="I1102" s="21" t="s">
        <v>1123</v>
      </c>
      <c r="J1102" s="21"/>
      <c r="K1102" s="21" t="s">
        <v>109</v>
      </c>
      <c r="L1102" s="21" t="s">
        <v>3101</v>
      </c>
      <c r="M1102" s="21" t="s">
        <v>102</v>
      </c>
      <c r="N1102" s="21"/>
    </row>
    <row r="1103" spans="1:14" ht="64.05" customHeight="1">
      <c r="A1103" s="20" t="s">
        <v>2990</v>
      </c>
      <c r="B1103" s="20" t="s">
        <v>33</v>
      </c>
      <c r="C1103" s="20" t="s">
        <v>2314</v>
      </c>
      <c r="D1103" s="20" t="s">
        <v>2897</v>
      </c>
      <c r="E1103" s="20" t="s">
        <v>3106</v>
      </c>
      <c r="F1103" s="20">
        <v>1</v>
      </c>
      <c r="G1103" s="20" t="s">
        <v>92</v>
      </c>
      <c r="H1103" s="20"/>
      <c r="I1103" s="21" t="s">
        <v>1123</v>
      </c>
      <c r="J1103" s="21"/>
      <c r="K1103" s="21" t="s">
        <v>109</v>
      </c>
      <c r="L1103" s="21" t="s">
        <v>3101</v>
      </c>
      <c r="M1103" s="21" t="s">
        <v>102</v>
      </c>
      <c r="N1103" s="21"/>
    </row>
    <row r="1104" spans="1:14" ht="64.05" customHeight="1">
      <c r="A1104" s="20" t="s">
        <v>2990</v>
      </c>
      <c r="B1104" s="20" t="s">
        <v>33</v>
      </c>
      <c r="C1104" s="20" t="s">
        <v>2314</v>
      </c>
      <c r="D1104" s="20" t="s">
        <v>2897</v>
      </c>
      <c r="E1104" s="20" t="s">
        <v>3107</v>
      </c>
      <c r="F1104" s="20">
        <v>1</v>
      </c>
      <c r="G1104" s="20" t="s">
        <v>92</v>
      </c>
      <c r="H1104" s="20"/>
      <c r="I1104" s="21" t="s">
        <v>1123</v>
      </c>
      <c r="J1104" s="21"/>
      <c r="K1104" s="21" t="s">
        <v>109</v>
      </c>
      <c r="L1104" s="21" t="s">
        <v>3101</v>
      </c>
      <c r="M1104" s="21" t="s">
        <v>102</v>
      </c>
      <c r="N1104" s="21"/>
    </row>
    <row r="1105" spans="1:14" ht="64.05" customHeight="1">
      <c r="A1105" s="20" t="s">
        <v>2990</v>
      </c>
      <c r="B1105" s="20" t="s">
        <v>33</v>
      </c>
      <c r="C1105" s="20" t="s">
        <v>2314</v>
      </c>
      <c r="D1105" s="20" t="s">
        <v>2897</v>
      </c>
      <c r="E1105" s="20" t="s">
        <v>3108</v>
      </c>
      <c r="F1105" s="20">
        <v>1</v>
      </c>
      <c r="G1105" s="20" t="s">
        <v>92</v>
      </c>
      <c r="H1105" s="20"/>
      <c r="I1105" s="21" t="s">
        <v>1123</v>
      </c>
      <c r="J1105" s="21"/>
      <c r="K1105" s="21" t="s">
        <v>109</v>
      </c>
      <c r="L1105" s="21" t="s">
        <v>3101</v>
      </c>
      <c r="M1105" s="21" t="s">
        <v>102</v>
      </c>
      <c r="N1105" s="21"/>
    </row>
    <row r="1106" spans="1:14" ht="64.05" customHeight="1">
      <c r="A1106" s="20" t="s">
        <v>2990</v>
      </c>
      <c r="B1106" s="20" t="s">
        <v>33</v>
      </c>
      <c r="C1106" s="20" t="s">
        <v>2314</v>
      </c>
      <c r="D1106" s="20" t="s">
        <v>2897</v>
      </c>
      <c r="E1106" s="20" t="s">
        <v>3109</v>
      </c>
      <c r="F1106" s="20">
        <v>1</v>
      </c>
      <c r="G1106" s="20" t="s">
        <v>92</v>
      </c>
      <c r="H1106" s="20"/>
      <c r="I1106" s="21" t="s">
        <v>1123</v>
      </c>
      <c r="J1106" s="21"/>
      <c r="K1106" s="21" t="s">
        <v>109</v>
      </c>
      <c r="L1106" s="21" t="s">
        <v>3101</v>
      </c>
      <c r="M1106" s="21" t="s">
        <v>102</v>
      </c>
      <c r="N1106" s="21"/>
    </row>
    <row r="1107" spans="1:14" ht="64.05" customHeight="1">
      <c r="A1107" s="20" t="s">
        <v>2990</v>
      </c>
      <c r="B1107" s="20" t="s">
        <v>32</v>
      </c>
      <c r="C1107" s="20" t="s">
        <v>200</v>
      </c>
      <c r="D1107" s="20" t="s">
        <v>201</v>
      </c>
      <c r="E1107" s="20" t="s">
        <v>3110</v>
      </c>
      <c r="F1107" s="20">
        <v>1</v>
      </c>
      <c r="G1107" s="20" t="s">
        <v>92</v>
      </c>
      <c r="H1107" s="20"/>
      <c r="I1107" s="21" t="s">
        <v>3111</v>
      </c>
      <c r="J1107" s="21" t="s">
        <v>446</v>
      </c>
      <c r="K1107" s="21" t="s">
        <v>109</v>
      </c>
      <c r="L1107" s="21" t="s">
        <v>3112</v>
      </c>
      <c r="M1107" s="21" t="s">
        <v>102</v>
      </c>
      <c r="N1107" s="21"/>
    </row>
    <row r="1108" spans="1:14" ht="64.05" customHeight="1">
      <c r="A1108" s="20" t="s">
        <v>3113</v>
      </c>
      <c r="B1108" s="20" t="s">
        <v>20</v>
      </c>
      <c r="C1108" s="20" t="s">
        <v>65</v>
      </c>
      <c r="D1108" s="20" t="s">
        <v>66</v>
      </c>
      <c r="E1108" s="20" t="s">
        <v>3114</v>
      </c>
      <c r="F1108" s="20">
        <v>1</v>
      </c>
      <c r="G1108" s="20" t="s">
        <v>3115</v>
      </c>
      <c r="H1108" s="20" t="s">
        <v>3116</v>
      </c>
      <c r="I1108" s="21" t="s">
        <v>3117</v>
      </c>
      <c r="J1108" s="21"/>
      <c r="K1108" s="21" t="s">
        <v>3118</v>
      </c>
      <c r="L1108" s="21" t="s">
        <v>3119</v>
      </c>
      <c r="M1108" s="21" t="s">
        <v>73</v>
      </c>
      <c r="N1108" s="21"/>
    </row>
    <row r="1109" spans="1:14" ht="64.05" customHeight="1">
      <c r="A1109" s="20" t="s">
        <v>3113</v>
      </c>
      <c r="B1109" s="20" t="s">
        <v>20</v>
      </c>
      <c r="C1109" s="20" t="s">
        <v>65</v>
      </c>
      <c r="D1109" s="20" t="s">
        <v>66</v>
      </c>
      <c r="E1109" s="20" t="s">
        <v>3120</v>
      </c>
      <c r="F1109" s="20">
        <v>1</v>
      </c>
      <c r="G1109" s="20" t="s">
        <v>1887</v>
      </c>
      <c r="H1109" s="20"/>
      <c r="I1109" s="21" t="s">
        <v>140</v>
      </c>
      <c r="J1109" s="21"/>
      <c r="K1109" s="21" t="s">
        <v>141</v>
      </c>
      <c r="L1109" s="21" t="s">
        <v>3121</v>
      </c>
      <c r="M1109" s="21" t="s">
        <v>102</v>
      </c>
      <c r="N1109" s="21"/>
    </row>
    <row r="1110" spans="1:14" ht="64.05" customHeight="1">
      <c r="A1110" s="20" t="s">
        <v>3113</v>
      </c>
      <c r="B1110" s="20" t="s">
        <v>22</v>
      </c>
      <c r="C1110" s="20" t="s">
        <v>370</v>
      </c>
      <c r="D1110" s="20" t="s">
        <v>371</v>
      </c>
      <c r="E1110" s="20" t="s">
        <v>3122</v>
      </c>
      <c r="F1110" s="20">
        <v>1</v>
      </c>
      <c r="G1110" s="20" t="s">
        <v>92</v>
      </c>
      <c r="H1110" s="20"/>
      <c r="I1110" s="21" t="s">
        <v>2124</v>
      </c>
      <c r="J1110" s="21"/>
      <c r="K1110" s="21" t="s">
        <v>1919</v>
      </c>
      <c r="L1110" s="21" t="s">
        <v>3123</v>
      </c>
      <c r="M1110" s="21" t="s">
        <v>73</v>
      </c>
      <c r="N1110" s="21"/>
    </row>
    <row r="1111" spans="1:14" ht="64.05" customHeight="1">
      <c r="A1111" s="20" t="s">
        <v>3113</v>
      </c>
      <c r="B1111" s="20" t="s">
        <v>22</v>
      </c>
      <c r="C1111" s="20" t="s">
        <v>370</v>
      </c>
      <c r="D1111" s="20" t="s">
        <v>371</v>
      </c>
      <c r="E1111" s="20" t="s">
        <v>3124</v>
      </c>
      <c r="F1111" s="20">
        <v>1</v>
      </c>
      <c r="G1111" s="20" t="s">
        <v>92</v>
      </c>
      <c r="H1111" s="20"/>
      <c r="I1111" s="21" t="s">
        <v>2124</v>
      </c>
      <c r="J1111" s="21"/>
      <c r="K1111" s="21" t="s">
        <v>1919</v>
      </c>
      <c r="L1111" s="21" t="s">
        <v>3123</v>
      </c>
      <c r="M1111" s="21" t="s">
        <v>73</v>
      </c>
      <c r="N1111" s="21"/>
    </row>
    <row r="1112" spans="1:14" ht="64.05" customHeight="1">
      <c r="A1112" s="20" t="s">
        <v>3113</v>
      </c>
      <c r="B1112" s="20" t="s">
        <v>22</v>
      </c>
      <c r="C1112" s="20" t="s">
        <v>370</v>
      </c>
      <c r="D1112" s="20" t="s">
        <v>371</v>
      </c>
      <c r="E1112" s="20" t="s">
        <v>3125</v>
      </c>
      <c r="F1112" s="20">
        <v>1</v>
      </c>
      <c r="G1112" s="20" t="s">
        <v>3126</v>
      </c>
      <c r="H1112" s="20" t="s">
        <v>3127</v>
      </c>
      <c r="I1112" s="21" t="s">
        <v>3128</v>
      </c>
      <c r="J1112" s="21"/>
      <c r="K1112" s="21" t="s">
        <v>78</v>
      </c>
      <c r="L1112" s="21" t="s">
        <v>3129</v>
      </c>
      <c r="M1112" s="21" t="s">
        <v>73</v>
      </c>
      <c r="N1112" s="21"/>
    </row>
    <row r="1113" spans="1:14" ht="64.05" customHeight="1">
      <c r="A1113" s="20" t="s">
        <v>3113</v>
      </c>
      <c r="B1113" s="20" t="s">
        <v>23</v>
      </c>
      <c r="C1113" s="20" t="s">
        <v>103</v>
      </c>
      <c r="D1113" s="20" t="s">
        <v>104</v>
      </c>
      <c r="E1113" s="20" t="s">
        <v>3130</v>
      </c>
      <c r="F1113" s="20">
        <v>1</v>
      </c>
      <c r="G1113" s="20" t="s">
        <v>2782</v>
      </c>
      <c r="H1113" s="20" t="s">
        <v>3131</v>
      </c>
      <c r="I1113" s="21" t="s">
        <v>3132</v>
      </c>
      <c r="J1113" s="21"/>
      <c r="K1113" s="21" t="s">
        <v>3133</v>
      </c>
      <c r="L1113" s="21" t="s">
        <v>3134</v>
      </c>
      <c r="M1113" s="21" t="s">
        <v>73</v>
      </c>
      <c r="N1113" s="21"/>
    </row>
    <row r="1114" spans="1:14" ht="64.05" customHeight="1">
      <c r="A1114" s="20" t="s">
        <v>3113</v>
      </c>
      <c r="B1114" s="20" t="s">
        <v>23</v>
      </c>
      <c r="C1114" s="20" t="s">
        <v>103</v>
      </c>
      <c r="D1114" s="20" t="s">
        <v>104</v>
      </c>
      <c r="E1114" s="20" t="s">
        <v>3135</v>
      </c>
      <c r="F1114" s="20">
        <v>1</v>
      </c>
      <c r="G1114" s="20" t="s">
        <v>92</v>
      </c>
      <c r="H1114" s="20"/>
      <c r="I1114" s="21" t="s">
        <v>3136</v>
      </c>
      <c r="J1114" s="21" t="s">
        <v>446</v>
      </c>
      <c r="K1114" s="21" t="s">
        <v>109</v>
      </c>
      <c r="L1114" s="21" t="s">
        <v>3137</v>
      </c>
      <c r="M1114" s="21" t="s">
        <v>102</v>
      </c>
      <c r="N1114" s="21"/>
    </row>
    <row r="1115" spans="1:14" ht="64.05" customHeight="1">
      <c r="A1115" s="20" t="s">
        <v>3113</v>
      </c>
      <c r="B1115" s="20" t="s">
        <v>25</v>
      </c>
      <c r="C1115" s="20" t="s">
        <v>115</v>
      </c>
      <c r="D1115" s="20" t="s">
        <v>116</v>
      </c>
      <c r="E1115" s="20" t="s">
        <v>3138</v>
      </c>
      <c r="F1115" s="20">
        <v>1</v>
      </c>
      <c r="G1115" s="20" t="s">
        <v>411</v>
      </c>
      <c r="H1115" s="20" t="s">
        <v>409</v>
      </c>
      <c r="I1115" s="21" t="s">
        <v>415</v>
      </c>
      <c r="J1115" s="21"/>
      <c r="K1115" s="21" t="s">
        <v>3022</v>
      </c>
      <c r="L1115" s="21" t="s">
        <v>3139</v>
      </c>
      <c r="M1115" s="21" t="s">
        <v>73</v>
      </c>
      <c r="N1115" s="21"/>
    </row>
    <row r="1116" spans="1:14" ht="64.05" customHeight="1">
      <c r="A1116" s="20" t="s">
        <v>3113</v>
      </c>
      <c r="B1116" s="20" t="s">
        <v>25</v>
      </c>
      <c r="C1116" s="20" t="s">
        <v>115</v>
      </c>
      <c r="D1116" s="20" t="s">
        <v>116</v>
      </c>
      <c r="E1116" s="20" t="s">
        <v>3140</v>
      </c>
      <c r="F1116" s="20">
        <v>1</v>
      </c>
      <c r="G1116" s="20" t="s">
        <v>411</v>
      </c>
      <c r="H1116" s="20" t="s">
        <v>409</v>
      </c>
      <c r="I1116" s="21" t="s">
        <v>415</v>
      </c>
      <c r="J1116" s="21"/>
      <c r="K1116" s="21" t="s">
        <v>3022</v>
      </c>
      <c r="L1116" s="21" t="s">
        <v>3141</v>
      </c>
      <c r="M1116" s="21" t="s">
        <v>73</v>
      </c>
      <c r="N1116" s="21"/>
    </row>
    <row r="1117" spans="1:14" ht="64.05" customHeight="1">
      <c r="A1117" s="20" t="s">
        <v>3113</v>
      </c>
      <c r="B1117" s="20" t="s">
        <v>25</v>
      </c>
      <c r="C1117" s="20" t="s">
        <v>131</v>
      </c>
      <c r="D1117" s="20" t="s">
        <v>132</v>
      </c>
      <c r="E1117" s="20" t="s">
        <v>3142</v>
      </c>
      <c r="F1117" s="20">
        <v>1</v>
      </c>
      <c r="G1117" s="20" t="s">
        <v>604</v>
      </c>
      <c r="H1117" s="20" t="s">
        <v>3143</v>
      </c>
      <c r="I1117" s="21" t="s">
        <v>3144</v>
      </c>
      <c r="J1117" s="21"/>
      <c r="K1117" s="21" t="s">
        <v>3022</v>
      </c>
      <c r="L1117" s="21" t="s">
        <v>3145</v>
      </c>
      <c r="M1117" s="21" t="s">
        <v>73</v>
      </c>
      <c r="N1117" s="21"/>
    </row>
    <row r="1118" spans="1:14" ht="64.05" customHeight="1">
      <c r="A1118" s="20" t="s">
        <v>3113</v>
      </c>
      <c r="B1118" s="20" t="s">
        <v>25</v>
      </c>
      <c r="C1118" s="20" t="s">
        <v>131</v>
      </c>
      <c r="D1118" s="20" t="s">
        <v>132</v>
      </c>
      <c r="E1118" s="20" t="s">
        <v>3146</v>
      </c>
      <c r="F1118" s="20">
        <v>1</v>
      </c>
      <c r="G1118" s="20" t="s">
        <v>604</v>
      </c>
      <c r="H1118" s="20" t="s">
        <v>3143</v>
      </c>
      <c r="I1118" s="21" t="s">
        <v>415</v>
      </c>
      <c r="J1118" s="21"/>
      <c r="K1118" s="21" t="s">
        <v>3022</v>
      </c>
      <c r="L1118" s="21" t="s">
        <v>3145</v>
      </c>
      <c r="M1118" s="21" t="s">
        <v>73</v>
      </c>
      <c r="N1118" s="21"/>
    </row>
    <row r="1119" spans="1:14" ht="64.05" customHeight="1">
      <c r="A1119" s="20" t="s">
        <v>3113</v>
      </c>
      <c r="B1119" s="20" t="s">
        <v>24</v>
      </c>
      <c r="C1119" s="20" t="s">
        <v>426</v>
      </c>
      <c r="D1119" s="20" t="s">
        <v>427</v>
      </c>
      <c r="E1119" s="20" t="s">
        <v>3147</v>
      </c>
      <c r="F1119" s="20">
        <v>1</v>
      </c>
      <c r="G1119" s="20" t="s">
        <v>92</v>
      </c>
      <c r="H1119" s="20"/>
      <c r="I1119" s="21" t="s">
        <v>3148</v>
      </c>
      <c r="J1119" s="21"/>
      <c r="K1119" s="21" t="s">
        <v>1371</v>
      </c>
      <c r="L1119" s="21" t="s">
        <v>3149</v>
      </c>
      <c r="M1119" s="21" t="s">
        <v>62</v>
      </c>
      <c r="N1119" s="21" t="s">
        <v>187</v>
      </c>
    </row>
    <row r="1120" spans="1:14" ht="64.05" customHeight="1">
      <c r="A1120" s="20" t="s">
        <v>3113</v>
      </c>
      <c r="B1120" s="20" t="s">
        <v>24</v>
      </c>
      <c r="C1120" s="20" t="s">
        <v>426</v>
      </c>
      <c r="D1120" s="20" t="s">
        <v>427</v>
      </c>
      <c r="E1120" s="20" t="s">
        <v>3150</v>
      </c>
      <c r="F1120" s="20">
        <v>1</v>
      </c>
      <c r="G1120" s="20" t="s">
        <v>92</v>
      </c>
      <c r="H1120" s="20"/>
      <c r="I1120" s="21" t="s">
        <v>3151</v>
      </c>
      <c r="J1120" s="21" t="s">
        <v>99</v>
      </c>
      <c r="K1120" s="21" t="s">
        <v>141</v>
      </c>
      <c r="L1120" s="21" t="s">
        <v>3152</v>
      </c>
      <c r="M1120" s="21" t="s">
        <v>102</v>
      </c>
      <c r="N1120" s="21"/>
    </row>
    <row r="1121" spans="1:14" ht="64.05" customHeight="1">
      <c r="A1121" s="20" t="s">
        <v>3113</v>
      </c>
      <c r="B1121" s="20" t="s">
        <v>24</v>
      </c>
      <c r="C1121" s="20" t="s">
        <v>431</v>
      </c>
      <c r="D1121" s="20" t="s">
        <v>216</v>
      </c>
      <c r="E1121" s="20" t="s">
        <v>3153</v>
      </c>
      <c r="F1121" s="20">
        <v>1</v>
      </c>
      <c r="G1121" s="20" t="s">
        <v>92</v>
      </c>
      <c r="H1121" s="20"/>
      <c r="I1121" s="21" t="s">
        <v>3154</v>
      </c>
      <c r="J1121" s="21"/>
      <c r="K1121" s="21" t="s">
        <v>109</v>
      </c>
      <c r="L1121" s="21" t="s">
        <v>3155</v>
      </c>
      <c r="M1121" s="21" t="s">
        <v>73</v>
      </c>
      <c r="N1121" s="21"/>
    </row>
    <row r="1122" spans="1:14" ht="64.05" customHeight="1">
      <c r="A1122" s="20" t="s">
        <v>3113</v>
      </c>
      <c r="B1122" s="20" t="s">
        <v>24</v>
      </c>
      <c r="C1122" s="20" t="s">
        <v>431</v>
      </c>
      <c r="D1122" s="20" t="s">
        <v>216</v>
      </c>
      <c r="E1122" s="20" t="s">
        <v>3156</v>
      </c>
      <c r="F1122" s="20">
        <v>1</v>
      </c>
      <c r="G1122" s="20" t="s">
        <v>92</v>
      </c>
      <c r="H1122" s="20"/>
      <c r="I1122" s="21" t="s">
        <v>3157</v>
      </c>
      <c r="J1122" s="21" t="s">
        <v>446</v>
      </c>
      <c r="K1122" s="21" t="s">
        <v>109</v>
      </c>
      <c r="L1122" s="21" t="s">
        <v>3158</v>
      </c>
      <c r="M1122" s="21" t="s">
        <v>102</v>
      </c>
      <c r="N1122" s="21"/>
    </row>
    <row r="1123" spans="1:14" ht="64.05" customHeight="1">
      <c r="A1123" s="20" t="s">
        <v>3113</v>
      </c>
      <c r="B1123" s="20" t="s">
        <v>24</v>
      </c>
      <c r="C1123" s="20" t="s">
        <v>436</v>
      </c>
      <c r="D1123" s="20" t="s">
        <v>437</v>
      </c>
      <c r="E1123" s="20" t="s">
        <v>3159</v>
      </c>
      <c r="F1123" s="20">
        <v>1</v>
      </c>
      <c r="G1123" s="20" t="s">
        <v>139</v>
      </c>
      <c r="H1123" s="20"/>
      <c r="I1123" s="21" t="s">
        <v>3160</v>
      </c>
      <c r="J1123" s="21"/>
      <c r="K1123" s="21" t="s">
        <v>109</v>
      </c>
      <c r="L1123" s="21" t="s">
        <v>3161</v>
      </c>
      <c r="M1123" s="21" t="s">
        <v>62</v>
      </c>
      <c r="N1123" s="21" t="s">
        <v>63</v>
      </c>
    </row>
    <row r="1124" spans="1:14" ht="64.05" customHeight="1">
      <c r="A1124" s="20" t="s">
        <v>3113</v>
      </c>
      <c r="B1124" s="20" t="s">
        <v>24</v>
      </c>
      <c r="C1124" s="20" t="s">
        <v>436</v>
      </c>
      <c r="D1124" s="20" t="s">
        <v>437</v>
      </c>
      <c r="E1124" s="20" t="s">
        <v>3162</v>
      </c>
      <c r="F1124" s="20">
        <v>1</v>
      </c>
      <c r="G1124" s="20" t="s">
        <v>139</v>
      </c>
      <c r="H1124" s="20"/>
      <c r="I1124" s="21" t="s">
        <v>3160</v>
      </c>
      <c r="J1124" s="21"/>
      <c r="K1124" s="21" t="s">
        <v>109</v>
      </c>
      <c r="L1124" s="21" t="s">
        <v>3161</v>
      </c>
      <c r="M1124" s="21" t="s">
        <v>62</v>
      </c>
      <c r="N1124" s="21" t="s">
        <v>63</v>
      </c>
    </row>
    <row r="1125" spans="1:14" ht="64.05" customHeight="1">
      <c r="A1125" s="20" t="s">
        <v>3113</v>
      </c>
      <c r="B1125" s="20" t="s">
        <v>24</v>
      </c>
      <c r="C1125" s="20" t="s">
        <v>136</v>
      </c>
      <c r="D1125" s="20" t="s">
        <v>137</v>
      </c>
      <c r="E1125" s="20" t="s">
        <v>3163</v>
      </c>
      <c r="F1125" s="20">
        <v>1</v>
      </c>
      <c r="G1125" s="20" t="s">
        <v>3164</v>
      </c>
      <c r="H1125" s="20" t="s">
        <v>1058</v>
      </c>
      <c r="I1125" s="21" t="s">
        <v>112</v>
      </c>
      <c r="J1125" s="21"/>
      <c r="K1125" s="21" t="s">
        <v>109</v>
      </c>
      <c r="L1125" s="21" t="s">
        <v>3165</v>
      </c>
      <c r="M1125" s="21" t="s">
        <v>62</v>
      </c>
      <c r="N1125" s="21" t="s">
        <v>130</v>
      </c>
    </row>
    <row r="1126" spans="1:14" ht="64.05" customHeight="1">
      <c r="A1126" s="20" t="s">
        <v>3113</v>
      </c>
      <c r="B1126" s="20" t="s">
        <v>24</v>
      </c>
      <c r="C1126" s="20" t="s">
        <v>136</v>
      </c>
      <c r="D1126" s="20" t="s">
        <v>137</v>
      </c>
      <c r="E1126" s="20" t="s">
        <v>3166</v>
      </c>
      <c r="F1126" s="20">
        <v>1</v>
      </c>
      <c r="G1126" s="20" t="s">
        <v>2705</v>
      </c>
      <c r="H1126" s="20" t="s">
        <v>3167</v>
      </c>
      <c r="I1126" s="21" t="s">
        <v>3168</v>
      </c>
      <c r="J1126" s="21"/>
      <c r="K1126" s="21" t="s">
        <v>109</v>
      </c>
      <c r="L1126" s="21" t="s">
        <v>3169</v>
      </c>
      <c r="M1126" s="21" t="s">
        <v>73</v>
      </c>
      <c r="N1126" s="21"/>
    </row>
    <row r="1127" spans="1:14" ht="64.05" customHeight="1">
      <c r="A1127" s="20" t="s">
        <v>3113</v>
      </c>
      <c r="B1127" s="20" t="s">
        <v>24</v>
      </c>
      <c r="C1127" s="20" t="s">
        <v>136</v>
      </c>
      <c r="D1127" s="20" t="s">
        <v>137</v>
      </c>
      <c r="E1127" s="20" t="s">
        <v>3170</v>
      </c>
      <c r="F1127" s="20">
        <v>1</v>
      </c>
      <c r="G1127" s="20" t="s">
        <v>92</v>
      </c>
      <c r="H1127" s="20"/>
      <c r="I1127" s="21" t="s">
        <v>3171</v>
      </c>
      <c r="J1127" s="21"/>
      <c r="K1127" s="21" t="s">
        <v>109</v>
      </c>
      <c r="L1127" s="21" t="s">
        <v>3169</v>
      </c>
      <c r="M1127" s="21" t="s">
        <v>73</v>
      </c>
      <c r="N1127" s="21"/>
    </row>
    <row r="1128" spans="1:14" ht="64.05" customHeight="1">
      <c r="A1128" s="20" t="s">
        <v>3113</v>
      </c>
      <c r="B1128" s="20" t="s">
        <v>24</v>
      </c>
      <c r="C1128" s="20" t="s">
        <v>136</v>
      </c>
      <c r="D1128" s="20" t="s">
        <v>137</v>
      </c>
      <c r="E1128" s="20" t="s">
        <v>3172</v>
      </c>
      <c r="F1128" s="20">
        <v>1</v>
      </c>
      <c r="G1128" s="20" t="s">
        <v>3173</v>
      </c>
      <c r="H1128" s="20" t="s">
        <v>3174</v>
      </c>
      <c r="I1128" s="21" t="s">
        <v>3175</v>
      </c>
      <c r="J1128" s="21" t="s">
        <v>245</v>
      </c>
      <c r="K1128" s="21" t="s">
        <v>3176</v>
      </c>
      <c r="L1128" s="21" t="s">
        <v>3177</v>
      </c>
      <c r="M1128" s="21" t="s">
        <v>62</v>
      </c>
      <c r="N1128" s="21" t="s">
        <v>712</v>
      </c>
    </row>
    <row r="1129" spans="1:14" ht="64.05" customHeight="1">
      <c r="A1129" s="20" t="s">
        <v>3113</v>
      </c>
      <c r="B1129" s="20" t="s">
        <v>24</v>
      </c>
      <c r="C1129" s="20" t="s">
        <v>136</v>
      </c>
      <c r="D1129" s="20" t="s">
        <v>137</v>
      </c>
      <c r="E1129" s="20" t="s">
        <v>3178</v>
      </c>
      <c r="F1129" s="20">
        <v>1</v>
      </c>
      <c r="G1129" s="20" t="s">
        <v>3173</v>
      </c>
      <c r="H1129" s="20" t="s">
        <v>3174</v>
      </c>
      <c r="I1129" s="21" t="s">
        <v>3175</v>
      </c>
      <c r="J1129" s="21" t="s">
        <v>245</v>
      </c>
      <c r="K1129" s="21" t="s">
        <v>3176</v>
      </c>
      <c r="L1129" s="21" t="s">
        <v>3177</v>
      </c>
      <c r="M1129" s="21" t="s">
        <v>62</v>
      </c>
      <c r="N1129" s="21" t="s">
        <v>712</v>
      </c>
    </row>
    <row r="1130" spans="1:14" ht="64.05" customHeight="1">
      <c r="A1130" s="20" t="s">
        <v>3113</v>
      </c>
      <c r="B1130" s="20" t="s">
        <v>24</v>
      </c>
      <c r="C1130" s="20" t="s">
        <v>136</v>
      </c>
      <c r="D1130" s="20" t="s">
        <v>137</v>
      </c>
      <c r="E1130" s="20" t="s">
        <v>3179</v>
      </c>
      <c r="F1130" s="20">
        <v>1</v>
      </c>
      <c r="G1130" s="20" t="s">
        <v>92</v>
      </c>
      <c r="H1130" s="20"/>
      <c r="I1130" s="21" t="s">
        <v>140</v>
      </c>
      <c r="J1130" s="21" t="s">
        <v>672</v>
      </c>
      <c r="K1130" s="21" t="s">
        <v>141</v>
      </c>
      <c r="L1130" s="21" t="s">
        <v>3180</v>
      </c>
      <c r="M1130" s="21" t="s">
        <v>102</v>
      </c>
      <c r="N1130" s="21"/>
    </row>
    <row r="1131" spans="1:14" ht="64.05" customHeight="1">
      <c r="A1131" s="20" t="s">
        <v>3113</v>
      </c>
      <c r="B1131" s="20" t="s">
        <v>28</v>
      </c>
      <c r="C1131" s="20" t="s">
        <v>146</v>
      </c>
      <c r="D1131" s="20" t="s">
        <v>147</v>
      </c>
      <c r="E1131" s="20" t="s">
        <v>3181</v>
      </c>
      <c r="F1131" s="20">
        <v>1</v>
      </c>
      <c r="G1131" s="20" t="s">
        <v>92</v>
      </c>
      <c r="H1131" s="20"/>
      <c r="I1131" s="21" t="s">
        <v>3182</v>
      </c>
      <c r="J1131" s="21"/>
      <c r="K1131" s="21" t="s">
        <v>109</v>
      </c>
      <c r="L1131" s="21" t="s">
        <v>3183</v>
      </c>
      <c r="M1131" s="21" t="s">
        <v>62</v>
      </c>
      <c r="N1131" s="21" t="s">
        <v>187</v>
      </c>
    </row>
    <row r="1132" spans="1:14" ht="64.05" customHeight="1">
      <c r="A1132" s="20" t="s">
        <v>3113</v>
      </c>
      <c r="B1132" s="20" t="s">
        <v>28</v>
      </c>
      <c r="C1132" s="20" t="s">
        <v>167</v>
      </c>
      <c r="D1132" s="20" t="s">
        <v>168</v>
      </c>
      <c r="E1132" s="20" t="s">
        <v>3184</v>
      </c>
      <c r="F1132" s="20">
        <v>1</v>
      </c>
      <c r="G1132" s="20" t="s">
        <v>3185</v>
      </c>
      <c r="H1132" s="20" t="s">
        <v>2702</v>
      </c>
      <c r="I1132" s="21" t="s">
        <v>3186</v>
      </c>
      <c r="J1132" s="21"/>
      <c r="K1132" s="21" t="s">
        <v>78</v>
      </c>
      <c r="L1132" s="21" t="s">
        <v>3187</v>
      </c>
      <c r="M1132" s="21" t="s">
        <v>73</v>
      </c>
      <c r="N1132" s="21"/>
    </row>
    <row r="1133" spans="1:14" ht="64.05" customHeight="1">
      <c r="A1133" s="20" t="s">
        <v>3113</v>
      </c>
      <c r="B1133" s="20" t="s">
        <v>30</v>
      </c>
      <c r="C1133" s="20" t="s">
        <v>180</v>
      </c>
      <c r="D1133" s="20" t="s">
        <v>181</v>
      </c>
      <c r="E1133" s="20" t="s">
        <v>3188</v>
      </c>
      <c r="F1133" s="20">
        <v>1</v>
      </c>
      <c r="G1133" s="20" t="s">
        <v>3189</v>
      </c>
      <c r="H1133" s="20" t="s">
        <v>3190</v>
      </c>
      <c r="I1133" s="21" t="s">
        <v>3191</v>
      </c>
      <c r="J1133" s="21"/>
      <c r="K1133" s="21" t="s">
        <v>3192</v>
      </c>
      <c r="L1133" s="21" t="s">
        <v>3193</v>
      </c>
      <c r="M1133" s="21" t="s">
        <v>73</v>
      </c>
      <c r="N1133" s="21"/>
    </row>
    <row r="1134" spans="1:14" ht="64.05" customHeight="1">
      <c r="A1134" s="20" t="s">
        <v>3113</v>
      </c>
      <c r="B1134" s="20" t="s">
        <v>30</v>
      </c>
      <c r="C1134" s="20" t="s">
        <v>180</v>
      </c>
      <c r="D1134" s="20" t="s">
        <v>181</v>
      </c>
      <c r="E1134" s="20" t="s">
        <v>3194</v>
      </c>
      <c r="F1134" s="20">
        <v>1</v>
      </c>
      <c r="G1134" s="20" t="s">
        <v>1787</v>
      </c>
      <c r="H1134" s="20" t="s">
        <v>3195</v>
      </c>
      <c r="I1134" s="21" t="s">
        <v>3196</v>
      </c>
      <c r="J1134" s="21"/>
      <c r="K1134" s="21" t="s">
        <v>3197</v>
      </c>
      <c r="L1134" s="21" t="s">
        <v>3198</v>
      </c>
      <c r="M1134" s="21" t="s">
        <v>62</v>
      </c>
      <c r="N1134" s="21" t="s">
        <v>520</v>
      </c>
    </row>
    <row r="1135" spans="1:14" ht="64.05" customHeight="1">
      <c r="A1135" s="20" t="s">
        <v>3113</v>
      </c>
      <c r="B1135" s="20" t="s">
        <v>30</v>
      </c>
      <c r="C1135" s="20" t="s">
        <v>188</v>
      </c>
      <c r="D1135" s="20" t="s">
        <v>189</v>
      </c>
      <c r="E1135" s="20" t="s">
        <v>3199</v>
      </c>
      <c r="F1135" s="20">
        <v>1</v>
      </c>
      <c r="G1135" s="20" t="s">
        <v>3200</v>
      </c>
      <c r="H1135" s="20" t="s">
        <v>3201</v>
      </c>
      <c r="I1135" s="21" t="s">
        <v>3202</v>
      </c>
      <c r="J1135" s="21" t="s">
        <v>245</v>
      </c>
      <c r="K1135" s="21" t="s">
        <v>3203</v>
      </c>
      <c r="L1135" s="21" t="s">
        <v>3204</v>
      </c>
      <c r="M1135" s="21" t="s">
        <v>73</v>
      </c>
      <c r="N1135" s="21"/>
    </row>
    <row r="1136" spans="1:14" ht="64.05" customHeight="1">
      <c r="A1136" s="20" t="s">
        <v>3113</v>
      </c>
      <c r="B1136" s="20" t="s">
        <v>30</v>
      </c>
      <c r="C1136" s="20" t="s">
        <v>188</v>
      </c>
      <c r="D1136" s="20" t="s">
        <v>189</v>
      </c>
      <c r="E1136" s="20" t="s">
        <v>3205</v>
      </c>
      <c r="F1136" s="20">
        <v>1</v>
      </c>
      <c r="G1136" s="20" t="s">
        <v>3200</v>
      </c>
      <c r="H1136" s="20" t="s">
        <v>3201</v>
      </c>
      <c r="I1136" s="21" t="s">
        <v>3202</v>
      </c>
      <c r="J1136" s="21" t="s">
        <v>245</v>
      </c>
      <c r="K1136" s="21" t="s">
        <v>3203</v>
      </c>
      <c r="L1136" s="21" t="s">
        <v>3204</v>
      </c>
      <c r="M1136" s="21" t="s">
        <v>73</v>
      </c>
      <c r="N1136" s="21"/>
    </row>
    <row r="1137" spans="1:14" ht="64.05" customHeight="1">
      <c r="A1137" s="20" t="s">
        <v>3113</v>
      </c>
      <c r="B1137" s="20" t="s">
        <v>30</v>
      </c>
      <c r="C1137" s="20" t="s">
        <v>188</v>
      </c>
      <c r="D1137" s="20" t="s">
        <v>189</v>
      </c>
      <c r="E1137" s="20" t="s">
        <v>3206</v>
      </c>
      <c r="F1137" s="20">
        <v>1</v>
      </c>
      <c r="G1137" s="20" t="s">
        <v>3200</v>
      </c>
      <c r="H1137" s="20" t="s">
        <v>3201</v>
      </c>
      <c r="I1137" s="21" t="s">
        <v>3207</v>
      </c>
      <c r="J1137" s="21" t="s">
        <v>245</v>
      </c>
      <c r="K1137" s="21" t="s">
        <v>3203</v>
      </c>
      <c r="L1137" s="21" t="s">
        <v>3204</v>
      </c>
      <c r="M1137" s="21" t="s">
        <v>73</v>
      </c>
      <c r="N1137" s="21"/>
    </row>
    <row r="1138" spans="1:14" ht="64.05" customHeight="1">
      <c r="A1138" s="20" t="s">
        <v>3113</v>
      </c>
      <c r="B1138" s="20" t="s">
        <v>30</v>
      </c>
      <c r="C1138" s="20" t="s">
        <v>188</v>
      </c>
      <c r="D1138" s="20" t="s">
        <v>189</v>
      </c>
      <c r="E1138" s="20" t="s">
        <v>3208</v>
      </c>
      <c r="F1138" s="20">
        <v>1</v>
      </c>
      <c r="G1138" s="20" t="s">
        <v>3200</v>
      </c>
      <c r="H1138" s="20" t="s">
        <v>3201</v>
      </c>
      <c r="I1138" s="21" t="s">
        <v>3209</v>
      </c>
      <c r="J1138" s="21" t="s">
        <v>245</v>
      </c>
      <c r="K1138" s="21" t="s">
        <v>3203</v>
      </c>
      <c r="L1138" s="21" t="s">
        <v>3204</v>
      </c>
      <c r="M1138" s="21" t="s">
        <v>73</v>
      </c>
      <c r="N1138" s="21"/>
    </row>
    <row r="1139" spans="1:14" ht="64.05" customHeight="1">
      <c r="A1139" s="20" t="s">
        <v>3113</v>
      </c>
      <c r="B1139" s="20" t="s">
        <v>30</v>
      </c>
      <c r="C1139" s="20" t="s">
        <v>188</v>
      </c>
      <c r="D1139" s="20" t="s">
        <v>189</v>
      </c>
      <c r="E1139" s="20" t="s">
        <v>3210</v>
      </c>
      <c r="F1139" s="20">
        <v>1</v>
      </c>
      <c r="G1139" s="20" t="s">
        <v>3200</v>
      </c>
      <c r="H1139" s="20" t="s">
        <v>3201</v>
      </c>
      <c r="I1139" s="21" t="s">
        <v>3211</v>
      </c>
      <c r="J1139" s="21" t="s">
        <v>245</v>
      </c>
      <c r="K1139" s="21" t="s">
        <v>3203</v>
      </c>
      <c r="L1139" s="21" t="s">
        <v>3204</v>
      </c>
      <c r="M1139" s="21" t="s">
        <v>73</v>
      </c>
      <c r="N1139" s="21"/>
    </row>
    <row r="1140" spans="1:14" ht="64.05" customHeight="1">
      <c r="A1140" s="20" t="s">
        <v>3113</v>
      </c>
      <c r="B1140" s="20" t="s">
        <v>30</v>
      </c>
      <c r="C1140" s="20" t="s">
        <v>188</v>
      </c>
      <c r="D1140" s="20" t="s">
        <v>189</v>
      </c>
      <c r="E1140" s="20" t="s">
        <v>3212</v>
      </c>
      <c r="F1140" s="20">
        <v>1</v>
      </c>
      <c r="G1140" s="20" t="s">
        <v>3200</v>
      </c>
      <c r="H1140" s="20" t="s">
        <v>3201</v>
      </c>
      <c r="I1140" s="21" t="s">
        <v>3213</v>
      </c>
      <c r="J1140" s="21" t="s">
        <v>245</v>
      </c>
      <c r="K1140" s="21" t="s">
        <v>3203</v>
      </c>
      <c r="L1140" s="21" t="s">
        <v>3204</v>
      </c>
      <c r="M1140" s="21" t="s">
        <v>73</v>
      </c>
      <c r="N1140" s="21"/>
    </row>
    <row r="1141" spans="1:14" ht="64.05" customHeight="1">
      <c r="A1141" s="20" t="s">
        <v>3113</v>
      </c>
      <c r="B1141" s="20" t="s">
        <v>30</v>
      </c>
      <c r="C1141" s="20" t="s">
        <v>188</v>
      </c>
      <c r="D1141" s="20" t="s">
        <v>189</v>
      </c>
      <c r="E1141" s="20" t="s">
        <v>3214</v>
      </c>
      <c r="F1141" s="20">
        <v>1</v>
      </c>
      <c r="G1141" s="20" t="s">
        <v>3200</v>
      </c>
      <c r="H1141" s="20" t="s">
        <v>3201</v>
      </c>
      <c r="I1141" s="21" t="s">
        <v>3215</v>
      </c>
      <c r="J1141" s="21" t="s">
        <v>245</v>
      </c>
      <c r="K1141" s="21" t="s">
        <v>3203</v>
      </c>
      <c r="L1141" s="21" t="s">
        <v>3204</v>
      </c>
      <c r="M1141" s="21" t="s">
        <v>73</v>
      </c>
      <c r="N1141" s="21"/>
    </row>
    <row r="1142" spans="1:14" ht="64.05" customHeight="1">
      <c r="A1142" s="20" t="s">
        <v>3113</v>
      </c>
      <c r="B1142" s="20" t="s">
        <v>30</v>
      </c>
      <c r="C1142" s="20" t="s">
        <v>188</v>
      </c>
      <c r="D1142" s="20" t="s">
        <v>189</v>
      </c>
      <c r="E1142" s="20" t="s">
        <v>3216</v>
      </c>
      <c r="F1142" s="20">
        <v>1</v>
      </c>
      <c r="G1142" s="20" t="s">
        <v>3200</v>
      </c>
      <c r="H1142" s="20" t="s">
        <v>3201</v>
      </c>
      <c r="I1142" s="21" t="s">
        <v>3217</v>
      </c>
      <c r="J1142" s="21" t="s">
        <v>245</v>
      </c>
      <c r="K1142" s="21" t="s">
        <v>3203</v>
      </c>
      <c r="L1142" s="21" t="s">
        <v>3218</v>
      </c>
      <c r="M1142" s="21" t="s">
        <v>73</v>
      </c>
      <c r="N1142" s="21"/>
    </row>
    <row r="1143" spans="1:14" ht="64.05" customHeight="1">
      <c r="A1143" s="20" t="s">
        <v>3113</v>
      </c>
      <c r="B1143" s="20" t="s">
        <v>30</v>
      </c>
      <c r="C1143" s="20" t="s">
        <v>188</v>
      </c>
      <c r="D1143" s="20" t="s">
        <v>189</v>
      </c>
      <c r="E1143" s="20" t="s">
        <v>3219</v>
      </c>
      <c r="F1143" s="20">
        <v>1</v>
      </c>
      <c r="G1143" s="20" t="s">
        <v>3200</v>
      </c>
      <c r="H1143" s="20" t="s">
        <v>3201</v>
      </c>
      <c r="I1143" s="21" t="s">
        <v>3220</v>
      </c>
      <c r="J1143" s="21" t="s">
        <v>245</v>
      </c>
      <c r="K1143" s="21" t="s">
        <v>3203</v>
      </c>
      <c r="L1143" s="21" t="s">
        <v>3204</v>
      </c>
      <c r="M1143" s="21" t="s">
        <v>73</v>
      </c>
      <c r="N1143" s="21"/>
    </row>
    <row r="1144" spans="1:14" ht="64.05" customHeight="1">
      <c r="A1144" s="20" t="s">
        <v>3113</v>
      </c>
      <c r="B1144" s="20" t="s">
        <v>30</v>
      </c>
      <c r="C1144" s="20" t="s">
        <v>188</v>
      </c>
      <c r="D1144" s="20" t="s">
        <v>189</v>
      </c>
      <c r="E1144" s="20" t="s">
        <v>3221</v>
      </c>
      <c r="F1144" s="20">
        <v>1</v>
      </c>
      <c r="G1144" s="20" t="s">
        <v>3200</v>
      </c>
      <c r="H1144" s="20" t="s">
        <v>3201</v>
      </c>
      <c r="I1144" s="21" t="s">
        <v>3222</v>
      </c>
      <c r="J1144" s="21" t="s">
        <v>245</v>
      </c>
      <c r="K1144" s="21" t="s">
        <v>3203</v>
      </c>
      <c r="L1144" s="21" t="s">
        <v>3218</v>
      </c>
      <c r="M1144" s="21" t="s">
        <v>73</v>
      </c>
      <c r="N1144" s="21"/>
    </row>
    <row r="1145" spans="1:14" ht="64.05" customHeight="1">
      <c r="A1145" s="20" t="s">
        <v>3113</v>
      </c>
      <c r="B1145" s="20" t="s">
        <v>30</v>
      </c>
      <c r="C1145" s="20" t="s">
        <v>188</v>
      </c>
      <c r="D1145" s="20" t="s">
        <v>189</v>
      </c>
      <c r="E1145" s="20" t="s">
        <v>3223</v>
      </c>
      <c r="F1145" s="20">
        <v>1</v>
      </c>
      <c r="G1145" s="20" t="s">
        <v>3224</v>
      </c>
      <c r="H1145" s="20" t="s">
        <v>3225</v>
      </c>
      <c r="I1145" s="21" t="s">
        <v>3226</v>
      </c>
      <c r="J1145" s="21" t="s">
        <v>245</v>
      </c>
      <c r="K1145" s="21" t="s">
        <v>3227</v>
      </c>
      <c r="L1145" s="21" t="s">
        <v>3228</v>
      </c>
      <c r="M1145" s="21" t="s">
        <v>73</v>
      </c>
      <c r="N1145" s="21"/>
    </row>
    <row r="1146" spans="1:14" ht="64.05" customHeight="1">
      <c r="A1146" s="20" t="s">
        <v>3113</v>
      </c>
      <c r="B1146" s="20" t="s">
        <v>30</v>
      </c>
      <c r="C1146" s="20" t="s">
        <v>188</v>
      </c>
      <c r="D1146" s="20" t="s">
        <v>189</v>
      </c>
      <c r="E1146" s="20" t="s">
        <v>3229</v>
      </c>
      <c r="F1146" s="20">
        <v>1</v>
      </c>
      <c r="G1146" s="20" t="s">
        <v>1787</v>
      </c>
      <c r="H1146" s="20" t="s">
        <v>3195</v>
      </c>
      <c r="I1146" s="21" t="s">
        <v>3230</v>
      </c>
      <c r="J1146" s="21" t="s">
        <v>245</v>
      </c>
      <c r="K1146" s="21" t="s">
        <v>3176</v>
      </c>
      <c r="L1146" s="21" t="s">
        <v>3231</v>
      </c>
      <c r="M1146" s="21" t="s">
        <v>73</v>
      </c>
      <c r="N1146" s="21"/>
    </row>
    <row r="1147" spans="1:14" ht="64.05" customHeight="1">
      <c r="A1147" s="20" t="s">
        <v>3113</v>
      </c>
      <c r="B1147" s="20" t="s">
        <v>30</v>
      </c>
      <c r="C1147" s="20" t="s">
        <v>188</v>
      </c>
      <c r="D1147" s="20" t="s">
        <v>189</v>
      </c>
      <c r="E1147" s="20" t="s">
        <v>3232</v>
      </c>
      <c r="F1147" s="20">
        <v>1</v>
      </c>
      <c r="G1147" s="20" t="s">
        <v>1787</v>
      </c>
      <c r="H1147" s="20" t="s">
        <v>3195</v>
      </c>
      <c r="I1147" s="21" t="s">
        <v>3226</v>
      </c>
      <c r="J1147" s="21" t="s">
        <v>245</v>
      </c>
      <c r="K1147" s="21" t="s">
        <v>3176</v>
      </c>
      <c r="L1147" s="21" t="s">
        <v>3233</v>
      </c>
      <c r="M1147" s="21" t="s">
        <v>73</v>
      </c>
      <c r="N1147" s="21"/>
    </row>
    <row r="1148" spans="1:14" ht="64.05" customHeight="1">
      <c r="A1148" s="20" t="s">
        <v>3113</v>
      </c>
      <c r="B1148" s="20" t="s">
        <v>30</v>
      </c>
      <c r="C1148" s="20" t="s">
        <v>188</v>
      </c>
      <c r="D1148" s="20" t="s">
        <v>189</v>
      </c>
      <c r="E1148" s="20" t="s">
        <v>3234</v>
      </c>
      <c r="F1148" s="20">
        <v>1</v>
      </c>
      <c r="G1148" s="20" t="s">
        <v>1787</v>
      </c>
      <c r="H1148" s="20" t="s">
        <v>3195</v>
      </c>
      <c r="I1148" s="21" t="s">
        <v>3226</v>
      </c>
      <c r="J1148" s="21" t="s">
        <v>245</v>
      </c>
      <c r="K1148" s="21" t="s">
        <v>3176</v>
      </c>
      <c r="L1148" s="21" t="s">
        <v>3233</v>
      </c>
      <c r="M1148" s="21" t="s">
        <v>73</v>
      </c>
      <c r="N1148" s="21"/>
    </row>
    <row r="1149" spans="1:14" ht="64.05" customHeight="1">
      <c r="A1149" s="20" t="s">
        <v>3113</v>
      </c>
      <c r="B1149" s="20" t="s">
        <v>30</v>
      </c>
      <c r="C1149" s="20" t="s">
        <v>188</v>
      </c>
      <c r="D1149" s="20" t="s">
        <v>189</v>
      </c>
      <c r="E1149" s="20" t="s">
        <v>3235</v>
      </c>
      <c r="F1149" s="20">
        <v>1</v>
      </c>
      <c r="G1149" s="20" t="s">
        <v>1534</v>
      </c>
      <c r="H1149" s="20" t="s">
        <v>3236</v>
      </c>
      <c r="I1149" s="21" t="s">
        <v>1542</v>
      </c>
      <c r="J1149" s="21"/>
      <c r="K1149" s="21" t="s">
        <v>78</v>
      </c>
      <c r="L1149" s="21" t="s">
        <v>3237</v>
      </c>
      <c r="M1149" s="21" t="s">
        <v>73</v>
      </c>
      <c r="N1149" s="21"/>
    </row>
    <row r="1150" spans="1:14" ht="64.05" customHeight="1">
      <c r="A1150" s="20" t="s">
        <v>3113</v>
      </c>
      <c r="B1150" s="20" t="s">
        <v>30</v>
      </c>
      <c r="C1150" s="20" t="s">
        <v>188</v>
      </c>
      <c r="D1150" s="20" t="s">
        <v>189</v>
      </c>
      <c r="E1150" s="20" t="s">
        <v>3238</v>
      </c>
      <c r="F1150" s="20">
        <v>1</v>
      </c>
      <c r="G1150" s="20" t="s">
        <v>1534</v>
      </c>
      <c r="H1150" s="20" t="s">
        <v>3236</v>
      </c>
      <c r="I1150" s="21" t="s">
        <v>1542</v>
      </c>
      <c r="J1150" s="21"/>
      <c r="K1150" s="21" t="s">
        <v>78</v>
      </c>
      <c r="L1150" s="21" t="s">
        <v>3237</v>
      </c>
      <c r="M1150" s="21" t="s">
        <v>73</v>
      </c>
      <c r="N1150" s="21"/>
    </row>
    <row r="1151" spans="1:14" ht="64.05" customHeight="1">
      <c r="A1151" s="20" t="s">
        <v>3113</v>
      </c>
      <c r="B1151" s="20" t="s">
        <v>30</v>
      </c>
      <c r="C1151" s="20" t="s">
        <v>188</v>
      </c>
      <c r="D1151" s="20" t="s">
        <v>189</v>
      </c>
      <c r="E1151" s="20" t="s">
        <v>3239</v>
      </c>
      <c r="F1151" s="20">
        <v>1</v>
      </c>
      <c r="G1151" s="20" t="s">
        <v>1534</v>
      </c>
      <c r="H1151" s="20" t="s">
        <v>3236</v>
      </c>
      <c r="I1151" s="21" t="s">
        <v>3240</v>
      </c>
      <c r="J1151" s="21"/>
      <c r="K1151" s="21" t="s">
        <v>78</v>
      </c>
      <c r="L1151" s="21" t="s">
        <v>3237</v>
      </c>
      <c r="M1151" s="21" t="s">
        <v>73</v>
      </c>
      <c r="N1151" s="21"/>
    </row>
    <row r="1152" spans="1:14" ht="64.05" customHeight="1">
      <c r="A1152" s="20" t="s">
        <v>3113</v>
      </c>
      <c r="B1152" s="20" t="s">
        <v>30</v>
      </c>
      <c r="C1152" s="20" t="s">
        <v>188</v>
      </c>
      <c r="D1152" s="20" t="s">
        <v>189</v>
      </c>
      <c r="E1152" s="20" t="s">
        <v>3241</v>
      </c>
      <c r="F1152" s="20">
        <v>1</v>
      </c>
      <c r="G1152" s="20" t="s">
        <v>1534</v>
      </c>
      <c r="H1152" s="20" t="s">
        <v>3236</v>
      </c>
      <c r="I1152" s="21" t="s">
        <v>3242</v>
      </c>
      <c r="J1152" s="21"/>
      <c r="K1152" s="21" t="s">
        <v>78</v>
      </c>
      <c r="L1152" s="21" t="s">
        <v>3237</v>
      </c>
      <c r="M1152" s="21" t="s">
        <v>73</v>
      </c>
      <c r="N1152" s="21"/>
    </row>
    <row r="1153" spans="1:14" ht="64.05" customHeight="1">
      <c r="A1153" s="20" t="s">
        <v>3113</v>
      </c>
      <c r="B1153" s="20" t="s">
        <v>30</v>
      </c>
      <c r="C1153" s="20" t="s">
        <v>188</v>
      </c>
      <c r="D1153" s="20" t="s">
        <v>189</v>
      </c>
      <c r="E1153" s="20" t="s">
        <v>3243</v>
      </c>
      <c r="F1153" s="20">
        <v>1</v>
      </c>
      <c r="G1153" s="20" t="s">
        <v>1987</v>
      </c>
      <c r="H1153" s="20" t="s">
        <v>2276</v>
      </c>
      <c r="I1153" s="21" t="s">
        <v>3244</v>
      </c>
      <c r="J1153" s="21"/>
      <c r="K1153" s="21" t="s">
        <v>78</v>
      </c>
      <c r="L1153" s="21" t="s">
        <v>3245</v>
      </c>
      <c r="M1153" s="21" t="s">
        <v>73</v>
      </c>
      <c r="N1153" s="21"/>
    </row>
    <row r="1154" spans="1:14" ht="64.05" customHeight="1">
      <c r="A1154" s="20" t="s">
        <v>3113</v>
      </c>
      <c r="B1154" s="20" t="s">
        <v>30</v>
      </c>
      <c r="C1154" s="20" t="s">
        <v>188</v>
      </c>
      <c r="D1154" s="20" t="s">
        <v>189</v>
      </c>
      <c r="E1154" s="20" t="s">
        <v>3246</v>
      </c>
      <c r="F1154" s="20">
        <v>1</v>
      </c>
      <c r="G1154" s="20" t="s">
        <v>1987</v>
      </c>
      <c r="H1154" s="20" t="s">
        <v>2276</v>
      </c>
      <c r="I1154" s="21" t="s">
        <v>3247</v>
      </c>
      <c r="J1154" s="21"/>
      <c r="K1154" s="21" t="s">
        <v>78</v>
      </c>
      <c r="L1154" s="21" t="s">
        <v>3245</v>
      </c>
      <c r="M1154" s="21" t="s">
        <v>73</v>
      </c>
      <c r="N1154" s="21"/>
    </row>
    <row r="1155" spans="1:14" ht="64.05" customHeight="1">
      <c r="A1155" s="20" t="s">
        <v>3113</v>
      </c>
      <c r="B1155" s="20" t="s">
        <v>30</v>
      </c>
      <c r="C1155" s="20" t="s">
        <v>188</v>
      </c>
      <c r="D1155" s="20" t="s">
        <v>189</v>
      </c>
      <c r="E1155" s="20" t="s">
        <v>3248</v>
      </c>
      <c r="F1155" s="20">
        <v>1</v>
      </c>
      <c r="G1155" s="20" t="s">
        <v>92</v>
      </c>
      <c r="H1155" s="20"/>
      <c r="I1155" s="21" t="s">
        <v>3249</v>
      </c>
      <c r="J1155" s="21" t="s">
        <v>446</v>
      </c>
      <c r="K1155" s="21" t="s">
        <v>3250</v>
      </c>
      <c r="L1155" s="21" t="s">
        <v>3251</v>
      </c>
      <c r="M1155" s="21" t="s">
        <v>102</v>
      </c>
      <c r="N1155" s="21"/>
    </row>
    <row r="1156" spans="1:14" ht="64.05" customHeight="1">
      <c r="A1156" s="20" t="s">
        <v>3113</v>
      </c>
      <c r="B1156" s="20" t="s">
        <v>30</v>
      </c>
      <c r="C1156" s="20" t="s">
        <v>188</v>
      </c>
      <c r="D1156" s="20" t="s">
        <v>189</v>
      </c>
      <c r="E1156" s="20" t="s">
        <v>3252</v>
      </c>
      <c r="F1156" s="20">
        <v>1</v>
      </c>
      <c r="G1156" s="20" t="s">
        <v>1987</v>
      </c>
      <c r="H1156" s="20" t="s">
        <v>2276</v>
      </c>
      <c r="I1156" s="21" t="s">
        <v>3253</v>
      </c>
      <c r="J1156" s="21"/>
      <c r="K1156" s="21" t="s">
        <v>78</v>
      </c>
      <c r="L1156" s="21" t="s">
        <v>3254</v>
      </c>
      <c r="M1156" s="21" t="s">
        <v>62</v>
      </c>
      <c r="N1156" s="21" t="s">
        <v>811</v>
      </c>
    </row>
    <row r="1157" spans="1:14" ht="64.05" customHeight="1">
      <c r="A1157" s="20" t="s">
        <v>3113</v>
      </c>
      <c r="B1157" s="20" t="s">
        <v>30</v>
      </c>
      <c r="C1157" s="20" t="s">
        <v>188</v>
      </c>
      <c r="D1157" s="20" t="s">
        <v>189</v>
      </c>
      <c r="E1157" s="20" t="s">
        <v>3255</v>
      </c>
      <c r="F1157" s="20">
        <v>1</v>
      </c>
      <c r="G1157" s="20" t="s">
        <v>92</v>
      </c>
      <c r="H1157" s="20"/>
      <c r="I1157" s="21" t="s">
        <v>140</v>
      </c>
      <c r="J1157" s="21" t="s">
        <v>672</v>
      </c>
      <c r="K1157" s="21" t="s">
        <v>141</v>
      </c>
      <c r="L1157" s="21" t="s">
        <v>3256</v>
      </c>
      <c r="M1157" s="21" t="s">
        <v>102</v>
      </c>
      <c r="N1157" s="21"/>
    </row>
    <row r="1158" spans="1:14" ht="64.05" customHeight="1">
      <c r="A1158" s="20" t="s">
        <v>3113</v>
      </c>
      <c r="B1158" s="20" t="s">
        <v>31</v>
      </c>
      <c r="C1158" s="20" t="s">
        <v>491</v>
      </c>
      <c r="D1158" s="20" t="s">
        <v>492</v>
      </c>
      <c r="E1158" s="20" t="s">
        <v>3257</v>
      </c>
      <c r="F1158" s="20">
        <v>1</v>
      </c>
      <c r="G1158" s="20" t="s">
        <v>2192</v>
      </c>
      <c r="H1158" s="20" t="s">
        <v>3258</v>
      </c>
      <c r="I1158" s="21" t="s">
        <v>3259</v>
      </c>
      <c r="J1158" s="21"/>
      <c r="K1158" s="21" t="s">
        <v>3260</v>
      </c>
      <c r="L1158" s="21" t="s">
        <v>3261</v>
      </c>
      <c r="M1158" s="21" t="s">
        <v>62</v>
      </c>
      <c r="N1158" s="21" t="s">
        <v>303</v>
      </c>
    </row>
    <row r="1159" spans="1:14" ht="64.05" customHeight="1">
      <c r="A1159" s="20" t="s">
        <v>3113</v>
      </c>
      <c r="B1159" s="20" t="s">
        <v>31</v>
      </c>
      <c r="C1159" s="20" t="s">
        <v>491</v>
      </c>
      <c r="D1159" s="20" t="s">
        <v>492</v>
      </c>
      <c r="E1159" s="20" t="s">
        <v>3262</v>
      </c>
      <c r="F1159" s="20">
        <v>1</v>
      </c>
      <c r="G1159" s="20" t="s">
        <v>2192</v>
      </c>
      <c r="H1159" s="20" t="s">
        <v>3258</v>
      </c>
      <c r="I1159" s="21" t="s">
        <v>3259</v>
      </c>
      <c r="J1159" s="21"/>
      <c r="K1159" s="21" t="s">
        <v>3260</v>
      </c>
      <c r="L1159" s="21" t="s">
        <v>3261</v>
      </c>
      <c r="M1159" s="21" t="s">
        <v>62</v>
      </c>
      <c r="N1159" s="21" t="s">
        <v>303</v>
      </c>
    </row>
    <row r="1160" spans="1:14" ht="64.05" customHeight="1">
      <c r="A1160" s="20" t="s">
        <v>3113</v>
      </c>
      <c r="B1160" s="20" t="s">
        <v>31</v>
      </c>
      <c r="C1160" s="20" t="s">
        <v>491</v>
      </c>
      <c r="D1160" s="20" t="s">
        <v>492</v>
      </c>
      <c r="E1160" s="20" t="s">
        <v>3263</v>
      </c>
      <c r="F1160" s="20">
        <v>1</v>
      </c>
      <c r="G1160" s="20" t="s">
        <v>2192</v>
      </c>
      <c r="H1160" s="20" t="s">
        <v>3258</v>
      </c>
      <c r="I1160" s="21" t="s">
        <v>3259</v>
      </c>
      <c r="J1160" s="21"/>
      <c r="K1160" s="21" t="s">
        <v>3260</v>
      </c>
      <c r="L1160" s="21" t="s">
        <v>3261</v>
      </c>
      <c r="M1160" s="21" t="s">
        <v>62</v>
      </c>
      <c r="N1160" s="21" t="s">
        <v>303</v>
      </c>
    </row>
    <row r="1161" spans="1:14" ht="64.05" customHeight="1">
      <c r="A1161" s="20" t="s">
        <v>3113</v>
      </c>
      <c r="B1161" s="20" t="s">
        <v>31</v>
      </c>
      <c r="C1161" s="20" t="s">
        <v>491</v>
      </c>
      <c r="D1161" s="20" t="s">
        <v>492</v>
      </c>
      <c r="E1161" s="20" t="s">
        <v>3264</v>
      </c>
      <c r="F1161" s="20">
        <v>1</v>
      </c>
      <c r="G1161" s="20" t="s">
        <v>2192</v>
      </c>
      <c r="H1161" s="20" t="s">
        <v>3258</v>
      </c>
      <c r="I1161" s="21" t="s">
        <v>3259</v>
      </c>
      <c r="J1161" s="21"/>
      <c r="K1161" s="21" t="s">
        <v>3260</v>
      </c>
      <c r="L1161" s="21" t="s">
        <v>3261</v>
      </c>
      <c r="M1161" s="21" t="s">
        <v>62</v>
      </c>
      <c r="N1161" s="21" t="s">
        <v>303</v>
      </c>
    </row>
    <row r="1162" spans="1:14" ht="64.05" customHeight="1">
      <c r="A1162" s="20" t="s">
        <v>3113</v>
      </c>
      <c r="B1162" s="20" t="s">
        <v>31</v>
      </c>
      <c r="C1162" s="20" t="s">
        <v>491</v>
      </c>
      <c r="D1162" s="20" t="s">
        <v>492</v>
      </c>
      <c r="E1162" s="20" t="s">
        <v>3265</v>
      </c>
      <c r="F1162" s="20">
        <v>1</v>
      </c>
      <c r="G1162" s="20" t="s">
        <v>2192</v>
      </c>
      <c r="H1162" s="20" t="s">
        <v>3258</v>
      </c>
      <c r="I1162" s="21" t="s">
        <v>3259</v>
      </c>
      <c r="J1162" s="21"/>
      <c r="K1162" s="21" t="s">
        <v>3260</v>
      </c>
      <c r="L1162" s="21" t="s">
        <v>3261</v>
      </c>
      <c r="M1162" s="21" t="s">
        <v>62</v>
      </c>
      <c r="N1162" s="21" t="s">
        <v>303</v>
      </c>
    </row>
    <row r="1163" spans="1:14" ht="64.05" customHeight="1">
      <c r="A1163" s="20" t="s">
        <v>3113</v>
      </c>
      <c r="B1163" s="20" t="s">
        <v>32</v>
      </c>
      <c r="C1163" s="20" t="s">
        <v>3266</v>
      </c>
      <c r="D1163" s="20" t="s">
        <v>3054</v>
      </c>
      <c r="E1163" s="20" t="s">
        <v>3267</v>
      </c>
      <c r="F1163" s="20">
        <v>1</v>
      </c>
      <c r="G1163" s="20" t="s">
        <v>92</v>
      </c>
      <c r="H1163" s="20"/>
      <c r="I1163" s="21" t="s">
        <v>3268</v>
      </c>
      <c r="J1163" s="21"/>
      <c r="K1163" s="21" t="s">
        <v>1714</v>
      </c>
      <c r="L1163" s="21" t="s">
        <v>3269</v>
      </c>
      <c r="M1163" s="21" t="s">
        <v>73</v>
      </c>
      <c r="N1163" s="21"/>
    </row>
    <row r="1164" spans="1:14" ht="64.05" customHeight="1">
      <c r="A1164" s="20" t="s">
        <v>3113</v>
      </c>
      <c r="B1164" s="20" t="s">
        <v>32</v>
      </c>
      <c r="C1164" s="20" t="s">
        <v>200</v>
      </c>
      <c r="D1164" s="20" t="s">
        <v>201</v>
      </c>
      <c r="E1164" s="20" t="s">
        <v>3270</v>
      </c>
      <c r="F1164" s="20">
        <v>1</v>
      </c>
      <c r="G1164" s="20" t="s">
        <v>92</v>
      </c>
      <c r="H1164" s="20"/>
      <c r="I1164" s="21" t="s">
        <v>3271</v>
      </c>
      <c r="J1164" s="21"/>
      <c r="K1164" s="21" t="s">
        <v>109</v>
      </c>
      <c r="L1164" s="21" t="s">
        <v>3272</v>
      </c>
      <c r="M1164" s="21" t="s">
        <v>73</v>
      </c>
      <c r="N1164" s="21"/>
    </row>
    <row r="1165" spans="1:14" ht="64.05" customHeight="1">
      <c r="A1165" s="20" t="s">
        <v>3113</v>
      </c>
      <c r="B1165" s="20" t="s">
        <v>30</v>
      </c>
      <c r="C1165" s="20" t="s">
        <v>188</v>
      </c>
      <c r="D1165" s="20" t="s">
        <v>189</v>
      </c>
      <c r="E1165" s="20" t="s">
        <v>3235</v>
      </c>
      <c r="F1165" s="20">
        <v>1</v>
      </c>
      <c r="G1165" s="20" t="s">
        <v>1534</v>
      </c>
      <c r="H1165" s="20" t="s">
        <v>3236</v>
      </c>
      <c r="I1165" s="21" t="s">
        <v>1542</v>
      </c>
      <c r="J1165" s="21"/>
      <c r="K1165" s="21" t="s">
        <v>78</v>
      </c>
      <c r="L1165" s="21" t="s">
        <v>3237</v>
      </c>
      <c r="M1165" s="21" t="s">
        <v>73</v>
      </c>
      <c r="N1165" s="21"/>
    </row>
    <row r="1166" spans="1:14" ht="64.05" customHeight="1">
      <c r="A1166" s="20" t="s">
        <v>3273</v>
      </c>
      <c r="B1166" s="20" t="s">
        <v>22</v>
      </c>
      <c r="C1166" s="20" t="s">
        <v>779</v>
      </c>
      <c r="D1166" s="20" t="s">
        <v>780</v>
      </c>
      <c r="E1166" s="20" t="s">
        <v>3274</v>
      </c>
      <c r="F1166" s="20">
        <v>1</v>
      </c>
      <c r="G1166" s="20" t="s">
        <v>139</v>
      </c>
      <c r="H1166" s="20"/>
      <c r="I1166" s="21" t="s">
        <v>3275</v>
      </c>
      <c r="J1166" s="21"/>
      <c r="K1166" s="21" t="s">
        <v>109</v>
      </c>
      <c r="L1166" s="21" t="s">
        <v>3276</v>
      </c>
      <c r="M1166" s="21" t="s">
        <v>73</v>
      </c>
      <c r="N1166" s="21"/>
    </row>
    <row r="1167" spans="1:14" ht="64.05" customHeight="1">
      <c r="A1167" s="20" t="s">
        <v>3273</v>
      </c>
      <c r="B1167" s="20" t="s">
        <v>22</v>
      </c>
      <c r="C1167" s="20" t="s">
        <v>779</v>
      </c>
      <c r="D1167" s="20" t="s">
        <v>1476</v>
      </c>
      <c r="E1167" s="20" t="s">
        <v>3277</v>
      </c>
      <c r="F1167" s="20">
        <v>1</v>
      </c>
      <c r="G1167" s="20" t="s">
        <v>92</v>
      </c>
      <c r="H1167" s="20"/>
      <c r="I1167" s="21" t="s">
        <v>733</v>
      </c>
      <c r="J1167" s="21"/>
      <c r="K1167" s="21" t="s">
        <v>3278</v>
      </c>
      <c r="L1167" s="21" t="s">
        <v>3279</v>
      </c>
      <c r="M1167" s="21" t="s">
        <v>62</v>
      </c>
      <c r="N1167" s="21" t="s">
        <v>951</v>
      </c>
    </row>
    <row r="1168" spans="1:14" ht="64.05" customHeight="1">
      <c r="A1168" s="20" t="s">
        <v>3273</v>
      </c>
      <c r="B1168" s="20" t="s">
        <v>22</v>
      </c>
      <c r="C1168" s="20" t="s">
        <v>779</v>
      </c>
      <c r="D1168" s="20" t="s">
        <v>1476</v>
      </c>
      <c r="E1168" s="20" t="s">
        <v>3280</v>
      </c>
      <c r="F1168" s="20">
        <v>1</v>
      </c>
      <c r="G1168" s="20" t="s">
        <v>92</v>
      </c>
      <c r="H1168" s="20"/>
      <c r="I1168" s="21" t="s">
        <v>2579</v>
      </c>
      <c r="J1168" s="21"/>
      <c r="K1168" s="21"/>
      <c r="L1168" s="21" t="s">
        <v>3281</v>
      </c>
      <c r="M1168" s="21" t="s">
        <v>102</v>
      </c>
      <c r="N1168" s="21"/>
    </row>
    <row r="1169" spans="1:14" ht="64.05" customHeight="1">
      <c r="A1169" s="20" t="s">
        <v>3273</v>
      </c>
      <c r="B1169" s="20" t="s">
        <v>22</v>
      </c>
      <c r="C1169" s="20" t="s">
        <v>779</v>
      </c>
      <c r="D1169" s="20" t="s">
        <v>1476</v>
      </c>
      <c r="E1169" s="20" t="s">
        <v>3282</v>
      </c>
      <c r="F1169" s="20">
        <v>1</v>
      </c>
      <c r="G1169" s="20" t="s">
        <v>92</v>
      </c>
      <c r="H1169" s="20"/>
      <c r="I1169" s="21" t="s">
        <v>2579</v>
      </c>
      <c r="J1169" s="21"/>
      <c r="K1169" s="21"/>
      <c r="L1169" s="21" t="s">
        <v>3281</v>
      </c>
      <c r="M1169" s="21" t="s">
        <v>102</v>
      </c>
      <c r="N1169" s="21"/>
    </row>
    <row r="1170" spans="1:14" ht="64.05" customHeight="1">
      <c r="A1170" s="20" t="s">
        <v>3273</v>
      </c>
      <c r="B1170" s="20" t="s">
        <v>22</v>
      </c>
      <c r="C1170" s="20" t="s">
        <v>779</v>
      </c>
      <c r="D1170" s="20" t="s">
        <v>1476</v>
      </c>
      <c r="E1170" s="20" t="s">
        <v>3283</v>
      </c>
      <c r="F1170" s="20">
        <v>1</v>
      </c>
      <c r="G1170" s="20" t="s">
        <v>92</v>
      </c>
      <c r="H1170" s="20"/>
      <c r="I1170" s="21" t="s">
        <v>2579</v>
      </c>
      <c r="J1170" s="21"/>
      <c r="K1170" s="21"/>
      <c r="L1170" s="21" t="s">
        <v>3281</v>
      </c>
      <c r="M1170" s="21" t="s">
        <v>102</v>
      </c>
      <c r="N1170" s="21"/>
    </row>
    <row r="1171" spans="1:14" ht="64.05" customHeight="1">
      <c r="A1171" s="20" t="s">
        <v>3273</v>
      </c>
      <c r="B1171" s="20" t="s">
        <v>22</v>
      </c>
      <c r="C1171" s="20" t="s">
        <v>2021</v>
      </c>
      <c r="D1171" s="20" t="s">
        <v>197</v>
      </c>
      <c r="E1171" s="20" t="s">
        <v>3284</v>
      </c>
      <c r="F1171" s="20">
        <v>1</v>
      </c>
      <c r="G1171" s="20" t="s">
        <v>92</v>
      </c>
      <c r="H1171" s="20"/>
      <c r="I1171" s="21" t="s">
        <v>3285</v>
      </c>
      <c r="J1171" s="21"/>
      <c r="K1171" s="21" t="s">
        <v>109</v>
      </c>
      <c r="L1171" s="21" t="s">
        <v>3286</v>
      </c>
      <c r="M1171" s="21" t="s">
        <v>102</v>
      </c>
      <c r="N1171" s="21"/>
    </row>
    <row r="1172" spans="1:14" ht="64.05" customHeight="1">
      <c r="A1172" s="20" t="s">
        <v>3273</v>
      </c>
      <c r="B1172" s="20" t="s">
        <v>22</v>
      </c>
      <c r="C1172" s="20" t="s">
        <v>370</v>
      </c>
      <c r="D1172" s="20" t="s">
        <v>371</v>
      </c>
      <c r="E1172" s="20" t="s">
        <v>3287</v>
      </c>
      <c r="F1172" s="20">
        <v>1</v>
      </c>
      <c r="G1172" s="20" t="s">
        <v>92</v>
      </c>
      <c r="H1172" s="20"/>
      <c r="I1172" s="21" t="s">
        <v>3288</v>
      </c>
      <c r="J1172" s="21" t="s">
        <v>446</v>
      </c>
      <c r="K1172" s="21" t="s">
        <v>3289</v>
      </c>
      <c r="L1172" s="21" t="s">
        <v>3290</v>
      </c>
      <c r="M1172" s="21" t="s">
        <v>73</v>
      </c>
      <c r="N1172" s="21"/>
    </row>
    <row r="1173" spans="1:14" ht="64.05" customHeight="1">
      <c r="A1173" s="20" t="s">
        <v>3273</v>
      </c>
      <c r="B1173" s="20" t="s">
        <v>22</v>
      </c>
      <c r="C1173" s="20" t="s">
        <v>370</v>
      </c>
      <c r="D1173" s="20" t="s">
        <v>371</v>
      </c>
      <c r="E1173" s="20" t="s">
        <v>3291</v>
      </c>
      <c r="F1173" s="20">
        <v>1</v>
      </c>
      <c r="G1173" s="20" t="s">
        <v>92</v>
      </c>
      <c r="H1173" s="20"/>
      <c r="I1173" s="21" t="s">
        <v>140</v>
      </c>
      <c r="J1173" s="21"/>
      <c r="K1173" s="21" t="s">
        <v>3292</v>
      </c>
      <c r="L1173" s="21" t="s">
        <v>3293</v>
      </c>
      <c r="M1173" s="21" t="s">
        <v>73</v>
      </c>
      <c r="N1173" s="21"/>
    </row>
    <row r="1174" spans="1:14" ht="64.05" customHeight="1">
      <c r="A1174" s="20" t="s">
        <v>3273</v>
      </c>
      <c r="B1174" s="20" t="s">
        <v>22</v>
      </c>
      <c r="C1174" s="20" t="s">
        <v>370</v>
      </c>
      <c r="D1174" s="20" t="s">
        <v>371</v>
      </c>
      <c r="E1174" s="20" t="s">
        <v>3294</v>
      </c>
      <c r="F1174" s="20">
        <v>1</v>
      </c>
      <c r="G1174" s="20" t="s">
        <v>3295</v>
      </c>
      <c r="H1174" s="20" t="s">
        <v>104</v>
      </c>
      <c r="I1174" s="21" t="s">
        <v>3296</v>
      </c>
      <c r="J1174" s="21"/>
      <c r="K1174" s="21" t="s">
        <v>3297</v>
      </c>
      <c r="L1174" s="21" t="s">
        <v>3298</v>
      </c>
      <c r="M1174" s="21" t="s">
        <v>73</v>
      </c>
      <c r="N1174" s="21"/>
    </row>
    <row r="1175" spans="1:14" ht="64.05" customHeight="1">
      <c r="A1175" s="20" t="s">
        <v>3273</v>
      </c>
      <c r="B1175" s="20" t="s">
        <v>25</v>
      </c>
      <c r="C1175" s="20" t="s">
        <v>3299</v>
      </c>
      <c r="D1175" s="20" t="s">
        <v>698</v>
      </c>
      <c r="E1175" s="20" t="s">
        <v>3300</v>
      </c>
      <c r="F1175" s="20">
        <v>1</v>
      </c>
      <c r="G1175" s="20" t="s">
        <v>92</v>
      </c>
      <c r="H1175" s="20"/>
      <c r="I1175" s="21"/>
      <c r="J1175" s="21" t="s">
        <v>99</v>
      </c>
      <c r="K1175" s="21"/>
      <c r="L1175" s="21" t="s">
        <v>3301</v>
      </c>
      <c r="M1175" s="21" t="s">
        <v>102</v>
      </c>
      <c r="N1175" s="21"/>
    </row>
    <row r="1176" spans="1:14" ht="64.05" customHeight="1">
      <c r="A1176" s="20" t="s">
        <v>3273</v>
      </c>
      <c r="B1176" s="20" t="s">
        <v>25</v>
      </c>
      <c r="C1176" s="20" t="s">
        <v>3299</v>
      </c>
      <c r="D1176" s="20" t="s">
        <v>698</v>
      </c>
      <c r="E1176" s="20" t="s">
        <v>3302</v>
      </c>
      <c r="F1176" s="20">
        <v>1</v>
      </c>
      <c r="G1176" s="20" t="s">
        <v>92</v>
      </c>
      <c r="H1176" s="20"/>
      <c r="I1176" s="21"/>
      <c r="J1176" s="21" t="s">
        <v>99</v>
      </c>
      <c r="K1176" s="21"/>
      <c r="L1176" s="21" t="s">
        <v>3301</v>
      </c>
      <c r="M1176" s="21" t="s">
        <v>102</v>
      </c>
      <c r="N1176" s="21"/>
    </row>
    <row r="1177" spans="1:14" ht="64.05" customHeight="1">
      <c r="A1177" s="20" t="s">
        <v>3273</v>
      </c>
      <c r="B1177" s="20" t="s">
        <v>25</v>
      </c>
      <c r="C1177" s="20" t="s">
        <v>3299</v>
      </c>
      <c r="D1177" s="20" t="s">
        <v>698</v>
      </c>
      <c r="E1177" s="20" t="s">
        <v>3303</v>
      </c>
      <c r="F1177" s="20">
        <v>1</v>
      </c>
      <c r="G1177" s="20" t="s">
        <v>92</v>
      </c>
      <c r="H1177" s="20"/>
      <c r="I1177" s="21"/>
      <c r="J1177" s="21" t="s">
        <v>99</v>
      </c>
      <c r="K1177" s="21"/>
      <c r="L1177" s="21" t="s">
        <v>3301</v>
      </c>
      <c r="M1177" s="21" t="s">
        <v>102</v>
      </c>
      <c r="N1177" s="21"/>
    </row>
    <row r="1178" spans="1:14" ht="64.05" customHeight="1">
      <c r="A1178" s="20" t="s">
        <v>3273</v>
      </c>
      <c r="B1178" s="20" t="s">
        <v>25</v>
      </c>
      <c r="C1178" s="20" t="s">
        <v>3299</v>
      </c>
      <c r="D1178" s="20" t="s">
        <v>698</v>
      </c>
      <c r="E1178" s="20" t="s">
        <v>3304</v>
      </c>
      <c r="F1178" s="20">
        <v>1</v>
      </c>
      <c r="G1178" s="20" t="s">
        <v>92</v>
      </c>
      <c r="H1178" s="20"/>
      <c r="I1178" s="21"/>
      <c r="J1178" s="21" t="s">
        <v>99</v>
      </c>
      <c r="K1178" s="21"/>
      <c r="L1178" s="21" t="s">
        <v>3301</v>
      </c>
      <c r="M1178" s="21" t="s">
        <v>102</v>
      </c>
      <c r="N1178" s="21"/>
    </row>
    <row r="1179" spans="1:14" ht="64.05" customHeight="1">
      <c r="A1179" s="20" t="s">
        <v>3273</v>
      </c>
      <c r="B1179" s="20" t="s">
        <v>25</v>
      </c>
      <c r="C1179" s="20" t="s">
        <v>3299</v>
      </c>
      <c r="D1179" s="20" t="s">
        <v>698</v>
      </c>
      <c r="E1179" s="20" t="s">
        <v>3305</v>
      </c>
      <c r="F1179" s="20">
        <v>1</v>
      </c>
      <c r="G1179" s="20" t="s">
        <v>92</v>
      </c>
      <c r="H1179" s="20"/>
      <c r="I1179" s="21"/>
      <c r="J1179" s="21" t="s">
        <v>99</v>
      </c>
      <c r="K1179" s="21"/>
      <c r="L1179" s="21" t="s">
        <v>3301</v>
      </c>
      <c r="M1179" s="21" t="s">
        <v>102</v>
      </c>
      <c r="N1179" s="21"/>
    </row>
    <row r="1180" spans="1:14" ht="64.05" customHeight="1">
      <c r="A1180" s="20" t="s">
        <v>3273</v>
      </c>
      <c r="B1180" s="20" t="s">
        <v>25</v>
      </c>
      <c r="C1180" s="20" t="s">
        <v>3299</v>
      </c>
      <c r="D1180" s="20" t="s">
        <v>698</v>
      </c>
      <c r="E1180" s="20" t="s">
        <v>3306</v>
      </c>
      <c r="F1180" s="20">
        <v>1</v>
      </c>
      <c r="G1180" s="20" t="s">
        <v>92</v>
      </c>
      <c r="H1180" s="20"/>
      <c r="I1180" s="21"/>
      <c r="J1180" s="21" t="s">
        <v>99</v>
      </c>
      <c r="K1180" s="21"/>
      <c r="L1180" s="21" t="s">
        <v>3301</v>
      </c>
      <c r="M1180" s="21" t="s">
        <v>102</v>
      </c>
      <c r="N1180" s="21"/>
    </row>
    <row r="1181" spans="1:14" ht="64.05" customHeight="1">
      <c r="A1181" s="20" t="s">
        <v>3273</v>
      </c>
      <c r="B1181" s="20" t="s">
        <v>25</v>
      </c>
      <c r="C1181" s="20" t="s">
        <v>3299</v>
      </c>
      <c r="D1181" s="20" t="s">
        <v>698</v>
      </c>
      <c r="E1181" s="20" t="s">
        <v>3307</v>
      </c>
      <c r="F1181" s="20">
        <v>1</v>
      </c>
      <c r="G1181" s="20" t="s">
        <v>92</v>
      </c>
      <c r="H1181" s="20"/>
      <c r="I1181" s="21"/>
      <c r="J1181" s="21" t="s">
        <v>99</v>
      </c>
      <c r="K1181" s="21"/>
      <c r="L1181" s="21" t="s">
        <v>3301</v>
      </c>
      <c r="M1181" s="21" t="s">
        <v>102</v>
      </c>
      <c r="N1181" s="21"/>
    </row>
    <row r="1182" spans="1:14" ht="64.05" customHeight="1">
      <c r="A1182" s="20" t="s">
        <v>3273</v>
      </c>
      <c r="B1182" s="20" t="s">
        <v>25</v>
      </c>
      <c r="C1182" s="20" t="s">
        <v>3299</v>
      </c>
      <c r="D1182" s="20" t="s">
        <v>698</v>
      </c>
      <c r="E1182" s="20" t="s">
        <v>3308</v>
      </c>
      <c r="F1182" s="20">
        <v>1</v>
      </c>
      <c r="G1182" s="20" t="s">
        <v>92</v>
      </c>
      <c r="H1182" s="20"/>
      <c r="I1182" s="21"/>
      <c r="J1182" s="21" t="s">
        <v>99</v>
      </c>
      <c r="K1182" s="21"/>
      <c r="L1182" s="21" t="s">
        <v>3301</v>
      </c>
      <c r="M1182" s="21" t="s">
        <v>102</v>
      </c>
      <c r="N1182" s="21"/>
    </row>
    <row r="1183" spans="1:14" ht="64.05" customHeight="1">
      <c r="A1183" s="20" t="s">
        <v>3273</v>
      </c>
      <c r="B1183" s="20" t="s">
        <v>25</v>
      </c>
      <c r="C1183" s="20" t="s">
        <v>3299</v>
      </c>
      <c r="D1183" s="20" t="s">
        <v>698</v>
      </c>
      <c r="E1183" s="20" t="s">
        <v>3309</v>
      </c>
      <c r="F1183" s="20">
        <v>1</v>
      </c>
      <c r="G1183" s="20" t="s">
        <v>92</v>
      </c>
      <c r="H1183" s="20"/>
      <c r="I1183" s="21"/>
      <c r="J1183" s="21" t="s">
        <v>99</v>
      </c>
      <c r="K1183" s="21"/>
      <c r="L1183" s="21" t="s">
        <v>3301</v>
      </c>
      <c r="M1183" s="21" t="s">
        <v>102</v>
      </c>
      <c r="N1183" s="21"/>
    </row>
    <row r="1184" spans="1:14" ht="64.05" customHeight="1">
      <c r="A1184" s="20" t="s">
        <v>3273</v>
      </c>
      <c r="B1184" s="20" t="s">
        <v>25</v>
      </c>
      <c r="C1184" s="20" t="s">
        <v>3299</v>
      </c>
      <c r="D1184" s="20" t="s">
        <v>698</v>
      </c>
      <c r="E1184" s="20" t="s">
        <v>3310</v>
      </c>
      <c r="F1184" s="20">
        <v>1</v>
      </c>
      <c r="G1184" s="20" t="s">
        <v>92</v>
      </c>
      <c r="H1184" s="20"/>
      <c r="I1184" s="21"/>
      <c r="J1184" s="21" t="s">
        <v>99</v>
      </c>
      <c r="K1184" s="21"/>
      <c r="L1184" s="21" t="s">
        <v>3301</v>
      </c>
      <c r="M1184" s="21" t="s">
        <v>102</v>
      </c>
      <c r="N1184" s="21"/>
    </row>
    <row r="1185" spans="1:14" ht="64.05" customHeight="1">
      <c r="A1185" s="20" t="s">
        <v>3273</v>
      </c>
      <c r="B1185" s="20" t="s">
        <v>25</v>
      </c>
      <c r="C1185" s="20" t="s">
        <v>3299</v>
      </c>
      <c r="D1185" s="20" t="s">
        <v>698</v>
      </c>
      <c r="E1185" s="20" t="s">
        <v>3311</v>
      </c>
      <c r="F1185" s="20">
        <v>1</v>
      </c>
      <c r="G1185" s="20" t="s">
        <v>92</v>
      </c>
      <c r="H1185" s="20"/>
      <c r="I1185" s="21"/>
      <c r="J1185" s="21" t="s">
        <v>99</v>
      </c>
      <c r="K1185" s="21"/>
      <c r="L1185" s="21" t="s">
        <v>3301</v>
      </c>
      <c r="M1185" s="21" t="s">
        <v>102</v>
      </c>
      <c r="N1185" s="21"/>
    </row>
    <row r="1186" spans="1:14" ht="64.05" customHeight="1">
      <c r="A1186" s="20" t="s">
        <v>3273</v>
      </c>
      <c r="B1186" s="20" t="s">
        <v>25</v>
      </c>
      <c r="C1186" s="20" t="s">
        <v>3299</v>
      </c>
      <c r="D1186" s="20" t="s">
        <v>698</v>
      </c>
      <c r="E1186" s="20" t="s">
        <v>3312</v>
      </c>
      <c r="F1186" s="20">
        <v>1</v>
      </c>
      <c r="G1186" s="20" t="s">
        <v>92</v>
      </c>
      <c r="H1186" s="20"/>
      <c r="I1186" s="21"/>
      <c r="J1186" s="21" t="s">
        <v>99</v>
      </c>
      <c r="K1186" s="21"/>
      <c r="L1186" s="21" t="s">
        <v>3301</v>
      </c>
      <c r="M1186" s="21" t="s">
        <v>102</v>
      </c>
      <c r="N1186" s="21"/>
    </row>
    <row r="1187" spans="1:14" ht="64.05" customHeight="1">
      <c r="A1187" s="20" t="s">
        <v>3273</v>
      </c>
      <c r="B1187" s="20" t="s">
        <v>25</v>
      </c>
      <c r="C1187" s="20" t="s">
        <v>3299</v>
      </c>
      <c r="D1187" s="20" t="s">
        <v>698</v>
      </c>
      <c r="E1187" s="20" t="s">
        <v>3313</v>
      </c>
      <c r="F1187" s="20">
        <v>1</v>
      </c>
      <c r="G1187" s="20" t="s">
        <v>92</v>
      </c>
      <c r="H1187" s="20"/>
      <c r="I1187" s="21"/>
      <c r="J1187" s="21" t="s">
        <v>99</v>
      </c>
      <c r="K1187" s="21"/>
      <c r="L1187" s="21" t="s">
        <v>3301</v>
      </c>
      <c r="M1187" s="21" t="s">
        <v>102</v>
      </c>
      <c r="N1187" s="21"/>
    </row>
    <row r="1188" spans="1:14" ht="64.05" customHeight="1">
      <c r="A1188" s="20" t="s">
        <v>3273</v>
      </c>
      <c r="B1188" s="20" t="s">
        <v>25</v>
      </c>
      <c r="C1188" s="20" t="s">
        <v>115</v>
      </c>
      <c r="D1188" s="20" t="s">
        <v>116</v>
      </c>
      <c r="E1188" s="20" t="s">
        <v>3314</v>
      </c>
      <c r="F1188" s="20">
        <v>1</v>
      </c>
      <c r="G1188" s="20" t="s">
        <v>92</v>
      </c>
      <c r="H1188" s="20"/>
      <c r="I1188" s="21" t="s">
        <v>3315</v>
      </c>
      <c r="J1188" s="21" t="s">
        <v>99</v>
      </c>
      <c r="K1188" s="21" t="s">
        <v>3316</v>
      </c>
      <c r="L1188" s="21" t="s">
        <v>3317</v>
      </c>
      <c r="M1188" s="21" t="s">
        <v>62</v>
      </c>
      <c r="N1188" s="21" t="s">
        <v>712</v>
      </c>
    </row>
    <row r="1189" spans="1:14" ht="64.05" customHeight="1">
      <c r="A1189" s="20" t="s">
        <v>3273</v>
      </c>
      <c r="B1189" s="20" t="s">
        <v>25</v>
      </c>
      <c r="C1189" s="20" t="s">
        <v>115</v>
      </c>
      <c r="D1189" s="20" t="s">
        <v>116</v>
      </c>
      <c r="E1189" s="20" t="s">
        <v>3318</v>
      </c>
      <c r="F1189" s="20">
        <v>1</v>
      </c>
      <c r="G1189" s="20" t="s">
        <v>92</v>
      </c>
      <c r="H1189" s="20"/>
      <c r="I1189" s="21" t="s">
        <v>3319</v>
      </c>
      <c r="J1189" s="21" t="s">
        <v>99</v>
      </c>
      <c r="K1189" s="21" t="s">
        <v>3316</v>
      </c>
      <c r="L1189" s="21" t="s">
        <v>3317</v>
      </c>
      <c r="M1189" s="21" t="s">
        <v>62</v>
      </c>
      <c r="N1189" s="21" t="s">
        <v>712</v>
      </c>
    </row>
    <row r="1190" spans="1:14" ht="64.05" customHeight="1">
      <c r="A1190" s="20" t="s">
        <v>3273</v>
      </c>
      <c r="B1190" s="20" t="s">
        <v>25</v>
      </c>
      <c r="C1190" s="20" t="s">
        <v>115</v>
      </c>
      <c r="D1190" s="20" t="s">
        <v>116</v>
      </c>
      <c r="E1190" s="20" t="s">
        <v>3320</v>
      </c>
      <c r="F1190" s="20">
        <v>1</v>
      </c>
      <c r="G1190" s="20" t="s">
        <v>92</v>
      </c>
      <c r="H1190" s="20"/>
      <c r="I1190" s="21" t="s">
        <v>3321</v>
      </c>
      <c r="J1190" s="21"/>
      <c r="K1190" s="21" t="s">
        <v>3316</v>
      </c>
      <c r="L1190" s="21" t="s">
        <v>3322</v>
      </c>
      <c r="M1190" s="21" t="s">
        <v>62</v>
      </c>
      <c r="N1190" s="21" t="s">
        <v>712</v>
      </c>
    </row>
    <row r="1191" spans="1:14" ht="64.05" customHeight="1">
      <c r="A1191" s="20" t="s">
        <v>3273</v>
      </c>
      <c r="B1191" s="20" t="s">
        <v>24</v>
      </c>
      <c r="C1191" s="20" t="s">
        <v>426</v>
      </c>
      <c r="D1191" s="20" t="s">
        <v>427</v>
      </c>
      <c r="E1191" s="20" t="s">
        <v>3323</v>
      </c>
      <c r="F1191" s="20">
        <v>1</v>
      </c>
      <c r="G1191" s="20" t="s">
        <v>92</v>
      </c>
      <c r="H1191" s="20"/>
      <c r="I1191" s="21" t="s">
        <v>141</v>
      </c>
      <c r="J1191" s="21" t="s">
        <v>99</v>
      </c>
      <c r="K1191" s="21" t="s">
        <v>141</v>
      </c>
      <c r="L1191" s="21" t="s">
        <v>3324</v>
      </c>
      <c r="M1191" s="21" t="s">
        <v>102</v>
      </c>
      <c r="N1191" s="21"/>
    </row>
    <row r="1192" spans="1:14" ht="64.05" customHeight="1">
      <c r="A1192" s="20" t="s">
        <v>3273</v>
      </c>
      <c r="B1192" s="20" t="s">
        <v>24</v>
      </c>
      <c r="C1192" s="20" t="s">
        <v>426</v>
      </c>
      <c r="D1192" s="20" t="s">
        <v>427</v>
      </c>
      <c r="E1192" s="20" t="s">
        <v>3325</v>
      </c>
      <c r="F1192" s="20">
        <v>1</v>
      </c>
      <c r="G1192" s="20" t="s">
        <v>92</v>
      </c>
      <c r="H1192" s="20"/>
      <c r="I1192" s="21" t="s">
        <v>141</v>
      </c>
      <c r="J1192" s="21" t="s">
        <v>99</v>
      </c>
      <c r="K1192" s="21" t="s">
        <v>141</v>
      </c>
      <c r="L1192" s="21" t="s">
        <v>3324</v>
      </c>
      <c r="M1192" s="21" t="s">
        <v>102</v>
      </c>
      <c r="N1192" s="21"/>
    </row>
    <row r="1193" spans="1:14" ht="64.05" customHeight="1">
      <c r="A1193" s="20" t="s">
        <v>3273</v>
      </c>
      <c r="B1193" s="20" t="s">
        <v>24</v>
      </c>
      <c r="C1193" s="20" t="s">
        <v>426</v>
      </c>
      <c r="D1193" s="20" t="s">
        <v>427</v>
      </c>
      <c r="E1193" s="20" t="s">
        <v>3326</v>
      </c>
      <c r="F1193" s="20">
        <v>1</v>
      </c>
      <c r="G1193" s="20" t="s">
        <v>92</v>
      </c>
      <c r="H1193" s="20"/>
      <c r="I1193" s="21" t="s">
        <v>733</v>
      </c>
      <c r="J1193" s="21"/>
      <c r="K1193" s="21" t="s">
        <v>2579</v>
      </c>
      <c r="L1193" s="21" t="s">
        <v>3327</v>
      </c>
      <c r="M1193" s="21" t="s">
        <v>102</v>
      </c>
      <c r="N1193" s="21"/>
    </row>
    <row r="1194" spans="1:14" ht="64.05" customHeight="1">
      <c r="A1194" s="20" t="s">
        <v>3273</v>
      </c>
      <c r="B1194" s="20" t="s">
        <v>24</v>
      </c>
      <c r="C1194" s="20" t="s">
        <v>426</v>
      </c>
      <c r="D1194" s="20" t="s">
        <v>427</v>
      </c>
      <c r="E1194" s="20" t="s">
        <v>3328</v>
      </c>
      <c r="F1194" s="20">
        <v>1</v>
      </c>
      <c r="G1194" s="20" t="s">
        <v>139</v>
      </c>
      <c r="H1194" s="20"/>
      <c r="I1194" s="21" t="s">
        <v>3329</v>
      </c>
      <c r="J1194" s="21"/>
      <c r="K1194" s="21" t="s">
        <v>3330</v>
      </c>
      <c r="L1194" s="21" t="s">
        <v>3331</v>
      </c>
      <c r="M1194" s="21" t="s">
        <v>62</v>
      </c>
      <c r="N1194" s="21" t="s">
        <v>63</v>
      </c>
    </row>
    <row r="1195" spans="1:14" ht="64.05" customHeight="1">
      <c r="A1195" s="20" t="s">
        <v>3273</v>
      </c>
      <c r="B1195" s="20" t="s">
        <v>24</v>
      </c>
      <c r="C1195" s="20" t="s">
        <v>426</v>
      </c>
      <c r="D1195" s="20" t="s">
        <v>427</v>
      </c>
      <c r="E1195" s="20" t="s">
        <v>3332</v>
      </c>
      <c r="F1195" s="20">
        <v>1</v>
      </c>
      <c r="G1195" s="20" t="s">
        <v>92</v>
      </c>
      <c r="H1195" s="20"/>
      <c r="I1195" s="21" t="s">
        <v>3333</v>
      </c>
      <c r="J1195" s="21" t="s">
        <v>446</v>
      </c>
      <c r="K1195" s="21" t="s">
        <v>3334</v>
      </c>
      <c r="L1195" s="21" t="s">
        <v>3335</v>
      </c>
      <c r="M1195" s="21" t="s">
        <v>102</v>
      </c>
      <c r="N1195" s="21"/>
    </row>
    <row r="1196" spans="1:14" ht="64.05" customHeight="1">
      <c r="A1196" s="20" t="s">
        <v>3273</v>
      </c>
      <c r="B1196" s="20" t="s">
        <v>24</v>
      </c>
      <c r="C1196" s="20" t="s">
        <v>426</v>
      </c>
      <c r="D1196" s="20" t="s">
        <v>427</v>
      </c>
      <c r="E1196" s="20" t="s">
        <v>3336</v>
      </c>
      <c r="F1196" s="20">
        <v>1</v>
      </c>
      <c r="G1196" s="20" t="s">
        <v>92</v>
      </c>
      <c r="H1196" s="20"/>
      <c r="I1196" s="21" t="s">
        <v>3337</v>
      </c>
      <c r="J1196" s="21" t="s">
        <v>446</v>
      </c>
      <c r="K1196" s="21" t="s">
        <v>3334</v>
      </c>
      <c r="L1196" s="21" t="s">
        <v>3338</v>
      </c>
      <c r="M1196" s="21" t="s">
        <v>102</v>
      </c>
      <c r="N1196" s="21"/>
    </row>
    <row r="1197" spans="1:14" ht="64.05" customHeight="1">
      <c r="A1197" s="20" t="s">
        <v>3273</v>
      </c>
      <c r="B1197" s="20" t="s">
        <v>24</v>
      </c>
      <c r="C1197" s="20" t="s">
        <v>426</v>
      </c>
      <c r="D1197" s="20" t="s">
        <v>427</v>
      </c>
      <c r="E1197" s="20" t="s">
        <v>3339</v>
      </c>
      <c r="F1197" s="20">
        <v>1</v>
      </c>
      <c r="G1197" s="20" t="s">
        <v>92</v>
      </c>
      <c r="H1197" s="20"/>
      <c r="I1197" s="21" t="s">
        <v>3337</v>
      </c>
      <c r="J1197" s="21" t="s">
        <v>446</v>
      </c>
      <c r="K1197" s="21" t="s">
        <v>3334</v>
      </c>
      <c r="L1197" s="21" t="s">
        <v>3338</v>
      </c>
      <c r="M1197" s="21" t="s">
        <v>102</v>
      </c>
      <c r="N1197" s="21"/>
    </row>
    <row r="1198" spans="1:14" ht="64.05" customHeight="1">
      <c r="A1198" s="20" t="s">
        <v>3273</v>
      </c>
      <c r="B1198" s="20" t="s">
        <v>24</v>
      </c>
      <c r="C1198" s="20" t="s">
        <v>619</v>
      </c>
      <c r="D1198" s="20" t="s">
        <v>3340</v>
      </c>
      <c r="E1198" s="20" t="s">
        <v>3341</v>
      </c>
      <c r="F1198" s="20">
        <v>1</v>
      </c>
      <c r="G1198" s="20" t="s">
        <v>92</v>
      </c>
      <c r="H1198" s="20"/>
      <c r="I1198" s="21" t="s">
        <v>3342</v>
      </c>
      <c r="J1198" s="21"/>
      <c r="K1198" s="21" t="s">
        <v>109</v>
      </c>
      <c r="L1198" s="21" t="s">
        <v>3343</v>
      </c>
      <c r="M1198" s="21" t="s">
        <v>73</v>
      </c>
      <c r="N1198" s="21"/>
    </row>
    <row r="1199" spans="1:14" ht="64.05" customHeight="1">
      <c r="A1199" s="20" t="s">
        <v>3273</v>
      </c>
      <c r="B1199" s="20" t="s">
        <v>24</v>
      </c>
      <c r="C1199" s="20" t="s">
        <v>619</v>
      </c>
      <c r="D1199" s="20" t="s">
        <v>3340</v>
      </c>
      <c r="E1199" s="20" t="s">
        <v>3344</v>
      </c>
      <c r="F1199" s="20">
        <v>1</v>
      </c>
      <c r="G1199" s="20" t="s">
        <v>92</v>
      </c>
      <c r="H1199" s="20"/>
      <c r="I1199" s="21" t="s">
        <v>3342</v>
      </c>
      <c r="J1199" s="21"/>
      <c r="K1199" s="21" t="s">
        <v>109</v>
      </c>
      <c r="L1199" s="21" t="s">
        <v>3343</v>
      </c>
      <c r="M1199" s="21" t="s">
        <v>73</v>
      </c>
      <c r="N1199" s="21"/>
    </row>
    <row r="1200" spans="1:14" ht="64.05" customHeight="1">
      <c r="A1200" s="20" t="s">
        <v>3273</v>
      </c>
      <c r="B1200" s="20" t="s">
        <v>24</v>
      </c>
      <c r="C1200" s="20" t="s">
        <v>436</v>
      </c>
      <c r="D1200" s="20" t="s">
        <v>437</v>
      </c>
      <c r="E1200" s="20" t="s">
        <v>3345</v>
      </c>
      <c r="F1200" s="20">
        <v>1</v>
      </c>
      <c r="G1200" s="20" t="s">
        <v>92</v>
      </c>
      <c r="H1200" s="20"/>
      <c r="I1200" s="21" t="s">
        <v>141</v>
      </c>
      <c r="J1200" s="21"/>
      <c r="K1200" s="21" t="s">
        <v>406</v>
      </c>
      <c r="L1200" s="21" t="s">
        <v>3346</v>
      </c>
      <c r="M1200" s="21" t="s">
        <v>102</v>
      </c>
      <c r="N1200" s="21"/>
    </row>
    <row r="1201" spans="1:14" ht="64.05" customHeight="1">
      <c r="A1201" s="20" t="s">
        <v>3273</v>
      </c>
      <c r="B1201" s="20" t="s">
        <v>24</v>
      </c>
      <c r="C1201" s="20" t="s">
        <v>136</v>
      </c>
      <c r="D1201" s="20" t="s">
        <v>674</v>
      </c>
      <c r="E1201" s="20" t="s">
        <v>3347</v>
      </c>
      <c r="F1201" s="20">
        <v>1</v>
      </c>
      <c r="G1201" s="20" t="s">
        <v>3348</v>
      </c>
      <c r="H1201" s="20" t="s">
        <v>1155</v>
      </c>
      <c r="I1201" s="21" t="s">
        <v>3349</v>
      </c>
      <c r="J1201" s="21"/>
      <c r="K1201" s="21" t="s">
        <v>2638</v>
      </c>
      <c r="L1201" s="21" t="s">
        <v>3350</v>
      </c>
      <c r="M1201" s="21" t="s">
        <v>102</v>
      </c>
      <c r="N1201" s="21"/>
    </row>
    <row r="1202" spans="1:14" ht="64.05" customHeight="1">
      <c r="A1202" s="20" t="s">
        <v>3273</v>
      </c>
      <c r="B1202" s="20" t="s">
        <v>24</v>
      </c>
      <c r="C1202" s="20" t="s">
        <v>136</v>
      </c>
      <c r="D1202" s="20" t="s">
        <v>674</v>
      </c>
      <c r="E1202" s="20" t="s">
        <v>3351</v>
      </c>
      <c r="F1202" s="20">
        <v>1</v>
      </c>
      <c r="G1202" s="20" t="s">
        <v>3348</v>
      </c>
      <c r="H1202" s="20" t="s">
        <v>1155</v>
      </c>
      <c r="I1202" s="21" t="s">
        <v>3352</v>
      </c>
      <c r="J1202" s="21"/>
      <c r="K1202" s="21" t="s">
        <v>2638</v>
      </c>
      <c r="L1202" s="21" t="s">
        <v>3353</v>
      </c>
      <c r="M1202" s="21" t="s">
        <v>102</v>
      </c>
      <c r="N1202" s="21"/>
    </row>
    <row r="1203" spans="1:14" ht="64.05" customHeight="1">
      <c r="A1203" s="20" t="s">
        <v>3273</v>
      </c>
      <c r="B1203" s="20" t="s">
        <v>24</v>
      </c>
      <c r="C1203" s="20" t="s">
        <v>136</v>
      </c>
      <c r="D1203" s="20" t="s">
        <v>674</v>
      </c>
      <c r="E1203" s="20" t="s">
        <v>3354</v>
      </c>
      <c r="F1203" s="20">
        <v>1</v>
      </c>
      <c r="G1203" s="20" t="s">
        <v>3348</v>
      </c>
      <c r="H1203" s="20" t="s">
        <v>1155</v>
      </c>
      <c r="I1203" s="21" t="s">
        <v>3355</v>
      </c>
      <c r="J1203" s="21"/>
      <c r="K1203" s="21" t="s">
        <v>2638</v>
      </c>
      <c r="L1203" s="21" t="s">
        <v>3356</v>
      </c>
      <c r="M1203" s="21" t="s">
        <v>62</v>
      </c>
      <c r="N1203" s="21" t="s">
        <v>712</v>
      </c>
    </row>
    <row r="1204" spans="1:14" ht="64.05" customHeight="1">
      <c r="A1204" s="20" t="s">
        <v>3273</v>
      </c>
      <c r="B1204" s="20" t="s">
        <v>24</v>
      </c>
      <c r="C1204" s="20" t="s">
        <v>136</v>
      </c>
      <c r="D1204" s="20" t="s">
        <v>674</v>
      </c>
      <c r="E1204" s="20" t="s">
        <v>3357</v>
      </c>
      <c r="F1204" s="20">
        <v>1</v>
      </c>
      <c r="G1204" s="20" t="s">
        <v>92</v>
      </c>
      <c r="H1204" s="20"/>
      <c r="I1204" s="21"/>
      <c r="J1204" s="21"/>
      <c r="K1204" s="21" t="s">
        <v>109</v>
      </c>
      <c r="L1204" s="21" t="s">
        <v>3358</v>
      </c>
      <c r="M1204" s="21" t="s">
        <v>102</v>
      </c>
      <c r="N1204" s="21"/>
    </row>
    <row r="1205" spans="1:14" ht="64.05" customHeight="1">
      <c r="A1205" s="20" t="s">
        <v>3273</v>
      </c>
      <c r="B1205" s="20" t="s">
        <v>24</v>
      </c>
      <c r="C1205" s="20" t="s">
        <v>136</v>
      </c>
      <c r="D1205" s="20" t="s">
        <v>3359</v>
      </c>
      <c r="E1205" s="20" t="s">
        <v>3360</v>
      </c>
      <c r="F1205" s="20">
        <v>1</v>
      </c>
      <c r="G1205" s="20" t="s">
        <v>92</v>
      </c>
      <c r="H1205" s="20"/>
      <c r="I1205" s="21"/>
      <c r="J1205" s="21"/>
      <c r="K1205" s="21" t="s">
        <v>109</v>
      </c>
      <c r="L1205" s="21" t="s">
        <v>3361</v>
      </c>
      <c r="M1205" s="21" t="s">
        <v>102</v>
      </c>
      <c r="N1205" s="21"/>
    </row>
    <row r="1206" spans="1:14" ht="64.05" customHeight="1">
      <c r="A1206" s="20" t="s">
        <v>3273</v>
      </c>
      <c r="B1206" s="20" t="s">
        <v>24</v>
      </c>
      <c r="C1206" s="20" t="s">
        <v>136</v>
      </c>
      <c r="D1206" s="20" t="s">
        <v>3362</v>
      </c>
      <c r="E1206" s="20" t="s">
        <v>3363</v>
      </c>
      <c r="F1206" s="20">
        <v>1</v>
      </c>
      <c r="G1206" s="20" t="s">
        <v>92</v>
      </c>
      <c r="H1206" s="20"/>
      <c r="I1206" s="21"/>
      <c r="J1206" s="21"/>
      <c r="K1206" s="21" t="s">
        <v>109</v>
      </c>
      <c r="L1206" s="21" t="s">
        <v>3364</v>
      </c>
      <c r="M1206" s="21" t="s">
        <v>102</v>
      </c>
      <c r="N1206" s="21"/>
    </row>
    <row r="1207" spans="1:14" ht="64.05" customHeight="1">
      <c r="A1207" s="20" t="s">
        <v>3273</v>
      </c>
      <c r="B1207" s="20" t="s">
        <v>24</v>
      </c>
      <c r="C1207" s="20" t="s">
        <v>136</v>
      </c>
      <c r="D1207" s="20" t="s">
        <v>3365</v>
      </c>
      <c r="E1207" s="20" t="s">
        <v>3366</v>
      </c>
      <c r="F1207" s="20">
        <v>1</v>
      </c>
      <c r="G1207" s="20" t="s">
        <v>92</v>
      </c>
      <c r="H1207" s="20"/>
      <c r="I1207" s="21"/>
      <c r="J1207" s="21"/>
      <c r="K1207" s="21" t="s">
        <v>109</v>
      </c>
      <c r="L1207" s="21" t="s">
        <v>3364</v>
      </c>
      <c r="M1207" s="21" t="s">
        <v>102</v>
      </c>
      <c r="N1207" s="21"/>
    </row>
    <row r="1208" spans="1:14" ht="64.05" customHeight="1">
      <c r="A1208" s="20" t="s">
        <v>3273</v>
      </c>
      <c r="B1208" s="20" t="s">
        <v>24</v>
      </c>
      <c r="C1208" s="20" t="s">
        <v>136</v>
      </c>
      <c r="D1208" s="20" t="s">
        <v>3367</v>
      </c>
      <c r="E1208" s="20" t="s">
        <v>3368</v>
      </c>
      <c r="F1208" s="20">
        <v>1</v>
      </c>
      <c r="G1208" s="20" t="s">
        <v>92</v>
      </c>
      <c r="H1208" s="20"/>
      <c r="I1208" s="21"/>
      <c r="J1208" s="21"/>
      <c r="K1208" s="21" t="s">
        <v>109</v>
      </c>
      <c r="L1208" s="21" t="s">
        <v>3361</v>
      </c>
      <c r="M1208" s="21" t="s">
        <v>102</v>
      </c>
      <c r="N1208" s="21"/>
    </row>
    <row r="1209" spans="1:14" ht="64.05" customHeight="1">
      <c r="A1209" s="20" t="s">
        <v>3273</v>
      </c>
      <c r="B1209" s="20" t="s">
        <v>28</v>
      </c>
      <c r="C1209" s="20" t="s">
        <v>146</v>
      </c>
      <c r="D1209" s="20" t="s">
        <v>147</v>
      </c>
      <c r="E1209" s="20" t="s">
        <v>3369</v>
      </c>
      <c r="F1209" s="20">
        <v>1</v>
      </c>
      <c r="G1209" s="20" t="s">
        <v>3370</v>
      </c>
      <c r="H1209" s="20" t="s">
        <v>3371</v>
      </c>
      <c r="I1209" s="21" t="s">
        <v>140</v>
      </c>
      <c r="J1209" s="21"/>
      <c r="K1209" s="21" t="s">
        <v>140</v>
      </c>
      <c r="L1209" s="21" t="s">
        <v>3372</v>
      </c>
      <c r="M1209" s="21" t="s">
        <v>62</v>
      </c>
      <c r="N1209" s="21" t="s">
        <v>520</v>
      </c>
    </row>
    <row r="1210" spans="1:14" ht="64.05" customHeight="1">
      <c r="A1210" s="20" t="s">
        <v>3273</v>
      </c>
      <c r="B1210" s="20" t="s">
        <v>28</v>
      </c>
      <c r="C1210" s="20" t="s">
        <v>146</v>
      </c>
      <c r="D1210" s="20" t="s">
        <v>147</v>
      </c>
      <c r="E1210" s="20" t="s">
        <v>3373</v>
      </c>
      <c r="F1210" s="20">
        <v>1</v>
      </c>
      <c r="G1210" s="20" t="s">
        <v>3370</v>
      </c>
      <c r="H1210" s="20" t="s">
        <v>3371</v>
      </c>
      <c r="I1210" s="21" t="s">
        <v>140</v>
      </c>
      <c r="J1210" s="21"/>
      <c r="K1210" s="21" t="s">
        <v>140</v>
      </c>
      <c r="L1210" s="21" t="s">
        <v>3372</v>
      </c>
      <c r="M1210" s="21" t="s">
        <v>62</v>
      </c>
      <c r="N1210" s="21" t="s">
        <v>520</v>
      </c>
    </row>
    <row r="1211" spans="1:14" ht="64.05" customHeight="1">
      <c r="A1211" s="20" t="s">
        <v>3273</v>
      </c>
      <c r="B1211" s="20" t="s">
        <v>28</v>
      </c>
      <c r="C1211" s="20" t="s">
        <v>146</v>
      </c>
      <c r="D1211" s="20" t="s">
        <v>147</v>
      </c>
      <c r="E1211" s="20" t="s">
        <v>3374</v>
      </c>
      <c r="F1211" s="20">
        <v>1</v>
      </c>
      <c r="G1211" s="20" t="s">
        <v>3370</v>
      </c>
      <c r="H1211" s="20" t="s">
        <v>3371</v>
      </c>
      <c r="I1211" s="21" t="s">
        <v>140</v>
      </c>
      <c r="J1211" s="21"/>
      <c r="K1211" s="21" t="s">
        <v>140</v>
      </c>
      <c r="L1211" s="21" t="s">
        <v>3372</v>
      </c>
      <c r="M1211" s="21" t="s">
        <v>62</v>
      </c>
      <c r="N1211" s="21" t="s">
        <v>520</v>
      </c>
    </row>
    <row r="1212" spans="1:14" ht="64.05" customHeight="1">
      <c r="A1212" s="20" t="s">
        <v>3273</v>
      </c>
      <c r="B1212" s="20" t="s">
        <v>28</v>
      </c>
      <c r="C1212" s="20" t="s">
        <v>146</v>
      </c>
      <c r="D1212" s="20" t="s">
        <v>147</v>
      </c>
      <c r="E1212" s="20" t="s">
        <v>3375</v>
      </c>
      <c r="F1212" s="20">
        <v>1</v>
      </c>
      <c r="G1212" s="20" t="s">
        <v>3370</v>
      </c>
      <c r="H1212" s="20" t="s">
        <v>3371</v>
      </c>
      <c r="I1212" s="21" t="s">
        <v>140</v>
      </c>
      <c r="J1212" s="21"/>
      <c r="K1212" s="21" t="s">
        <v>140</v>
      </c>
      <c r="L1212" s="21" t="s">
        <v>3372</v>
      </c>
      <c r="M1212" s="21" t="s">
        <v>62</v>
      </c>
      <c r="N1212" s="21" t="s">
        <v>520</v>
      </c>
    </row>
    <row r="1213" spans="1:14" ht="64.05" customHeight="1">
      <c r="A1213" s="20" t="s">
        <v>3273</v>
      </c>
      <c r="B1213" s="20" t="s">
        <v>28</v>
      </c>
      <c r="C1213" s="20" t="s">
        <v>146</v>
      </c>
      <c r="D1213" s="20" t="s">
        <v>147</v>
      </c>
      <c r="E1213" s="20" t="s">
        <v>3376</v>
      </c>
      <c r="F1213" s="20">
        <v>1</v>
      </c>
      <c r="G1213" s="20" t="s">
        <v>92</v>
      </c>
      <c r="H1213" s="20"/>
      <c r="I1213" s="21" t="s">
        <v>3377</v>
      </c>
      <c r="J1213" s="21"/>
      <c r="K1213" s="21" t="s">
        <v>109</v>
      </c>
      <c r="L1213" s="21" t="s">
        <v>3378</v>
      </c>
      <c r="M1213" s="21" t="s">
        <v>73</v>
      </c>
      <c r="N1213" s="21"/>
    </row>
    <row r="1214" spans="1:14" ht="64.05" customHeight="1">
      <c r="A1214" s="20" t="s">
        <v>3273</v>
      </c>
      <c r="B1214" s="20" t="s">
        <v>28</v>
      </c>
      <c r="C1214" s="20" t="s">
        <v>146</v>
      </c>
      <c r="D1214" s="20" t="s">
        <v>147</v>
      </c>
      <c r="E1214" s="20" t="s">
        <v>3379</v>
      </c>
      <c r="F1214" s="20">
        <v>1</v>
      </c>
      <c r="G1214" s="20" t="s">
        <v>92</v>
      </c>
      <c r="H1214" s="20"/>
      <c r="I1214" s="21" t="s">
        <v>3380</v>
      </c>
      <c r="J1214" s="21" t="s">
        <v>446</v>
      </c>
      <c r="K1214" s="21" t="s">
        <v>1371</v>
      </c>
      <c r="L1214" s="21" t="s">
        <v>3381</v>
      </c>
      <c r="M1214" s="21" t="s">
        <v>102</v>
      </c>
      <c r="N1214" s="21"/>
    </row>
    <row r="1215" spans="1:14" ht="64.05" customHeight="1">
      <c r="A1215" s="20" t="s">
        <v>3273</v>
      </c>
      <c r="B1215" s="20" t="s">
        <v>28</v>
      </c>
      <c r="C1215" s="20" t="s">
        <v>167</v>
      </c>
      <c r="D1215" s="20" t="s">
        <v>168</v>
      </c>
      <c r="E1215" s="20" t="s">
        <v>3382</v>
      </c>
      <c r="F1215" s="20">
        <v>1</v>
      </c>
      <c r="G1215" s="20" t="s">
        <v>92</v>
      </c>
      <c r="H1215" s="20"/>
      <c r="I1215" s="21" t="s">
        <v>3383</v>
      </c>
      <c r="J1215" s="21"/>
      <c r="K1215" s="21" t="s">
        <v>109</v>
      </c>
      <c r="L1215" s="21" t="s">
        <v>3384</v>
      </c>
      <c r="M1215" s="21" t="s">
        <v>73</v>
      </c>
      <c r="N1215" s="21"/>
    </row>
    <row r="1216" spans="1:14" ht="64.05" customHeight="1">
      <c r="A1216" s="20" t="s">
        <v>3273</v>
      </c>
      <c r="B1216" s="20" t="s">
        <v>28</v>
      </c>
      <c r="C1216" s="20" t="s">
        <v>167</v>
      </c>
      <c r="D1216" s="20" t="s">
        <v>168</v>
      </c>
      <c r="E1216" s="20" t="s">
        <v>3385</v>
      </c>
      <c r="F1216" s="20">
        <v>1</v>
      </c>
      <c r="G1216" s="20" t="s">
        <v>92</v>
      </c>
      <c r="H1216" s="20"/>
      <c r="I1216" s="21" t="s">
        <v>3386</v>
      </c>
      <c r="J1216" s="21"/>
      <c r="K1216" s="21" t="s">
        <v>109</v>
      </c>
      <c r="L1216" s="21" t="s">
        <v>3384</v>
      </c>
      <c r="M1216" s="21" t="s">
        <v>73</v>
      </c>
      <c r="N1216" s="21"/>
    </row>
    <row r="1217" spans="1:14" ht="64.05" customHeight="1">
      <c r="A1217" s="20" t="s">
        <v>3273</v>
      </c>
      <c r="B1217" s="20" t="s">
        <v>28</v>
      </c>
      <c r="C1217" s="20" t="s">
        <v>167</v>
      </c>
      <c r="D1217" s="20" t="s">
        <v>168</v>
      </c>
      <c r="E1217" s="20" t="s">
        <v>3387</v>
      </c>
      <c r="F1217" s="20">
        <v>1</v>
      </c>
      <c r="G1217" s="20" t="s">
        <v>139</v>
      </c>
      <c r="H1217" s="20"/>
      <c r="I1217" s="21" t="s">
        <v>140</v>
      </c>
      <c r="J1217" s="21"/>
      <c r="K1217" s="21" t="s">
        <v>3388</v>
      </c>
      <c r="L1217" s="21" t="s">
        <v>3389</v>
      </c>
      <c r="M1217" s="21" t="s">
        <v>62</v>
      </c>
      <c r="N1217" s="21" t="s">
        <v>63</v>
      </c>
    </row>
    <row r="1218" spans="1:14" ht="64.05" customHeight="1">
      <c r="A1218" s="20" t="s">
        <v>3273</v>
      </c>
      <c r="B1218" s="20" t="s">
        <v>30</v>
      </c>
      <c r="C1218" s="20" t="s">
        <v>180</v>
      </c>
      <c r="D1218" s="20" t="s">
        <v>181</v>
      </c>
      <c r="E1218" s="20" t="s">
        <v>3390</v>
      </c>
      <c r="F1218" s="20">
        <v>1</v>
      </c>
      <c r="G1218" s="20" t="s">
        <v>3391</v>
      </c>
      <c r="H1218" s="20" t="s">
        <v>3060</v>
      </c>
      <c r="I1218" s="21" t="s">
        <v>3392</v>
      </c>
      <c r="J1218" s="21"/>
      <c r="K1218" s="21" t="s">
        <v>1417</v>
      </c>
      <c r="L1218" s="21" t="s">
        <v>3393</v>
      </c>
      <c r="M1218" s="21" t="s">
        <v>62</v>
      </c>
      <c r="N1218" s="21" t="s">
        <v>130</v>
      </c>
    </row>
    <row r="1219" spans="1:14" ht="64.05" customHeight="1">
      <c r="A1219" s="20" t="s">
        <v>3273</v>
      </c>
      <c r="B1219" s="20" t="s">
        <v>30</v>
      </c>
      <c r="C1219" s="20" t="s">
        <v>180</v>
      </c>
      <c r="D1219" s="20" t="s">
        <v>181</v>
      </c>
      <c r="E1219" s="20" t="s">
        <v>3394</v>
      </c>
      <c r="F1219" s="20">
        <v>1</v>
      </c>
      <c r="G1219" s="20" t="s">
        <v>3395</v>
      </c>
      <c r="H1219" s="20" t="s">
        <v>3396</v>
      </c>
      <c r="I1219" s="21" t="s">
        <v>3397</v>
      </c>
      <c r="J1219" s="21"/>
      <c r="K1219" s="21"/>
      <c r="L1219" s="21" t="s">
        <v>3398</v>
      </c>
      <c r="M1219" s="21" t="s">
        <v>62</v>
      </c>
      <c r="N1219" s="21" t="s">
        <v>130</v>
      </c>
    </row>
    <row r="1220" spans="1:14" ht="64.05" customHeight="1">
      <c r="A1220" s="20" t="s">
        <v>3273</v>
      </c>
      <c r="B1220" s="20" t="s">
        <v>30</v>
      </c>
      <c r="C1220" s="20" t="s">
        <v>180</v>
      </c>
      <c r="D1220" s="20" t="s">
        <v>181</v>
      </c>
      <c r="E1220" s="20" t="s">
        <v>3399</v>
      </c>
      <c r="F1220" s="20">
        <v>1</v>
      </c>
      <c r="G1220" s="20" t="s">
        <v>702</v>
      </c>
      <c r="H1220" s="20" t="s">
        <v>780</v>
      </c>
      <c r="I1220" s="21" t="s">
        <v>3400</v>
      </c>
      <c r="J1220" s="21"/>
      <c r="K1220" s="21"/>
      <c r="L1220" s="21" t="s">
        <v>3401</v>
      </c>
      <c r="M1220" s="21" t="s">
        <v>62</v>
      </c>
      <c r="N1220" s="21" t="s">
        <v>130</v>
      </c>
    </row>
    <row r="1221" spans="1:14" ht="64.05" customHeight="1">
      <c r="A1221" s="20" t="s">
        <v>3273</v>
      </c>
      <c r="B1221" s="20" t="s">
        <v>30</v>
      </c>
      <c r="C1221" s="20" t="s">
        <v>188</v>
      </c>
      <c r="D1221" s="20" t="s">
        <v>189</v>
      </c>
      <c r="E1221" s="20" t="s">
        <v>3402</v>
      </c>
      <c r="F1221" s="20">
        <v>1</v>
      </c>
      <c r="G1221" s="20" t="s">
        <v>92</v>
      </c>
      <c r="H1221" s="20"/>
      <c r="I1221" s="21" t="s">
        <v>3403</v>
      </c>
      <c r="J1221" s="21"/>
      <c r="K1221" s="21" t="s">
        <v>109</v>
      </c>
      <c r="L1221" s="21" t="s">
        <v>3404</v>
      </c>
      <c r="M1221" s="21" t="s">
        <v>73</v>
      </c>
      <c r="N1221" s="21"/>
    </row>
    <row r="1222" spans="1:14" ht="64.05" customHeight="1">
      <c r="A1222" s="20" t="s">
        <v>3273</v>
      </c>
      <c r="B1222" s="20" t="s">
        <v>33</v>
      </c>
      <c r="C1222" s="20" t="s">
        <v>2103</v>
      </c>
      <c r="D1222" s="20" t="s">
        <v>2104</v>
      </c>
      <c r="E1222" s="20" t="s">
        <v>3405</v>
      </c>
      <c r="F1222" s="20">
        <v>1</v>
      </c>
      <c r="G1222" s="20" t="s">
        <v>3406</v>
      </c>
      <c r="H1222" s="20" t="s">
        <v>698</v>
      </c>
      <c r="I1222" s="21" t="s">
        <v>3407</v>
      </c>
      <c r="J1222" s="21" t="s">
        <v>245</v>
      </c>
      <c r="K1222" s="21" t="s">
        <v>109</v>
      </c>
      <c r="L1222" s="21" t="s">
        <v>3408</v>
      </c>
      <c r="M1222" s="21" t="s">
        <v>62</v>
      </c>
      <c r="N1222" s="21"/>
    </row>
    <row r="1223" spans="1:14" ht="64.05" customHeight="1">
      <c r="A1223" s="20" t="s">
        <v>3273</v>
      </c>
      <c r="B1223" s="20" t="s">
        <v>33</v>
      </c>
      <c r="C1223" s="20" t="s">
        <v>2103</v>
      </c>
      <c r="D1223" s="20" t="s">
        <v>2104</v>
      </c>
      <c r="E1223" s="20" t="s">
        <v>3409</v>
      </c>
      <c r="F1223" s="20">
        <v>1</v>
      </c>
      <c r="G1223" s="20" t="s">
        <v>3410</v>
      </c>
      <c r="H1223" s="20" t="s">
        <v>735</v>
      </c>
      <c r="I1223" s="21" t="s">
        <v>140</v>
      </c>
      <c r="J1223" s="21" t="s">
        <v>245</v>
      </c>
      <c r="K1223" s="21" t="s">
        <v>141</v>
      </c>
      <c r="L1223" s="21" t="s">
        <v>3411</v>
      </c>
      <c r="M1223" s="21" t="s">
        <v>62</v>
      </c>
      <c r="N1223" s="21" t="s">
        <v>1435</v>
      </c>
    </row>
    <row r="1224" spans="1:14" ht="64.05" customHeight="1">
      <c r="A1224" s="20" t="s">
        <v>3273</v>
      </c>
      <c r="B1224" s="20" t="s">
        <v>33</v>
      </c>
      <c r="C1224" s="20" t="s">
        <v>2103</v>
      </c>
      <c r="D1224" s="20" t="s">
        <v>2104</v>
      </c>
      <c r="E1224" s="20" t="s">
        <v>3412</v>
      </c>
      <c r="F1224" s="20">
        <v>1</v>
      </c>
      <c r="G1224" s="20" t="s">
        <v>92</v>
      </c>
      <c r="H1224" s="20"/>
      <c r="I1224" s="21" t="s">
        <v>3413</v>
      </c>
      <c r="J1224" s="21"/>
      <c r="K1224" s="21" t="s">
        <v>3414</v>
      </c>
      <c r="L1224" s="21" t="s">
        <v>3415</v>
      </c>
      <c r="M1224" s="21" t="s">
        <v>73</v>
      </c>
      <c r="N1224" s="21"/>
    </row>
    <row r="1225" spans="1:14" ht="64.05" customHeight="1">
      <c r="A1225" s="20" t="s">
        <v>3273</v>
      </c>
      <c r="B1225" s="20" t="s">
        <v>33</v>
      </c>
      <c r="C1225" s="20" t="s">
        <v>2103</v>
      </c>
      <c r="D1225" s="20" t="s">
        <v>2104</v>
      </c>
      <c r="E1225" s="20" t="s">
        <v>3416</v>
      </c>
      <c r="F1225" s="20">
        <v>1</v>
      </c>
      <c r="G1225" s="20" t="s">
        <v>3406</v>
      </c>
      <c r="H1225" s="20" t="s">
        <v>698</v>
      </c>
      <c r="I1225" s="21" t="s">
        <v>3417</v>
      </c>
      <c r="J1225" s="21"/>
      <c r="K1225" s="21" t="s">
        <v>3418</v>
      </c>
      <c r="L1225" s="21" t="s">
        <v>3419</v>
      </c>
      <c r="M1225" s="21" t="s">
        <v>73</v>
      </c>
      <c r="N1225" s="21"/>
    </row>
    <row r="1226" spans="1:14" ht="64.05" customHeight="1">
      <c r="A1226" s="20" t="s">
        <v>3273</v>
      </c>
      <c r="B1226" s="20" t="s">
        <v>33</v>
      </c>
      <c r="C1226" s="20" t="s">
        <v>2103</v>
      </c>
      <c r="D1226" s="20" t="s">
        <v>2104</v>
      </c>
      <c r="E1226" s="20" t="s">
        <v>3420</v>
      </c>
      <c r="F1226" s="20">
        <v>1</v>
      </c>
      <c r="G1226" s="20" t="s">
        <v>3406</v>
      </c>
      <c r="H1226" s="20" t="s">
        <v>698</v>
      </c>
      <c r="I1226" s="21" t="s">
        <v>3417</v>
      </c>
      <c r="J1226" s="21"/>
      <c r="K1226" s="21" t="s">
        <v>3421</v>
      </c>
      <c r="L1226" s="21" t="s">
        <v>3419</v>
      </c>
      <c r="M1226" s="21" t="s">
        <v>73</v>
      </c>
      <c r="N1226" s="21"/>
    </row>
    <row r="1227" spans="1:14" ht="64.05" customHeight="1">
      <c r="A1227" s="20" t="s">
        <v>3273</v>
      </c>
      <c r="B1227" s="20" t="s">
        <v>33</v>
      </c>
      <c r="C1227" s="20" t="s">
        <v>2103</v>
      </c>
      <c r="D1227" s="20" t="s">
        <v>2104</v>
      </c>
      <c r="E1227" s="20" t="s">
        <v>3422</v>
      </c>
      <c r="F1227" s="20">
        <v>1</v>
      </c>
      <c r="G1227" s="20" t="s">
        <v>3423</v>
      </c>
      <c r="H1227" s="20" t="s">
        <v>2272</v>
      </c>
      <c r="I1227" s="21" t="s">
        <v>3417</v>
      </c>
      <c r="J1227" s="21"/>
      <c r="K1227" s="21" t="s">
        <v>3418</v>
      </c>
      <c r="L1227" s="21" t="s">
        <v>3419</v>
      </c>
      <c r="M1227" s="21" t="s">
        <v>73</v>
      </c>
      <c r="N1227" s="21"/>
    </row>
    <row r="1228" spans="1:14" ht="64.05" customHeight="1">
      <c r="A1228" s="20" t="s">
        <v>3273</v>
      </c>
      <c r="B1228" s="20" t="s">
        <v>31</v>
      </c>
      <c r="C1228" s="20" t="s">
        <v>491</v>
      </c>
      <c r="D1228" s="20" t="s">
        <v>492</v>
      </c>
      <c r="E1228" s="20" t="s">
        <v>3424</v>
      </c>
      <c r="F1228" s="20">
        <v>1</v>
      </c>
      <c r="G1228" s="20" t="s">
        <v>92</v>
      </c>
      <c r="H1228" s="20"/>
      <c r="I1228" s="21" t="s">
        <v>3425</v>
      </c>
      <c r="J1228" s="21"/>
      <c r="K1228" s="21" t="s">
        <v>3426</v>
      </c>
      <c r="L1228" s="21" t="s">
        <v>3427</v>
      </c>
      <c r="M1228" s="21" t="s">
        <v>62</v>
      </c>
      <c r="N1228" s="21" t="s">
        <v>957</v>
      </c>
    </row>
    <row r="1229" spans="1:14" ht="64.05" customHeight="1">
      <c r="A1229" s="20" t="s">
        <v>3273</v>
      </c>
      <c r="B1229" s="20" t="s">
        <v>31</v>
      </c>
      <c r="C1229" s="20" t="s">
        <v>491</v>
      </c>
      <c r="D1229" s="20" t="s">
        <v>492</v>
      </c>
      <c r="E1229" s="20" t="s">
        <v>3428</v>
      </c>
      <c r="F1229" s="20">
        <v>1</v>
      </c>
      <c r="G1229" s="20" t="s">
        <v>92</v>
      </c>
      <c r="H1229" s="20"/>
      <c r="I1229" s="21" t="s">
        <v>3425</v>
      </c>
      <c r="J1229" s="21"/>
      <c r="K1229" s="21" t="s">
        <v>3426</v>
      </c>
      <c r="L1229" s="21" t="s">
        <v>3429</v>
      </c>
      <c r="M1229" s="21" t="s">
        <v>62</v>
      </c>
      <c r="N1229" s="21" t="s">
        <v>957</v>
      </c>
    </row>
    <row r="1230" spans="1:14" ht="64.05" customHeight="1">
      <c r="A1230" s="20" t="s">
        <v>3273</v>
      </c>
      <c r="B1230" s="20" t="s">
        <v>31</v>
      </c>
      <c r="C1230" s="20" t="s">
        <v>491</v>
      </c>
      <c r="D1230" s="20" t="s">
        <v>492</v>
      </c>
      <c r="E1230" s="20" t="s">
        <v>3430</v>
      </c>
      <c r="F1230" s="20">
        <v>1</v>
      </c>
      <c r="G1230" s="20" t="s">
        <v>92</v>
      </c>
      <c r="H1230" s="20"/>
      <c r="I1230" s="21" t="s">
        <v>3425</v>
      </c>
      <c r="J1230" s="21"/>
      <c r="K1230" s="21" t="s">
        <v>3426</v>
      </c>
      <c r="L1230" s="21" t="s">
        <v>3429</v>
      </c>
      <c r="M1230" s="21" t="s">
        <v>62</v>
      </c>
      <c r="N1230" s="21" t="s">
        <v>957</v>
      </c>
    </row>
    <row r="1231" spans="1:14" ht="64.05" customHeight="1">
      <c r="A1231" s="20" t="s">
        <v>3273</v>
      </c>
      <c r="B1231" s="20" t="s">
        <v>32</v>
      </c>
      <c r="C1231" s="20" t="s">
        <v>200</v>
      </c>
      <c r="D1231" s="20" t="s">
        <v>201</v>
      </c>
      <c r="E1231" s="20" t="s">
        <v>3431</v>
      </c>
      <c r="F1231" s="20">
        <v>1</v>
      </c>
      <c r="G1231" s="20" t="s">
        <v>3432</v>
      </c>
      <c r="H1231" s="20" t="s">
        <v>3433</v>
      </c>
      <c r="I1231" s="21" t="s">
        <v>3434</v>
      </c>
      <c r="J1231" s="21"/>
      <c r="K1231" s="21" t="s">
        <v>3435</v>
      </c>
      <c r="L1231" s="21" t="s">
        <v>3436</v>
      </c>
      <c r="M1231" s="21" t="s">
        <v>102</v>
      </c>
      <c r="N1231" s="21"/>
    </row>
    <row r="1232" spans="1:14" ht="64.05" customHeight="1">
      <c r="A1232" s="20" t="s">
        <v>3273</v>
      </c>
      <c r="B1232" s="20" t="s">
        <v>32</v>
      </c>
      <c r="C1232" s="20" t="s">
        <v>200</v>
      </c>
      <c r="D1232" s="20" t="s">
        <v>201</v>
      </c>
      <c r="E1232" s="20" t="s">
        <v>3437</v>
      </c>
      <c r="F1232" s="20">
        <v>1</v>
      </c>
      <c r="G1232" s="20" t="s">
        <v>3432</v>
      </c>
      <c r="H1232" s="20" t="s">
        <v>3438</v>
      </c>
      <c r="I1232" s="21" t="s">
        <v>3439</v>
      </c>
      <c r="J1232" s="21"/>
      <c r="K1232" s="21" t="s">
        <v>3435</v>
      </c>
      <c r="L1232" s="21" t="s">
        <v>3436</v>
      </c>
      <c r="M1232" s="21" t="s">
        <v>102</v>
      </c>
      <c r="N1232" s="21"/>
    </row>
    <row r="1233" spans="1:14" ht="64.05" customHeight="1">
      <c r="A1233" s="20" t="s">
        <v>3273</v>
      </c>
      <c r="B1233" s="20" t="s">
        <v>32</v>
      </c>
      <c r="C1233" s="20" t="s">
        <v>200</v>
      </c>
      <c r="D1233" s="20" t="s">
        <v>201</v>
      </c>
      <c r="E1233" s="20" t="s">
        <v>3440</v>
      </c>
      <c r="F1233" s="20">
        <v>1</v>
      </c>
      <c r="G1233" s="20" t="s">
        <v>3432</v>
      </c>
      <c r="H1233" s="20" t="s">
        <v>3441</v>
      </c>
      <c r="I1233" s="21" t="s">
        <v>3442</v>
      </c>
      <c r="J1233" s="21"/>
      <c r="K1233" s="21" t="s">
        <v>3435</v>
      </c>
      <c r="L1233" s="21" t="s">
        <v>3436</v>
      </c>
      <c r="M1233" s="21" t="s">
        <v>102</v>
      </c>
      <c r="N1233" s="21"/>
    </row>
    <row r="1234" spans="1:14" ht="64.05" customHeight="1">
      <c r="A1234" s="20" t="s">
        <v>3273</v>
      </c>
      <c r="B1234" s="20" t="s">
        <v>32</v>
      </c>
      <c r="C1234" s="20" t="s">
        <v>200</v>
      </c>
      <c r="D1234" s="20" t="s">
        <v>201</v>
      </c>
      <c r="E1234" s="20" t="s">
        <v>3443</v>
      </c>
      <c r="F1234" s="20">
        <v>1</v>
      </c>
      <c r="G1234" s="20" t="s">
        <v>1236</v>
      </c>
      <c r="H1234" s="20" t="s">
        <v>3444</v>
      </c>
      <c r="I1234" s="21" t="s">
        <v>3445</v>
      </c>
      <c r="J1234" s="21"/>
      <c r="K1234" s="21" t="s">
        <v>1398</v>
      </c>
      <c r="L1234" s="21" t="s">
        <v>3446</v>
      </c>
      <c r="M1234" s="21" t="s">
        <v>102</v>
      </c>
      <c r="N1234" s="21"/>
    </row>
    <row r="1235" spans="1:14" ht="64.05" customHeight="1">
      <c r="A1235" s="20" t="s">
        <v>3273</v>
      </c>
      <c r="B1235" s="20" t="s">
        <v>32</v>
      </c>
      <c r="C1235" s="20" t="s">
        <v>200</v>
      </c>
      <c r="D1235" s="20" t="s">
        <v>201</v>
      </c>
      <c r="E1235" s="20" t="s">
        <v>3447</v>
      </c>
      <c r="F1235" s="20">
        <v>1</v>
      </c>
      <c r="G1235" s="20" t="s">
        <v>3448</v>
      </c>
      <c r="H1235" s="20" t="s">
        <v>3444</v>
      </c>
      <c r="I1235" s="21" t="s">
        <v>3449</v>
      </c>
      <c r="J1235" s="21"/>
      <c r="K1235" s="21" t="s">
        <v>1398</v>
      </c>
      <c r="L1235" s="21" t="s">
        <v>3446</v>
      </c>
      <c r="M1235" s="21" t="s">
        <v>102</v>
      </c>
      <c r="N1235" s="21"/>
    </row>
    <row r="1236" spans="1:14" ht="64.05" customHeight="1">
      <c r="A1236" s="20" t="s">
        <v>3273</v>
      </c>
      <c r="B1236" s="20" t="s">
        <v>32</v>
      </c>
      <c r="C1236" s="20" t="s">
        <v>200</v>
      </c>
      <c r="D1236" s="20" t="s">
        <v>201</v>
      </c>
      <c r="E1236" s="20" t="s">
        <v>3450</v>
      </c>
      <c r="F1236" s="20">
        <v>1</v>
      </c>
      <c r="G1236" s="20" t="s">
        <v>3451</v>
      </c>
      <c r="H1236" s="20" t="s">
        <v>3452</v>
      </c>
      <c r="I1236" s="21" t="s">
        <v>3453</v>
      </c>
      <c r="J1236" s="21"/>
      <c r="K1236" s="21" t="s">
        <v>2638</v>
      </c>
      <c r="L1236" s="21" t="s">
        <v>3454</v>
      </c>
      <c r="M1236" s="21" t="s">
        <v>102</v>
      </c>
      <c r="N1236" s="21"/>
    </row>
    <row r="1237" spans="1:14" ht="64.05" customHeight="1">
      <c r="A1237" s="20" t="s">
        <v>3455</v>
      </c>
      <c r="B1237" s="20" t="s">
        <v>20</v>
      </c>
      <c r="C1237" s="20" t="s">
        <v>55</v>
      </c>
      <c r="D1237" s="20" t="s">
        <v>56</v>
      </c>
      <c r="E1237" s="20" t="s">
        <v>3456</v>
      </c>
      <c r="F1237" s="20">
        <v>1</v>
      </c>
      <c r="G1237" s="20" t="s">
        <v>296</v>
      </c>
      <c r="H1237" s="20" t="s">
        <v>3457</v>
      </c>
      <c r="I1237" s="21" t="s">
        <v>3458</v>
      </c>
      <c r="J1237" s="21"/>
      <c r="K1237" s="21"/>
      <c r="L1237" s="21" t="s">
        <v>3459</v>
      </c>
      <c r="M1237" s="21" t="s">
        <v>62</v>
      </c>
      <c r="N1237" s="21" t="s">
        <v>63</v>
      </c>
    </row>
    <row r="1238" spans="1:14" ht="64.05" customHeight="1">
      <c r="A1238" s="20" t="s">
        <v>3455</v>
      </c>
      <c r="B1238" s="20" t="s">
        <v>20</v>
      </c>
      <c r="C1238" s="20" t="s">
        <v>55</v>
      </c>
      <c r="D1238" s="20" t="s">
        <v>56</v>
      </c>
      <c r="E1238" s="20" t="s">
        <v>3460</v>
      </c>
      <c r="F1238" s="20">
        <v>1</v>
      </c>
      <c r="G1238" s="20" t="s">
        <v>92</v>
      </c>
      <c r="H1238" s="20"/>
      <c r="I1238" s="21" t="s">
        <v>60</v>
      </c>
      <c r="J1238" s="21"/>
      <c r="K1238" s="21"/>
      <c r="L1238" s="21" t="s">
        <v>3461</v>
      </c>
      <c r="M1238" s="21" t="s">
        <v>102</v>
      </c>
      <c r="N1238" s="21"/>
    </row>
    <row r="1239" spans="1:14" ht="64.05" customHeight="1">
      <c r="A1239" s="20" t="s">
        <v>3455</v>
      </c>
      <c r="B1239" s="20" t="s">
        <v>22</v>
      </c>
      <c r="C1239" s="20" t="s">
        <v>370</v>
      </c>
      <c r="D1239" s="20" t="s">
        <v>371</v>
      </c>
      <c r="E1239" s="20" t="s">
        <v>3462</v>
      </c>
      <c r="F1239" s="20">
        <v>1</v>
      </c>
      <c r="G1239" s="20" t="s">
        <v>92</v>
      </c>
      <c r="H1239" s="20"/>
      <c r="I1239" s="21" t="s">
        <v>3463</v>
      </c>
      <c r="J1239" s="21"/>
      <c r="K1239" s="21" t="s">
        <v>109</v>
      </c>
      <c r="L1239" s="21" t="s">
        <v>3464</v>
      </c>
      <c r="M1239" s="21" t="s">
        <v>73</v>
      </c>
      <c r="N1239" s="21"/>
    </row>
    <row r="1240" spans="1:14" ht="64.05" customHeight="1">
      <c r="A1240" s="20" t="s">
        <v>3455</v>
      </c>
      <c r="B1240" s="20" t="s">
        <v>22</v>
      </c>
      <c r="C1240" s="20" t="s">
        <v>370</v>
      </c>
      <c r="D1240" s="20" t="s">
        <v>371</v>
      </c>
      <c r="E1240" s="20" t="s">
        <v>3465</v>
      </c>
      <c r="F1240" s="20">
        <v>1</v>
      </c>
      <c r="G1240" s="20" t="s">
        <v>92</v>
      </c>
      <c r="H1240" s="20"/>
      <c r="I1240" s="21" t="s">
        <v>3466</v>
      </c>
      <c r="J1240" s="21"/>
      <c r="K1240" s="21" t="s">
        <v>1398</v>
      </c>
      <c r="L1240" s="21" t="s">
        <v>3467</v>
      </c>
      <c r="M1240" s="21" t="s">
        <v>62</v>
      </c>
      <c r="N1240" s="21" t="s">
        <v>624</v>
      </c>
    </row>
    <row r="1241" spans="1:14" ht="64.05" customHeight="1">
      <c r="A1241" s="20" t="s">
        <v>3455</v>
      </c>
      <c r="B1241" s="20" t="s">
        <v>23</v>
      </c>
      <c r="C1241" s="20" t="s">
        <v>103</v>
      </c>
      <c r="D1241" s="20" t="s">
        <v>104</v>
      </c>
      <c r="E1241" s="20" t="s">
        <v>3468</v>
      </c>
      <c r="F1241" s="20">
        <v>1</v>
      </c>
      <c r="G1241" s="20" t="s">
        <v>2782</v>
      </c>
      <c r="H1241" s="20" t="s">
        <v>3469</v>
      </c>
      <c r="I1241" s="21" t="s">
        <v>885</v>
      </c>
      <c r="J1241" s="21"/>
      <c r="K1241" s="21" t="s">
        <v>886</v>
      </c>
      <c r="L1241" s="21" t="s">
        <v>3470</v>
      </c>
      <c r="M1241" s="21" t="s">
        <v>73</v>
      </c>
      <c r="N1241" s="21"/>
    </row>
    <row r="1242" spans="1:14" ht="64.05" customHeight="1">
      <c r="A1242" s="20" t="s">
        <v>3455</v>
      </c>
      <c r="B1242" s="20" t="s">
        <v>23</v>
      </c>
      <c r="C1242" s="20" t="s">
        <v>103</v>
      </c>
      <c r="D1242" s="20" t="s">
        <v>104</v>
      </c>
      <c r="E1242" s="20" t="s">
        <v>3471</v>
      </c>
      <c r="F1242" s="20">
        <v>1</v>
      </c>
      <c r="G1242" s="20" t="s">
        <v>2782</v>
      </c>
      <c r="H1242" s="20" t="s">
        <v>3469</v>
      </c>
      <c r="I1242" s="21" t="s">
        <v>885</v>
      </c>
      <c r="J1242" s="21"/>
      <c r="K1242" s="21" t="s">
        <v>886</v>
      </c>
      <c r="L1242" s="21" t="s">
        <v>3470</v>
      </c>
      <c r="M1242" s="21" t="s">
        <v>73</v>
      </c>
      <c r="N1242" s="21"/>
    </row>
    <row r="1243" spans="1:14" ht="64.05" customHeight="1">
      <c r="A1243" s="20" t="s">
        <v>3455</v>
      </c>
      <c r="B1243" s="20" t="s">
        <v>23</v>
      </c>
      <c r="C1243" s="20" t="s">
        <v>103</v>
      </c>
      <c r="D1243" s="20" t="s">
        <v>104</v>
      </c>
      <c r="E1243" s="20" t="s">
        <v>3472</v>
      </c>
      <c r="F1243" s="20">
        <v>1</v>
      </c>
      <c r="G1243" s="20" t="s">
        <v>2782</v>
      </c>
      <c r="H1243" s="20" t="s">
        <v>3469</v>
      </c>
      <c r="I1243" s="21" t="s">
        <v>885</v>
      </c>
      <c r="J1243" s="21"/>
      <c r="K1243" s="21" t="s">
        <v>886</v>
      </c>
      <c r="L1243" s="21" t="s">
        <v>3470</v>
      </c>
      <c r="M1243" s="21" t="s">
        <v>73</v>
      </c>
      <c r="N1243" s="21"/>
    </row>
    <row r="1244" spans="1:14" ht="64.05" customHeight="1">
      <c r="A1244" s="20" t="s">
        <v>3455</v>
      </c>
      <c r="B1244" s="20" t="s">
        <v>23</v>
      </c>
      <c r="C1244" s="20" t="s">
        <v>103</v>
      </c>
      <c r="D1244" s="20" t="s">
        <v>104</v>
      </c>
      <c r="E1244" s="20" t="s">
        <v>3473</v>
      </c>
      <c r="F1244" s="20">
        <v>1</v>
      </c>
      <c r="G1244" s="20" t="s">
        <v>2782</v>
      </c>
      <c r="H1244" s="20" t="s">
        <v>3469</v>
      </c>
      <c r="I1244" s="21" t="s">
        <v>885</v>
      </c>
      <c r="J1244" s="21"/>
      <c r="K1244" s="21" t="s">
        <v>886</v>
      </c>
      <c r="L1244" s="21" t="s">
        <v>3470</v>
      </c>
      <c r="M1244" s="21" t="s">
        <v>73</v>
      </c>
      <c r="N1244" s="21"/>
    </row>
    <row r="1245" spans="1:14" ht="64.05" customHeight="1">
      <c r="A1245" s="20" t="s">
        <v>3455</v>
      </c>
      <c r="B1245" s="20" t="s">
        <v>25</v>
      </c>
      <c r="C1245" s="20" t="s">
        <v>3299</v>
      </c>
      <c r="D1245" s="20" t="s">
        <v>698</v>
      </c>
      <c r="E1245" s="20" t="s">
        <v>3474</v>
      </c>
      <c r="F1245" s="20">
        <v>1</v>
      </c>
      <c r="G1245" s="20" t="s">
        <v>92</v>
      </c>
      <c r="H1245" s="20"/>
      <c r="I1245" s="21" t="s">
        <v>3475</v>
      </c>
      <c r="J1245" s="21"/>
      <c r="K1245" s="21" t="s">
        <v>3316</v>
      </c>
      <c r="L1245" s="21" t="s">
        <v>3476</v>
      </c>
      <c r="M1245" s="21" t="s">
        <v>102</v>
      </c>
      <c r="N1245" s="21"/>
    </row>
    <row r="1246" spans="1:14" ht="64.05" customHeight="1">
      <c r="A1246" s="20" t="s">
        <v>3455</v>
      </c>
      <c r="B1246" s="20" t="s">
        <v>25</v>
      </c>
      <c r="C1246" s="20" t="s">
        <v>131</v>
      </c>
      <c r="D1246" s="20" t="s">
        <v>132</v>
      </c>
      <c r="E1246" s="20" t="s">
        <v>3477</v>
      </c>
      <c r="F1246" s="20">
        <v>1</v>
      </c>
      <c r="G1246" s="20" t="s">
        <v>422</v>
      </c>
      <c r="H1246" s="20" t="s">
        <v>2494</v>
      </c>
      <c r="I1246" s="21" t="s">
        <v>415</v>
      </c>
      <c r="J1246" s="21"/>
      <c r="K1246" s="21"/>
      <c r="L1246" s="21" t="s">
        <v>3478</v>
      </c>
      <c r="M1246" s="21" t="s">
        <v>73</v>
      </c>
      <c r="N1246" s="21"/>
    </row>
    <row r="1247" spans="1:14" ht="64.05" customHeight="1">
      <c r="A1247" s="20" t="s">
        <v>3455</v>
      </c>
      <c r="B1247" s="20" t="s">
        <v>25</v>
      </c>
      <c r="C1247" s="20" t="s">
        <v>131</v>
      </c>
      <c r="D1247" s="20" t="s">
        <v>132</v>
      </c>
      <c r="E1247" s="20" t="s">
        <v>3479</v>
      </c>
      <c r="F1247" s="20">
        <v>1</v>
      </c>
      <c r="G1247" s="20" t="s">
        <v>422</v>
      </c>
      <c r="H1247" s="20" t="s">
        <v>2494</v>
      </c>
      <c r="I1247" s="21" t="s">
        <v>415</v>
      </c>
      <c r="J1247" s="21"/>
      <c r="K1247" s="21"/>
      <c r="L1247" s="21" t="s">
        <v>3478</v>
      </c>
      <c r="M1247" s="21" t="s">
        <v>73</v>
      </c>
      <c r="N1247" s="21"/>
    </row>
    <row r="1248" spans="1:14" ht="64.05" customHeight="1">
      <c r="A1248" s="20" t="s">
        <v>3455</v>
      </c>
      <c r="B1248" s="20" t="s">
        <v>25</v>
      </c>
      <c r="C1248" s="20" t="s">
        <v>131</v>
      </c>
      <c r="D1248" s="20" t="s">
        <v>132</v>
      </c>
      <c r="E1248" s="20" t="s">
        <v>3480</v>
      </c>
      <c r="F1248" s="20">
        <v>1</v>
      </c>
      <c r="G1248" s="20" t="s">
        <v>92</v>
      </c>
      <c r="H1248" s="20"/>
      <c r="I1248" s="21" t="s">
        <v>406</v>
      </c>
      <c r="J1248" s="21"/>
      <c r="K1248" s="21" t="s">
        <v>406</v>
      </c>
      <c r="L1248" s="21" t="s">
        <v>3481</v>
      </c>
      <c r="M1248" s="21" t="s">
        <v>62</v>
      </c>
      <c r="N1248" s="21" t="s">
        <v>712</v>
      </c>
    </row>
    <row r="1249" spans="1:14" ht="64.05" customHeight="1">
      <c r="A1249" s="20" t="s">
        <v>3455</v>
      </c>
      <c r="B1249" s="20" t="s">
        <v>25</v>
      </c>
      <c r="C1249" s="20" t="s">
        <v>131</v>
      </c>
      <c r="D1249" s="20" t="s">
        <v>132</v>
      </c>
      <c r="E1249" s="20" t="s">
        <v>3482</v>
      </c>
      <c r="F1249" s="20">
        <v>1</v>
      </c>
      <c r="G1249" s="20" t="s">
        <v>92</v>
      </c>
      <c r="H1249" s="20"/>
      <c r="I1249" s="21" t="s">
        <v>406</v>
      </c>
      <c r="J1249" s="21"/>
      <c r="K1249" s="21" t="s">
        <v>406</v>
      </c>
      <c r="L1249" s="21" t="s">
        <v>3483</v>
      </c>
      <c r="M1249" s="21" t="s">
        <v>102</v>
      </c>
      <c r="N1249" s="21"/>
    </row>
    <row r="1250" spans="1:14" ht="64.05" customHeight="1">
      <c r="A1250" s="20" t="s">
        <v>3455</v>
      </c>
      <c r="B1250" s="20" t="s">
        <v>25</v>
      </c>
      <c r="C1250" s="20" t="s">
        <v>131</v>
      </c>
      <c r="D1250" s="20" t="s">
        <v>132</v>
      </c>
      <c r="E1250" s="20" t="s">
        <v>3484</v>
      </c>
      <c r="F1250" s="20">
        <v>1</v>
      </c>
      <c r="G1250" s="20" t="s">
        <v>92</v>
      </c>
      <c r="H1250" s="20"/>
      <c r="I1250" s="21" t="s">
        <v>406</v>
      </c>
      <c r="J1250" s="21"/>
      <c r="K1250" s="21" t="s">
        <v>406</v>
      </c>
      <c r="L1250" s="21" t="s">
        <v>3483</v>
      </c>
      <c r="M1250" s="21" t="s">
        <v>102</v>
      </c>
      <c r="N1250" s="21"/>
    </row>
    <row r="1251" spans="1:14" ht="64.05" customHeight="1">
      <c r="A1251" s="20" t="s">
        <v>3455</v>
      </c>
      <c r="B1251" s="20" t="s">
        <v>25</v>
      </c>
      <c r="C1251" s="20" t="s">
        <v>131</v>
      </c>
      <c r="D1251" s="20" t="s">
        <v>132</v>
      </c>
      <c r="E1251" s="20" t="s">
        <v>3485</v>
      </c>
      <c r="F1251" s="20">
        <v>1</v>
      </c>
      <c r="G1251" s="20" t="s">
        <v>92</v>
      </c>
      <c r="H1251" s="20"/>
      <c r="I1251" s="21" t="s">
        <v>406</v>
      </c>
      <c r="J1251" s="21"/>
      <c r="K1251" s="21" t="s">
        <v>406</v>
      </c>
      <c r="L1251" s="21" t="s">
        <v>3483</v>
      </c>
      <c r="M1251" s="21" t="s">
        <v>102</v>
      </c>
      <c r="N1251" s="21"/>
    </row>
    <row r="1252" spans="1:14" ht="64.05" customHeight="1">
      <c r="A1252" s="20" t="s">
        <v>3455</v>
      </c>
      <c r="B1252" s="20" t="s">
        <v>24</v>
      </c>
      <c r="C1252" s="20" t="s">
        <v>426</v>
      </c>
      <c r="D1252" s="20" t="s">
        <v>427</v>
      </c>
      <c r="E1252" s="20" t="s">
        <v>3486</v>
      </c>
      <c r="F1252" s="20">
        <v>1</v>
      </c>
      <c r="G1252" s="20" t="s">
        <v>92</v>
      </c>
      <c r="H1252" s="20"/>
      <c r="I1252" s="21" t="s">
        <v>3487</v>
      </c>
      <c r="J1252" s="21"/>
      <c r="K1252" s="21"/>
      <c r="L1252" s="21" t="s">
        <v>3488</v>
      </c>
      <c r="M1252" s="21" t="s">
        <v>62</v>
      </c>
      <c r="N1252" s="21" t="s">
        <v>712</v>
      </c>
    </row>
    <row r="1253" spans="1:14" ht="64.05" customHeight="1">
      <c r="A1253" s="20" t="s">
        <v>3455</v>
      </c>
      <c r="B1253" s="20" t="s">
        <v>24</v>
      </c>
      <c r="C1253" s="20" t="s">
        <v>431</v>
      </c>
      <c r="D1253" s="20" t="s">
        <v>216</v>
      </c>
      <c r="E1253" s="20" t="s">
        <v>3489</v>
      </c>
      <c r="F1253" s="20">
        <v>1</v>
      </c>
      <c r="G1253" s="20" t="s">
        <v>3490</v>
      </c>
      <c r="H1253" s="20"/>
      <c r="I1253" s="21" t="s">
        <v>112</v>
      </c>
      <c r="J1253" s="21"/>
      <c r="K1253" s="21"/>
      <c r="L1253" s="21" t="s">
        <v>3491</v>
      </c>
      <c r="M1253" s="21" t="s">
        <v>62</v>
      </c>
      <c r="N1253" s="21" t="s">
        <v>187</v>
      </c>
    </row>
    <row r="1254" spans="1:14" ht="64.05" customHeight="1">
      <c r="A1254" s="20" t="s">
        <v>3455</v>
      </c>
      <c r="B1254" s="20" t="s">
        <v>24</v>
      </c>
      <c r="C1254" s="20" t="s">
        <v>431</v>
      </c>
      <c r="D1254" s="20" t="s">
        <v>216</v>
      </c>
      <c r="E1254" s="20" t="s">
        <v>3492</v>
      </c>
      <c r="F1254" s="20">
        <v>1</v>
      </c>
      <c r="G1254" s="20" t="s">
        <v>3490</v>
      </c>
      <c r="H1254" s="20"/>
      <c r="I1254" s="21" t="s">
        <v>112</v>
      </c>
      <c r="J1254" s="21"/>
      <c r="K1254" s="21"/>
      <c r="L1254" s="21" t="s">
        <v>3493</v>
      </c>
      <c r="M1254" s="21" t="s">
        <v>62</v>
      </c>
      <c r="N1254" s="21" t="s">
        <v>712</v>
      </c>
    </row>
    <row r="1255" spans="1:14" ht="64.05" customHeight="1">
      <c r="A1255" s="20" t="s">
        <v>3455</v>
      </c>
      <c r="B1255" s="20" t="s">
        <v>24</v>
      </c>
      <c r="C1255" s="20" t="s">
        <v>136</v>
      </c>
      <c r="D1255" s="20" t="s">
        <v>674</v>
      </c>
      <c r="E1255" s="20" t="s">
        <v>3494</v>
      </c>
      <c r="F1255" s="20">
        <v>1</v>
      </c>
      <c r="G1255" s="20" t="s">
        <v>3495</v>
      </c>
      <c r="H1255" s="20"/>
      <c r="I1255" s="21" t="s">
        <v>406</v>
      </c>
      <c r="J1255" s="21"/>
      <c r="K1255" s="21" t="s">
        <v>406</v>
      </c>
      <c r="L1255" s="21" t="s">
        <v>3496</v>
      </c>
      <c r="M1255" s="21" t="s">
        <v>62</v>
      </c>
      <c r="N1255" s="21" t="s">
        <v>130</v>
      </c>
    </row>
    <row r="1256" spans="1:14" ht="64.05" customHeight="1">
      <c r="A1256" s="20" t="s">
        <v>3455</v>
      </c>
      <c r="B1256" s="20" t="s">
        <v>24</v>
      </c>
      <c r="C1256" s="20" t="s">
        <v>136</v>
      </c>
      <c r="D1256" s="20" t="s">
        <v>674</v>
      </c>
      <c r="E1256" s="20" t="s">
        <v>3497</v>
      </c>
      <c r="F1256" s="20">
        <v>1</v>
      </c>
      <c r="G1256" s="20" t="s">
        <v>3495</v>
      </c>
      <c r="H1256" s="20"/>
      <c r="I1256" s="21" t="s">
        <v>406</v>
      </c>
      <c r="J1256" s="21"/>
      <c r="K1256" s="21" t="s">
        <v>406</v>
      </c>
      <c r="L1256" s="21" t="s">
        <v>3498</v>
      </c>
      <c r="M1256" s="21" t="s">
        <v>62</v>
      </c>
      <c r="N1256" s="21" t="s">
        <v>63</v>
      </c>
    </row>
    <row r="1257" spans="1:14" ht="64.05" customHeight="1">
      <c r="A1257" s="20" t="s">
        <v>3455</v>
      </c>
      <c r="B1257" s="20" t="s">
        <v>24</v>
      </c>
      <c r="C1257" s="20" t="s">
        <v>136</v>
      </c>
      <c r="D1257" s="20" t="s">
        <v>674</v>
      </c>
      <c r="E1257" s="20" t="s">
        <v>3499</v>
      </c>
      <c r="F1257" s="20">
        <v>1</v>
      </c>
      <c r="G1257" s="20" t="s">
        <v>3500</v>
      </c>
      <c r="H1257" s="20" t="s">
        <v>2188</v>
      </c>
      <c r="I1257" s="21"/>
      <c r="J1257" s="21"/>
      <c r="K1257" s="21"/>
      <c r="L1257" s="21" t="s">
        <v>3501</v>
      </c>
      <c r="M1257" s="21" t="s">
        <v>62</v>
      </c>
      <c r="N1257" s="21" t="s">
        <v>130</v>
      </c>
    </row>
    <row r="1258" spans="1:14" ht="64.05" customHeight="1">
      <c r="A1258" s="20" t="s">
        <v>3455</v>
      </c>
      <c r="B1258" s="20" t="s">
        <v>24</v>
      </c>
      <c r="C1258" s="20" t="s">
        <v>443</v>
      </c>
      <c r="D1258" s="20" t="s">
        <v>444</v>
      </c>
      <c r="E1258" s="20" t="s">
        <v>3502</v>
      </c>
      <c r="F1258" s="20">
        <v>1</v>
      </c>
      <c r="G1258" s="20" t="s">
        <v>92</v>
      </c>
      <c r="H1258" s="20"/>
      <c r="I1258" s="21" t="s">
        <v>3503</v>
      </c>
      <c r="J1258" s="21"/>
      <c r="K1258" s="21" t="s">
        <v>3504</v>
      </c>
      <c r="L1258" s="21" t="s">
        <v>3505</v>
      </c>
      <c r="M1258" s="21" t="s">
        <v>73</v>
      </c>
      <c r="N1258" s="21"/>
    </row>
    <row r="1259" spans="1:14" ht="64.05" customHeight="1">
      <c r="A1259" s="20" t="s">
        <v>3455</v>
      </c>
      <c r="B1259" s="20" t="s">
        <v>28</v>
      </c>
      <c r="C1259" s="20" t="s">
        <v>167</v>
      </c>
      <c r="D1259" s="20" t="s">
        <v>168</v>
      </c>
      <c r="E1259" s="20" t="s">
        <v>3506</v>
      </c>
      <c r="F1259" s="20">
        <v>1</v>
      </c>
      <c r="G1259" s="20" t="s">
        <v>92</v>
      </c>
      <c r="H1259" s="20"/>
      <c r="I1259" s="21" t="s">
        <v>406</v>
      </c>
      <c r="J1259" s="21"/>
      <c r="K1259" s="21" t="s">
        <v>406</v>
      </c>
      <c r="L1259" s="21" t="s">
        <v>3507</v>
      </c>
      <c r="M1259" s="21" t="s">
        <v>102</v>
      </c>
      <c r="N1259" s="21"/>
    </row>
    <row r="1260" spans="1:14" ht="64.05" customHeight="1">
      <c r="A1260" s="20" t="s">
        <v>3455</v>
      </c>
      <c r="B1260" s="20" t="s">
        <v>28</v>
      </c>
      <c r="C1260" s="20" t="s">
        <v>167</v>
      </c>
      <c r="D1260" s="20" t="s">
        <v>168</v>
      </c>
      <c r="E1260" s="20" t="s">
        <v>3508</v>
      </c>
      <c r="F1260" s="20">
        <v>1</v>
      </c>
      <c r="G1260" s="20" t="s">
        <v>92</v>
      </c>
      <c r="H1260" s="20"/>
      <c r="I1260" s="21" t="s">
        <v>3509</v>
      </c>
      <c r="J1260" s="21"/>
      <c r="K1260" s="21" t="s">
        <v>3510</v>
      </c>
      <c r="L1260" s="21" t="s">
        <v>3511</v>
      </c>
      <c r="M1260" s="21" t="s">
        <v>62</v>
      </c>
      <c r="N1260" s="21" t="s">
        <v>130</v>
      </c>
    </row>
    <row r="1261" spans="1:14" ht="64.05" customHeight="1">
      <c r="A1261" s="20" t="s">
        <v>3455</v>
      </c>
      <c r="B1261" s="20" t="s">
        <v>28</v>
      </c>
      <c r="C1261" s="20" t="s">
        <v>167</v>
      </c>
      <c r="D1261" s="20" t="s">
        <v>168</v>
      </c>
      <c r="E1261" s="20" t="s">
        <v>3512</v>
      </c>
      <c r="F1261" s="20">
        <v>1</v>
      </c>
      <c r="G1261" s="20" t="s">
        <v>1066</v>
      </c>
      <c r="H1261" s="20" t="s">
        <v>1732</v>
      </c>
      <c r="I1261" s="21" t="s">
        <v>3513</v>
      </c>
      <c r="J1261" s="21"/>
      <c r="K1261" s="21" t="s">
        <v>1371</v>
      </c>
      <c r="L1261" s="21" t="s">
        <v>3514</v>
      </c>
      <c r="M1261" s="21" t="s">
        <v>62</v>
      </c>
      <c r="N1261" s="21" t="s">
        <v>130</v>
      </c>
    </row>
    <row r="1262" spans="1:14" ht="64.05" customHeight="1">
      <c r="A1262" s="20" t="s">
        <v>3455</v>
      </c>
      <c r="B1262" s="20" t="s">
        <v>27</v>
      </c>
      <c r="C1262" s="20" t="s">
        <v>475</v>
      </c>
      <c r="D1262" s="20" t="s">
        <v>476</v>
      </c>
      <c r="E1262" s="20" t="s">
        <v>3515</v>
      </c>
      <c r="F1262" s="20">
        <v>1</v>
      </c>
      <c r="G1262" s="20" t="s">
        <v>3516</v>
      </c>
      <c r="H1262" s="20" t="s">
        <v>3086</v>
      </c>
      <c r="I1262" s="21"/>
      <c r="J1262" s="21"/>
      <c r="K1262" s="21"/>
      <c r="L1262" s="21" t="s">
        <v>3517</v>
      </c>
      <c r="M1262" s="21" t="s">
        <v>73</v>
      </c>
      <c r="N1262" s="21"/>
    </row>
    <row r="1263" spans="1:14" ht="64.05" customHeight="1">
      <c r="A1263" s="20" t="s">
        <v>3455</v>
      </c>
      <c r="B1263" s="20" t="s">
        <v>27</v>
      </c>
      <c r="C1263" s="20" t="s">
        <v>475</v>
      </c>
      <c r="D1263" s="20" t="s">
        <v>476</v>
      </c>
      <c r="E1263" s="20" t="s">
        <v>3518</v>
      </c>
      <c r="F1263" s="20">
        <v>1</v>
      </c>
      <c r="G1263" s="20" t="s">
        <v>3516</v>
      </c>
      <c r="H1263" s="20" t="s">
        <v>3086</v>
      </c>
      <c r="I1263" s="21"/>
      <c r="J1263" s="21"/>
      <c r="K1263" s="21"/>
      <c r="L1263" s="21" t="s">
        <v>3517</v>
      </c>
      <c r="M1263" s="21" t="s">
        <v>73</v>
      </c>
      <c r="N1263" s="21"/>
    </row>
    <row r="1264" spans="1:14" ht="64.05" customHeight="1">
      <c r="A1264" s="20" t="s">
        <v>3455</v>
      </c>
      <c r="B1264" s="20" t="s">
        <v>27</v>
      </c>
      <c r="C1264" s="20" t="s">
        <v>475</v>
      </c>
      <c r="D1264" s="20" t="s">
        <v>476</v>
      </c>
      <c r="E1264" s="20" t="s">
        <v>3519</v>
      </c>
      <c r="F1264" s="20">
        <v>1</v>
      </c>
      <c r="G1264" s="20" t="s">
        <v>3516</v>
      </c>
      <c r="H1264" s="20" t="s">
        <v>3086</v>
      </c>
      <c r="I1264" s="21"/>
      <c r="J1264" s="21"/>
      <c r="K1264" s="21"/>
      <c r="L1264" s="21" t="s">
        <v>3517</v>
      </c>
      <c r="M1264" s="21" t="s">
        <v>73</v>
      </c>
      <c r="N1264" s="21"/>
    </row>
    <row r="1265" spans="1:14" ht="64.05" customHeight="1">
      <c r="A1265" s="20" t="s">
        <v>3455</v>
      </c>
      <c r="B1265" s="20" t="s">
        <v>27</v>
      </c>
      <c r="C1265" s="20" t="s">
        <v>475</v>
      </c>
      <c r="D1265" s="20" t="s">
        <v>476</v>
      </c>
      <c r="E1265" s="20" t="s">
        <v>3520</v>
      </c>
      <c r="F1265" s="20">
        <v>1</v>
      </c>
      <c r="G1265" s="20" t="s">
        <v>92</v>
      </c>
      <c r="H1265" s="20"/>
      <c r="I1265" s="21" t="s">
        <v>3521</v>
      </c>
      <c r="J1265" s="21"/>
      <c r="K1265" s="21" t="s">
        <v>3522</v>
      </c>
      <c r="L1265" s="21" t="s">
        <v>3523</v>
      </c>
      <c r="M1265" s="21" t="s">
        <v>102</v>
      </c>
      <c r="N1265" s="21"/>
    </row>
    <row r="1266" spans="1:14" ht="64.05" customHeight="1">
      <c r="A1266" s="20" t="s">
        <v>3455</v>
      </c>
      <c r="B1266" s="20" t="s">
        <v>30</v>
      </c>
      <c r="C1266" s="20" t="s">
        <v>180</v>
      </c>
      <c r="D1266" s="20" t="s">
        <v>181</v>
      </c>
      <c r="E1266" s="20" t="s">
        <v>3524</v>
      </c>
      <c r="F1266" s="20">
        <v>1</v>
      </c>
      <c r="G1266" s="20" t="s">
        <v>3525</v>
      </c>
      <c r="H1266" s="20" t="s">
        <v>3526</v>
      </c>
      <c r="I1266" s="21" t="s">
        <v>699</v>
      </c>
      <c r="J1266" s="21"/>
      <c r="K1266" s="21"/>
      <c r="L1266" s="21" t="s">
        <v>3527</v>
      </c>
      <c r="M1266" s="21" t="s">
        <v>73</v>
      </c>
      <c r="N1266" s="21"/>
    </row>
    <row r="1267" spans="1:14" ht="64.05" customHeight="1">
      <c r="A1267" s="20" t="s">
        <v>3455</v>
      </c>
      <c r="B1267" s="20" t="s">
        <v>30</v>
      </c>
      <c r="C1267" s="20" t="s">
        <v>180</v>
      </c>
      <c r="D1267" s="20" t="s">
        <v>181</v>
      </c>
      <c r="E1267" s="20" t="s">
        <v>3528</v>
      </c>
      <c r="F1267" s="20">
        <v>1</v>
      </c>
      <c r="G1267" s="20" t="s">
        <v>3525</v>
      </c>
      <c r="H1267" s="20" t="s">
        <v>3526</v>
      </c>
      <c r="I1267" s="21" t="s">
        <v>699</v>
      </c>
      <c r="J1267" s="21"/>
      <c r="K1267" s="21"/>
      <c r="L1267" s="21" t="s">
        <v>3527</v>
      </c>
      <c r="M1267" s="21" t="s">
        <v>73</v>
      </c>
      <c r="N1267" s="21"/>
    </row>
    <row r="1268" spans="1:14" ht="64.05" customHeight="1">
      <c r="A1268" s="20" t="s">
        <v>3455</v>
      </c>
      <c r="B1268" s="20" t="s">
        <v>30</v>
      </c>
      <c r="C1268" s="20" t="s">
        <v>180</v>
      </c>
      <c r="D1268" s="20" t="s">
        <v>181</v>
      </c>
      <c r="E1268" s="20" t="s">
        <v>3529</v>
      </c>
      <c r="F1268" s="20">
        <v>1</v>
      </c>
      <c r="G1268" s="20" t="s">
        <v>901</v>
      </c>
      <c r="H1268" s="20" t="s">
        <v>1421</v>
      </c>
      <c r="I1268" s="21" t="s">
        <v>699</v>
      </c>
      <c r="J1268" s="21"/>
      <c r="K1268" s="21"/>
      <c r="L1268" s="21" t="s">
        <v>3527</v>
      </c>
      <c r="M1268" s="21" t="s">
        <v>73</v>
      </c>
      <c r="N1268" s="21"/>
    </row>
    <row r="1269" spans="1:14" ht="64.05" customHeight="1">
      <c r="A1269" s="20" t="s">
        <v>3455</v>
      </c>
      <c r="B1269" s="20" t="s">
        <v>30</v>
      </c>
      <c r="C1269" s="20" t="s">
        <v>180</v>
      </c>
      <c r="D1269" s="20" t="s">
        <v>181</v>
      </c>
      <c r="E1269" s="20" t="s">
        <v>3530</v>
      </c>
      <c r="F1269" s="20">
        <v>1</v>
      </c>
      <c r="G1269" s="20" t="s">
        <v>901</v>
      </c>
      <c r="H1269" s="20" t="s">
        <v>1421</v>
      </c>
      <c r="I1269" s="21" t="s">
        <v>699</v>
      </c>
      <c r="J1269" s="21"/>
      <c r="K1269" s="21"/>
      <c r="L1269" s="21" t="s">
        <v>3527</v>
      </c>
      <c r="M1269" s="21" t="s">
        <v>73</v>
      </c>
      <c r="N1269" s="21"/>
    </row>
    <row r="1270" spans="1:14" ht="64.05" customHeight="1">
      <c r="A1270" s="20" t="s">
        <v>3455</v>
      </c>
      <c r="B1270" s="20" t="s">
        <v>30</v>
      </c>
      <c r="C1270" s="20" t="s">
        <v>180</v>
      </c>
      <c r="D1270" s="20" t="s">
        <v>181</v>
      </c>
      <c r="E1270" s="20" t="s">
        <v>3531</v>
      </c>
      <c r="F1270" s="20">
        <v>1</v>
      </c>
      <c r="G1270" s="20" t="s">
        <v>901</v>
      </c>
      <c r="H1270" s="20" t="s">
        <v>1421</v>
      </c>
      <c r="I1270" s="21" t="s">
        <v>3532</v>
      </c>
      <c r="J1270" s="21"/>
      <c r="K1270" s="21"/>
      <c r="L1270" s="21" t="s">
        <v>3527</v>
      </c>
      <c r="M1270" s="21" t="s">
        <v>73</v>
      </c>
      <c r="N1270" s="21"/>
    </row>
    <row r="1271" spans="1:14" ht="64.05" customHeight="1">
      <c r="A1271" s="20" t="s">
        <v>3455</v>
      </c>
      <c r="B1271" s="20" t="s">
        <v>30</v>
      </c>
      <c r="C1271" s="20" t="s">
        <v>180</v>
      </c>
      <c r="D1271" s="20" t="s">
        <v>181</v>
      </c>
      <c r="E1271" s="20" t="s">
        <v>3533</v>
      </c>
      <c r="F1271" s="20">
        <v>1</v>
      </c>
      <c r="G1271" s="20" t="s">
        <v>901</v>
      </c>
      <c r="H1271" s="20" t="s">
        <v>1421</v>
      </c>
      <c r="I1271" s="21" t="s">
        <v>699</v>
      </c>
      <c r="J1271" s="21"/>
      <c r="K1271" s="21"/>
      <c r="L1271" s="21" t="s">
        <v>3527</v>
      </c>
      <c r="M1271" s="21" t="s">
        <v>73</v>
      </c>
      <c r="N1271" s="21"/>
    </row>
    <row r="1272" spans="1:14" ht="64.05" customHeight="1">
      <c r="A1272" s="20" t="s">
        <v>3455</v>
      </c>
      <c r="B1272" s="20" t="s">
        <v>30</v>
      </c>
      <c r="C1272" s="20" t="s">
        <v>180</v>
      </c>
      <c r="D1272" s="20" t="s">
        <v>181</v>
      </c>
      <c r="E1272" s="20" t="s">
        <v>3534</v>
      </c>
      <c r="F1272" s="20">
        <v>1</v>
      </c>
      <c r="G1272" s="20" t="s">
        <v>429</v>
      </c>
      <c r="H1272" s="20"/>
      <c r="I1272" s="21" t="s">
        <v>3535</v>
      </c>
      <c r="J1272" s="21"/>
      <c r="K1272" s="21"/>
      <c r="L1272" s="21" t="s">
        <v>3536</v>
      </c>
      <c r="M1272" s="21" t="s">
        <v>102</v>
      </c>
      <c r="N1272" s="21"/>
    </row>
    <row r="1273" spans="1:14" ht="64.05" customHeight="1">
      <c r="A1273" s="20" t="s">
        <v>3455</v>
      </c>
      <c r="B1273" s="20" t="s">
        <v>30</v>
      </c>
      <c r="C1273" s="20" t="s">
        <v>180</v>
      </c>
      <c r="D1273" s="20" t="s">
        <v>181</v>
      </c>
      <c r="E1273" s="20" t="s">
        <v>3537</v>
      </c>
      <c r="F1273" s="20">
        <v>1</v>
      </c>
      <c r="G1273" s="20" t="s">
        <v>901</v>
      </c>
      <c r="H1273" s="20" t="s">
        <v>1421</v>
      </c>
      <c r="I1273" s="21" t="s">
        <v>3538</v>
      </c>
      <c r="J1273" s="21"/>
      <c r="K1273" s="21"/>
      <c r="L1273" s="21" t="s">
        <v>3539</v>
      </c>
      <c r="M1273" s="21" t="s">
        <v>62</v>
      </c>
      <c r="N1273" s="21" t="s">
        <v>624</v>
      </c>
    </row>
    <row r="1274" spans="1:14" ht="64.05" customHeight="1">
      <c r="A1274" s="20" t="s">
        <v>3455</v>
      </c>
      <c r="B1274" s="20" t="s">
        <v>30</v>
      </c>
      <c r="C1274" s="20" t="s">
        <v>188</v>
      </c>
      <c r="D1274" s="20" t="s">
        <v>189</v>
      </c>
      <c r="E1274" s="20" t="s">
        <v>3540</v>
      </c>
      <c r="F1274" s="20">
        <v>1</v>
      </c>
      <c r="G1274" s="20" t="s">
        <v>92</v>
      </c>
      <c r="H1274" s="20"/>
      <c r="I1274" s="21" t="s">
        <v>112</v>
      </c>
      <c r="J1274" s="21"/>
      <c r="K1274" s="21" t="s">
        <v>112</v>
      </c>
      <c r="L1274" s="21" t="s">
        <v>3541</v>
      </c>
      <c r="M1274" s="21" t="s">
        <v>102</v>
      </c>
      <c r="N1274" s="21"/>
    </row>
    <row r="1275" spans="1:14" ht="64.05" customHeight="1">
      <c r="A1275" s="20" t="s">
        <v>3455</v>
      </c>
      <c r="B1275" s="20" t="s">
        <v>29</v>
      </c>
      <c r="C1275" s="20" t="s">
        <v>1084</v>
      </c>
      <c r="D1275" s="20" t="s">
        <v>1085</v>
      </c>
      <c r="E1275" s="20" t="s">
        <v>3542</v>
      </c>
      <c r="F1275" s="20">
        <v>1</v>
      </c>
      <c r="G1275" s="20" t="s">
        <v>1066</v>
      </c>
      <c r="H1275" s="20" t="s">
        <v>1732</v>
      </c>
      <c r="I1275" s="21" t="s">
        <v>3543</v>
      </c>
      <c r="J1275" s="21"/>
      <c r="K1275" s="21" t="s">
        <v>109</v>
      </c>
      <c r="L1275" s="21" t="s">
        <v>3544</v>
      </c>
      <c r="M1275" s="21" t="s">
        <v>73</v>
      </c>
      <c r="N1275" s="21"/>
    </row>
    <row r="1276" spans="1:14" ht="64.05" customHeight="1">
      <c r="A1276" s="20" t="s">
        <v>3455</v>
      </c>
      <c r="B1276" s="20" t="s">
        <v>29</v>
      </c>
      <c r="C1276" s="20" t="s">
        <v>1084</v>
      </c>
      <c r="D1276" s="20" t="s">
        <v>1085</v>
      </c>
      <c r="E1276" s="20" t="s">
        <v>3545</v>
      </c>
      <c r="F1276" s="20">
        <v>1</v>
      </c>
      <c r="G1276" s="20" t="s">
        <v>1545</v>
      </c>
      <c r="H1276" s="20" t="s">
        <v>3546</v>
      </c>
      <c r="I1276" s="21" t="s">
        <v>3547</v>
      </c>
      <c r="J1276" s="21"/>
      <c r="K1276" s="21" t="s">
        <v>109</v>
      </c>
      <c r="L1276" s="21" t="s">
        <v>3548</v>
      </c>
      <c r="M1276" s="21" t="s">
        <v>73</v>
      </c>
      <c r="N1276" s="21"/>
    </row>
    <row r="1277" spans="1:14" ht="64.05" customHeight="1">
      <c r="A1277" s="20" t="s">
        <v>3455</v>
      </c>
      <c r="B1277" s="20" t="s">
        <v>29</v>
      </c>
      <c r="C1277" s="20" t="s">
        <v>1084</v>
      </c>
      <c r="D1277" s="20" t="s">
        <v>1085</v>
      </c>
      <c r="E1277" s="20" t="s">
        <v>3549</v>
      </c>
      <c r="F1277" s="20">
        <v>1</v>
      </c>
      <c r="G1277" s="20" t="s">
        <v>1545</v>
      </c>
      <c r="H1277" s="20" t="s">
        <v>3546</v>
      </c>
      <c r="I1277" s="21" t="s">
        <v>3547</v>
      </c>
      <c r="J1277" s="21"/>
      <c r="K1277" s="21" t="s">
        <v>109</v>
      </c>
      <c r="L1277" s="21" t="s">
        <v>3548</v>
      </c>
      <c r="M1277" s="21" t="s">
        <v>73</v>
      </c>
      <c r="N1277" s="21"/>
    </row>
    <row r="1278" spans="1:14" ht="64.05" customHeight="1">
      <c r="A1278" s="20" t="s">
        <v>3455</v>
      </c>
      <c r="B1278" s="20" t="s">
        <v>29</v>
      </c>
      <c r="C1278" s="20" t="s">
        <v>1084</v>
      </c>
      <c r="D1278" s="20" t="s">
        <v>1085</v>
      </c>
      <c r="E1278" s="20" t="s">
        <v>3550</v>
      </c>
      <c r="F1278" s="20">
        <v>1</v>
      </c>
      <c r="G1278" s="20" t="s">
        <v>1545</v>
      </c>
      <c r="H1278" s="20" t="s">
        <v>3546</v>
      </c>
      <c r="I1278" s="21" t="s">
        <v>3547</v>
      </c>
      <c r="J1278" s="21"/>
      <c r="K1278" s="21" t="s">
        <v>109</v>
      </c>
      <c r="L1278" s="21" t="s">
        <v>3548</v>
      </c>
      <c r="M1278" s="21" t="s">
        <v>73</v>
      </c>
      <c r="N1278" s="21"/>
    </row>
    <row r="1279" spans="1:14" ht="64.05" customHeight="1">
      <c r="A1279" s="20" t="s">
        <v>3455</v>
      </c>
      <c r="B1279" s="20" t="s">
        <v>29</v>
      </c>
      <c r="C1279" s="20" t="s">
        <v>1084</v>
      </c>
      <c r="D1279" s="20" t="s">
        <v>1085</v>
      </c>
      <c r="E1279" s="20" t="s">
        <v>3551</v>
      </c>
      <c r="F1279" s="20">
        <v>1</v>
      </c>
      <c r="G1279" s="20" t="s">
        <v>1545</v>
      </c>
      <c r="H1279" s="20" t="s">
        <v>3546</v>
      </c>
      <c r="I1279" s="21" t="s">
        <v>112</v>
      </c>
      <c r="J1279" s="21"/>
      <c r="K1279" s="21" t="s">
        <v>112</v>
      </c>
      <c r="L1279" s="21" t="s">
        <v>3552</v>
      </c>
      <c r="M1279" s="21" t="s">
        <v>62</v>
      </c>
      <c r="N1279" s="21" t="s">
        <v>187</v>
      </c>
    </row>
    <row r="1280" spans="1:14" ht="64.05" customHeight="1">
      <c r="A1280" s="20" t="s">
        <v>3455</v>
      </c>
      <c r="B1280" s="20" t="s">
        <v>29</v>
      </c>
      <c r="C1280" s="20" t="s">
        <v>1084</v>
      </c>
      <c r="D1280" s="20" t="s">
        <v>1085</v>
      </c>
      <c r="E1280" s="20" t="s">
        <v>3553</v>
      </c>
      <c r="F1280" s="20">
        <v>1</v>
      </c>
      <c r="G1280" s="20" t="s">
        <v>92</v>
      </c>
      <c r="H1280" s="20"/>
      <c r="I1280" s="21" t="s">
        <v>112</v>
      </c>
      <c r="J1280" s="21"/>
      <c r="K1280" s="21" t="s">
        <v>112</v>
      </c>
      <c r="L1280" s="21" t="s">
        <v>3554</v>
      </c>
      <c r="M1280" s="21" t="s">
        <v>102</v>
      </c>
      <c r="N1280" s="21"/>
    </row>
    <row r="1281" spans="1:14" ht="64.05" customHeight="1">
      <c r="A1281" s="20" t="s">
        <v>3455</v>
      </c>
      <c r="B1281" s="20" t="s">
        <v>29</v>
      </c>
      <c r="C1281" s="20" t="s">
        <v>1084</v>
      </c>
      <c r="D1281" s="20" t="s">
        <v>1085</v>
      </c>
      <c r="E1281" s="20" t="s">
        <v>3555</v>
      </c>
      <c r="F1281" s="20">
        <v>1</v>
      </c>
      <c r="G1281" s="20" t="s">
        <v>1545</v>
      </c>
      <c r="H1281" s="20" t="s">
        <v>3546</v>
      </c>
      <c r="I1281" s="21" t="s">
        <v>3556</v>
      </c>
      <c r="J1281" s="21"/>
      <c r="K1281" s="21" t="s">
        <v>3557</v>
      </c>
      <c r="L1281" s="21" t="s">
        <v>3558</v>
      </c>
      <c r="M1281" s="21" t="s">
        <v>62</v>
      </c>
      <c r="N1281" s="21" t="s">
        <v>712</v>
      </c>
    </row>
    <row r="1282" spans="1:14" ht="64.05" customHeight="1">
      <c r="A1282" s="20" t="s">
        <v>3559</v>
      </c>
      <c r="B1282" s="20" t="s">
        <v>20</v>
      </c>
      <c r="C1282" s="20" t="s">
        <v>3560</v>
      </c>
      <c r="D1282" s="20" t="s">
        <v>1070</v>
      </c>
      <c r="E1282" s="20" t="s">
        <v>3561</v>
      </c>
      <c r="F1282" s="20">
        <v>1</v>
      </c>
      <c r="G1282" s="20" t="s">
        <v>3562</v>
      </c>
      <c r="H1282" s="20" t="s">
        <v>3563</v>
      </c>
      <c r="I1282" s="21" t="s">
        <v>3564</v>
      </c>
      <c r="J1282" s="21"/>
      <c r="K1282" s="21"/>
      <c r="L1282" s="21" t="s">
        <v>3565</v>
      </c>
      <c r="M1282" s="21" t="s">
        <v>73</v>
      </c>
      <c r="N1282" s="21"/>
    </row>
    <row r="1283" spans="1:14" ht="64.05" customHeight="1">
      <c r="A1283" s="20" t="s">
        <v>3559</v>
      </c>
      <c r="B1283" s="20" t="s">
        <v>20</v>
      </c>
      <c r="C1283" s="20" t="s">
        <v>3560</v>
      </c>
      <c r="D1283" s="20" t="s">
        <v>1070</v>
      </c>
      <c r="E1283" s="20" t="s">
        <v>3566</v>
      </c>
      <c r="F1283" s="20">
        <v>1</v>
      </c>
      <c r="G1283" s="20" t="s">
        <v>296</v>
      </c>
      <c r="H1283" s="20" t="s">
        <v>3567</v>
      </c>
      <c r="I1283" s="21" t="s">
        <v>517</v>
      </c>
      <c r="J1283" s="21"/>
      <c r="K1283" s="21"/>
      <c r="L1283" s="21" t="s">
        <v>3568</v>
      </c>
      <c r="M1283" s="21" t="s">
        <v>62</v>
      </c>
      <c r="N1283" s="21" t="s">
        <v>187</v>
      </c>
    </row>
    <row r="1284" spans="1:14" ht="64.05" customHeight="1">
      <c r="A1284" s="20" t="s">
        <v>3559</v>
      </c>
      <c r="B1284" s="20" t="s">
        <v>20</v>
      </c>
      <c r="C1284" s="20" t="s">
        <v>3560</v>
      </c>
      <c r="D1284" s="20" t="s">
        <v>1070</v>
      </c>
      <c r="E1284" s="20" t="s">
        <v>3569</v>
      </c>
      <c r="F1284" s="20">
        <v>1</v>
      </c>
      <c r="G1284" s="20" t="s">
        <v>296</v>
      </c>
      <c r="H1284" s="20" t="s">
        <v>3567</v>
      </c>
      <c r="I1284" s="21" t="s">
        <v>517</v>
      </c>
      <c r="J1284" s="21"/>
      <c r="K1284" s="21"/>
      <c r="L1284" s="21" t="s">
        <v>3570</v>
      </c>
      <c r="M1284" s="21" t="s">
        <v>62</v>
      </c>
      <c r="N1284" s="21" t="s">
        <v>187</v>
      </c>
    </row>
    <row r="1285" spans="1:14" ht="64.05" customHeight="1">
      <c r="A1285" s="20" t="s">
        <v>3559</v>
      </c>
      <c r="B1285" s="20" t="s">
        <v>20</v>
      </c>
      <c r="C1285" s="20" t="s">
        <v>3560</v>
      </c>
      <c r="D1285" s="20" t="s">
        <v>1070</v>
      </c>
      <c r="E1285" s="20" t="s">
        <v>3571</v>
      </c>
      <c r="F1285" s="20">
        <v>1</v>
      </c>
      <c r="G1285" s="20" t="s">
        <v>296</v>
      </c>
      <c r="H1285" s="20" t="s">
        <v>3567</v>
      </c>
      <c r="I1285" s="21" t="s">
        <v>3572</v>
      </c>
      <c r="J1285" s="21"/>
      <c r="K1285" s="21"/>
      <c r="L1285" s="21" t="s">
        <v>3573</v>
      </c>
      <c r="M1285" s="21" t="s">
        <v>102</v>
      </c>
      <c r="N1285" s="21"/>
    </row>
    <row r="1286" spans="1:14" ht="64.05" customHeight="1">
      <c r="A1286" s="20" t="s">
        <v>3559</v>
      </c>
      <c r="B1286" s="20" t="s">
        <v>20</v>
      </c>
      <c r="C1286" s="20" t="s">
        <v>65</v>
      </c>
      <c r="D1286" s="20" t="s">
        <v>66</v>
      </c>
      <c r="E1286" s="20" t="s">
        <v>3574</v>
      </c>
      <c r="F1286" s="20">
        <v>1</v>
      </c>
      <c r="G1286" s="20" t="s">
        <v>3575</v>
      </c>
      <c r="H1286" s="20" t="s">
        <v>3567</v>
      </c>
      <c r="I1286" s="21" t="s">
        <v>3576</v>
      </c>
      <c r="J1286" s="21" t="s">
        <v>245</v>
      </c>
      <c r="K1286" s="21"/>
      <c r="L1286" s="21" t="s">
        <v>3577</v>
      </c>
      <c r="M1286" s="21" t="s">
        <v>73</v>
      </c>
      <c r="N1286" s="21"/>
    </row>
    <row r="1287" spans="1:14" ht="64.05" customHeight="1">
      <c r="A1287" s="20" t="s">
        <v>3559</v>
      </c>
      <c r="B1287" s="20" t="s">
        <v>20</v>
      </c>
      <c r="C1287" s="20" t="s">
        <v>65</v>
      </c>
      <c r="D1287" s="20" t="s">
        <v>66</v>
      </c>
      <c r="E1287" s="20" t="s">
        <v>3578</v>
      </c>
      <c r="F1287" s="20">
        <v>1</v>
      </c>
      <c r="G1287" s="20" t="s">
        <v>3575</v>
      </c>
      <c r="H1287" s="20" t="s">
        <v>3567</v>
      </c>
      <c r="I1287" s="21" t="s">
        <v>3579</v>
      </c>
      <c r="J1287" s="21" t="s">
        <v>245</v>
      </c>
      <c r="K1287" s="21"/>
      <c r="L1287" s="21" t="s">
        <v>3577</v>
      </c>
      <c r="M1287" s="21" t="s">
        <v>73</v>
      </c>
      <c r="N1287" s="21"/>
    </row>
    <row r="1288" spans="1:14" ht="64.05" customHeight="1">
      <c r="A1288" s="20" t="s">
        <v>3559</v>
      </c>
      <c r="B1288" s="20" t="s">
        <v>20</v>
      </c>
      <c r="C1288" s="20" t="s">
        <v>65</v>
      </c>
      <c r="D1288" s="20" t="s">
        <v>66</v>
      </c>
      <c r="E1288" s="20" t="s">
        <v>3580</v>
      </c>
      <c r="F1288" s="20">
        <v>1</v>
      </c>
      <c r="G1288" s="20" t="s">
        <v>92</v>
      </c>
      <c r="H1288" s="20"/>
      <c r="I1288" s="21" t="s">
        <v>140</v>
      </c>
      <c r="J1288" s="21"/>
      <c r="K1288" s="21" t="s">
        <v>3581</v>
      </c>
      <c r="L1288" s="21" t="s">
        <v>3582</v>
      </c>
      <c r="M1288" s="21" t="s">
        <v>73</v>
      </c>
      <c r="N1288" s="21"/>
    </row>
    <row r="1289" spans="1:14" ht="64.05" customHeight="1">
      <c r="A1289" s="20" t="s">
        <v>3559</v>
      </c>
      <c r="B1289" s="20" t="s">
        <v>22</v>
      </c>
      <c r="C1289" s="20" t="s">
        <v>1149</v>
      </c>
      <c r="D1289" s="20" t="s">
        <v>1150</v>
      </c>
      <c r="E1289" s="20" t="s">
        <v>3583</v>
      </c>
      <c r="F1289" s="20">
        <v>1</v>
      </c>
      <c r="G1289" s="20" t="s">
        <v>92</v>
      </c>
      <c r="H1289" s="20"/>
      <c r="I1289" s="21" t="s">
        <v>3584</v>
      </c>
      <c r="J1289" s="21"/>
      <c r="K1289" s="21" t="s">
        <v>109</v>
      </c>
      <c r="L1289" s="21" t="s">
        <v>3585</v>
      </c>
      <c r="M1289" s="21" t="s">
        <v>73</v>
      </c>
      <c r="N1289" s="21"/>
    </row>
    <row r="1290" spans="1:14" ht="64.05" customHeight="1">
      <c r="A1290" s="20" t="s">
        <v>3559</v>
      </c>
      <c r="B1290" s="20" t="s">
        <v>22</v>
      </c>
      <c r="C1290" s="20" t="s">
        <v>1149</v>
      </c>
      <c r="D1290" s="20" t="s">
        <v>1150</v>
      </c>
      <c r="E1290" s="20" t="s">
        <v>3586</v>
      </c>
      <c r="F1290" s="20">
        <v>1</v>
      </c>
      <c r="G1290" s="20" t="s">
        <v>92</v>
      </c>
      <c r="H1290" s="20"/>
      <c r="I1290" s="21" t="s">
        <v>3587</v>
      </c>
      <c r="J1290" s="21"/>
      <c r="K1290" s="21" t="s">
        <v>109</v>
      </c>
      <c r="L1290" s="21" t="s">
        <v>3588</v>
      </c>
      <c r="M1290" s="21" t="s">
        <v>73</v>
      </c>
      <c r="N1290" s="21"/>
    </row>
    <row r="1291" spans="1:14" ht="64.05" customHeight="1">
      <c r="A1291" s="20" t="s">
        <v>3559</v>
      </c>
      <c r="B1291" s="20" t="s">
        <v>22</v>
      </c>
      <c r="C1291" s="20" t="s">
        <v>370</v>
      </c>
      <c r="D1291" s="20" t="s">
        <v>371</v>
      </c>
      <c r="E1291" s="20" t="s">
        <v>3589</v>
      </c>
      <c r="F1291" s="20">
        <v>1</v>
      </c>
      <c r="G1291" s="20" t="s">
        <v>92</v>
      </c>
      <c r="H1291" s="20"/>
      <c r="I1291" s="21" t="s">
        <v>3590</v>
      </c>
      <c r="J1291" s="21"/>
      <c r="K1291" s="21" t="s">
        <v>3591</v>
      </c>
      <c r="L1291" s="21" t="s">
        <v>3592</v>
      </c>
      <c r="M1291" s="21" t="s">
        <v>62</v>
      </c>
      <c r="N1291" s="21"/>
    </row>
    <row r="1292" spans="1:14" ht="64.05" customHeight="1">
      <c r="A1292" s="20" t="s">
        <v>3559</v>
      </c>
      <c r="B1292" s="20" t="s">
        <v>25</v>
      </c>
      <c r="C1292" s="20" t="s">
        <v>115</v>
      </c>
      <c r="D1292" s="20" t="s">
        <v>116</v>
      </c>
      <c r="E1292" s="20" t="s">
        <v>3593</v>
      </c>
      <c r="F1292" s="20">
        <v>1</v>
      </c>
      <c r="G1292" s="20" t="s">
        <v>139</v>
      </c>
      <c r="H1292" s="20"/>
      <c r="I1292" s="21"/>
      <c r="J1292" s="21"/>
      <c r="K1292" s="21"/>
      <c r="L1292" s="21" t="s">
        <v>3594</v>
      </c>
      <c r="M1292" s="21" t="s">
        <v>73</v>
      </c>
      <c r="N1292" s="21"/>
    </row>
    <row r="1293" spans="1:14" ht="64.05" customHeight="1">
      <c r="A1293" s="20" t="s">
        <v>3559</v>
      </c>
      <c r="B1293" s="20" t="s">
        <v>25</v>
      </c>
      <c r="C1293" s="20" t="s">
        <v>3595</v>
      </c>
      <c r="D1293" s="20" t="s">
        <v>116</v>
      </c>
      <c r="E1293" s="20" t="s">
        <v>3595</v>
      </c>
      <c r="F1293" s="20">
        <v>1</v>
      </c>
      <c r="G1293" s="20" t="s">
        <v>92</v>
      </c>
      <c r="H1293" s="20"/>
      <c r="I1293" s="21" t="s">
        <v>3596</v>
      </c>
      <c r="J1293" s="21"/>
      <c r="K1293" s="21" t="s">
        <v>109</v>
      </c>
      <c r="L1293" s="21" t="s">
        <v>3597</v>
      </c>
      <c r="M1293" s="21" t="s">
        <v>62</v>
      </c>
      <c r="N1293" s="21"/>
    </row>
    <row r="1294" spans="1:14" ht="64.05" customHeight="1">
      <c r="A1294" s="20" t="s">
        <v>3559</v>
      </c>
      <c r="B1294" s="20" t="s">
        <v>24</v>
      </c>
      <c r="C1294" s="20" t="s">
        <v>426</v>
      </c>
      <c r="D1294" s="20" t="s">
        <v>427</v>
      </c>
      <c r="E1294" s="20" t="s">
        <v>3598</v>
      </c>
      <c r="F1294" s="20">
        <v>1</v>
      </c>
      <c r="G1294" s="20" t="s">
        <v>1682</v>
      </c>
      <c r="H1294" s="20" t="s">
        <v>3599</v>
      </c>
      <c r="I1294" s="21" t="s">
        <v>517</v>
      </c>
      <c r="J1294" s="21"/>
      <c r="K1294" s="21"/>
      <c r="L1294" s="21" t="s">
        <v>3600</v>
      </c>
      <c r="M1294" s="21" t="s">
        <v>62</v>
      </c>
      <c r="N1294" s="21" t="s">
        <v>187</v>
      </c>
    </row>
    <row r="1295" spans="1:14" ht="64.05" customHeight="1">
      <c r="A1295" s="20" t="s">
        <v>3559</v>
      </c>
      <c r="B1295" s="20" t="s">
        <v>24</v>
      </c>
      <c r="C1295" s="20" t="s">
        <v>426</v>
      </c>
      <c r="D1295" s="20" t="s">
        <v>427</v>
      </c>
      <c r="E1295" s="20" t="s">
        <v>3601</v>
      </c>
      <c r="F1295" s="20">
        <v>1</v>
      </c>
      <c r="G1295" s="20" t="s">
        <v>1431</v>
      </c>
      <c r="H1295" s="20" t="s">
        <v>3602</v>
      </c>
      <c r="I1295" s="21" t="s">
        <v>3603</v>
      </c>
      <c r="J1295" s="21"/>
      <c r="K1295" s="21" t="s">
        <v>1398</v>
      </c>
      <c r="L1295" s="21" t="s">
        <v>3604</v>
      </c>
      <c r="M1295" s="21" t="s">
        <v>62</v>
      </c>
      <c r="N1295" s="21" t="s">
        <v>712</v>
      </c>
    </row>
    <row r="1296" spans="1:14" ht="64.05" customHeight="1">
      <c r="A1296" s="20" t="s">
        <v>3559</v>
      </c>
      <c r="B1296" s="20" t="s">
        <v>24</v>
      </c>
      <c r="C1296" s="20" t="s">
        <v>426</v>
      </c>
      <c r="D1296" s="20" t="s">
        <v>427</v>
      </c>
      <c r="E1296" s="20" t="s">
        <v>3605</v>
      </c>
      <c r="F1296" s="20">
        <v>1</v>
      </c>
      <c r="G1296" s="20" t="s">
        <v>1431</v>
      </c>
      <c r="H1296" s="20" t="s">
        <v>3602</v>
      </c>
      <c r="I1296" s="21" t="s">
        <v>3603</v>
      </c>
      <c r="J1296" s="21"/>
      <c r="K1296" s="21" t="s">
        <v>1398</v>
      </c>
      <c r="L1296" s="21" t="s">
        <v>3606</v>
      </c>
      <c r="M1296" s="21" t="s">
        <v>62</v>
      </c>
      <c r="N1296" s="21" t="s">
        <v>712</v>
      </c>
    </row>
    <row r="1297" spans="1:14" ht="64.05" customHeight="1">
      <c r="A1297" s="20" t="s">
        <v>3559</v>
      </c>
      <c r="B1297" s="20" t="s">
        <v>24</v>
      </c>
      <c r="C1297" s="20" t="s">
        <v>426</v>
      </c>
      <c r="D1297" s="20" t="s">
        <v>427</v>
      </c>
      <c r="E1297" s="20" t="s">
        <v>3607</v>
      </c>
      <c r="F1297" s="20">
        <v>1</v>
      </c>
      <c r="G1297" s="20" t="s">
        <v>1431</v>
      </c>
      <c r="H1297" s="20" t="s">
        <v>3602</v>
      </c>
      <c r="I1297" s="21" t="s">
        <v>3603</v>
      </c>
      <c r="J1297" s="21"/>
      <c r="K1297" s="21" t="s">
        <v>1398</v>
      </c>
      <c r="L1297" s="21" t="s">
        <v>3608</v>
      </c>
      <c r="M1297" s="21" t="s">
        <v>62</v>
      </c>
      <c r="N1297" s="21" t="s">
        <v>712</v>
      </c>
    </row>
    <row r="1298" spans="1:14" ht="64.05" customHeight="1">
      <c r="A1298" s="20" t="s">
        <v>3559</v>
      </c>
      <c r="B1298" s="20" t="s">
        <v>24</v>
      </c>
      <c r="C1298" s="20" t="s">
        <v>426</v>
      </c>
      <c r="D1298" s="20" t="s">
        <v>427</v>
      </c>
      <c r="E1298" s="20" t="s">
        <v>3609</v>
      </c>
      <c r="F1298" s="20">
        <v>1</v>
      </c>
      <c r="G1298" s="20" t="s">
        <v>1431</v>
      </c>
      <c r="H1298" s="20" t="s">
        <v>3602</v>
      </c>
      <c r="I1298" s="21" t="s">
        <v>3603</v>
      </c>
      <c r="J1298" s="21"/>
      <c r="K1298" s="21" t="s">
        <v>1398</v>
      </c>
      <c r="L1298" s="21" t="s">
        <v>3608</v>
      </c>
      <c r="M1298" s="21" t="s">
        <v>62</v>
      </c>
      <c r="N1298" s="21" t="s">
        <v>712</v>
      </c>
    </row>
    <row r="1299" spans="1:14" ht="64.05" customHeight="1">
      <c r="A1299" s="20" t="s">
        <v>3559</v>
      </c>
      <c r="B1299" s="20" t="s">
        <v>24</v>
      </c>
      <c r="C1299" s="20" t="s">
        <v>426</v>
      </c>
      <c r="D1299" s="20" t="s">
        <v>427</v>
      </c>
      <c r="E1299" s="20" t="s">
        <v>3610</v>
      </c>
      <c r="F1299" s="20">
        <v>1</v>
      </c>
      <c r="G1299" s="20" t="s">
        <v>3611</v>
      </c>
      <c r="H1299" s="20" t="s">
        <v>3612</v>
      </c>
      <c r="I1299" s="21" t="s">
        <v>3603</v>
      </c>
      <c r="J1299" s="21"/>
      <c r="K1299" s="21" t="s">
        <v>1398</v>
      </c>
      <c r="L1299" s="21" t="s">
        <v>3613</v>
      </c>
      <c r="M1299" s="21" t="s">
        <v>62</v>
      </c>
      <c r="N1299" s="21" t="s">
        <v>712</v>
      </c>
    </row>
    <row r="1300" spans="1:14" ht="64.05" customHeight="1">
      <c r="A1300" s="20" t="s">
        <v>3559</v>
      </c>
      <c r="B1300" s="20" t="s">
        <v>24</v>
      </c>
      <c r="C1300" s="20" t="s">
        <v>431</v>
      </c>
      <c r="D1300" s="20" t="s">
        <v>216</v>
      </c>
      <c r="E1300" s="20" t="s">
        <v>3614</v>
      </c>
      <c r="F1300" s="20">
        <v>1</v>
      </c>
      <c r="G1300" s="20" t="s">
        <v>92</v>
      </c>
      <c r="H1300" s="20"/>
      <c r="I1300" s="21"/>
      <c r="J1300" s="21"/>
      <c r="K1300" s="21"/>
      <c r="L1300" s="21" t="s">
        <v>3615</v>
      </c>
      <c r="M1300" s="21" t="s">
        <v>102</v>
      </c>
      <c r="N1300" s="21"/>
    </row>
    <row r="1301" spans="1:14" ht="64.05" customHeight="1">
      <c r="A1301" s="20" t="s">
        <v>3559</v>
      </c>
      <c r="B1301" s="20" t="s">
        <v>24</v>
      </c>
      <c r="C1301" s="20" t="s">
        <v>436</v>
      </c>
      <c r="D1301" s="20" t="s">
        <v>437</v>
      </c>
      <c r="E1301" s="20" t="s">
        <v>3616</v>
      </c>
      <c r="F1301" s="20">
        <v>1</v>
      </c>
      <c r="G1301" s="20"/>
      <c r="H1301" s="20"/>
      <c r="I1301" s="21" t="s">
        <v>408</v>
      </c>
      <c r="J1301" s="21"/>
      <c r="K1301" s="21" t="s">
        <v>406</v>
      </c>
      <c r="L1301" s="21" t="s">
        <v>3617</v>
      </c>
      <c r="M1301" s="21" t="s">
        <v>62</v>
      </c>
      <c r="N1301" s="21" t="s">
        <v>187</v>
      </c>
    </row>
    <row r="1302" spans="1:14" ht="64.05" customHeight="1">
      <c r="A1302" s="20" t="s">
        <v>3559</v>
      </c>
      <c r="B1302" s="20" t="s">
        <v>24</v>
      </c>
      <c r="C1302" s="20" t="s">
        <v>436</v>
      </c>
      <c r="D1302" s="20" t="s">
        <v>437</v>
      </c>
      <c r="E1302" s="20" t="s">
        <v>3618</v>
      </c>
      <c r="F1302" s="20">
        <v>1</v>
      </c>
      <c r="G1302" s="20"/>
      <c r="H1302" s="20"/>
      <c r="I1302" s="21" t="s">
        <v>408</v>
      </c>
      <c r="J1302" s="21" t="s">
        <v>672</v>
      </c>
      <c r="K1302" s="21" t="s">
        <v>406</v>
      </c>
      <c r="L1302" s="21" t="s">
        <v>3619</v>
      </c>
      <c r="M1302" s="21" t="s">
        <v>102</v>
      </c>
      <c r="N1302" s="21"/>
    </row>
    <row r="1303" spans="1:14" ht="64.05" customHeight="1">
      <c r="A1303" s="20" t="s">
        <v>3559</v>
      </c>
      <c r="B1303" s="20" t="s">
        <v>24</v>
      </c>
      <c r="C1303" s="20" t="s">
        <v>436</v>
      </c>
      <c r="D1303" s="20" t="s">
        <v>437</v>
      </c>
      <c r="E1303" s="20" t="s">
        <v>3620</v>
      </c>
      <c r="F1303" s="20">
        <v>1</v>
      </c>
      <c r="G1303" s="20"/>
      <c r="H1303" s="20"/>
      <c r="I1303" s="21" t="s">
        <v>408</v>
      </c>
      <c r="J1303" s="21" t="s">
        <v>672</v>
      </c>
      <c r="K1303" s="21" t="s">
        <v>406</v>
      </c>
      <c r="L1303" s="21" t="s">
        <v>3621</v>
      </c>
      <c r="M1303" s="21" t="s">
        <v>102</v>
      </c>
      <c r="N1303" s="21"/>
    </row>
    <row r="1304" spans="1:14" ht="64.05" customHeight="1">
      <c r="A1304" s="20" t="s">
        <v>3559</v>
      </c>
      <c r="B1304" s="20" t="s">
        <v>24</v>
      </c>
      <c r="C1304" s="20" t="s">
        <v>136</v>
      </c>
      <c r="D1304" s="20" t="s">
        <v>137</v>
      </c>
      <c r="E1304" s="20" t="s">
        <v>3622</v>
      </c>
      <c r="F1304" s="20">
        <v>1</v>
      </c>
      <c r="G1304" s="20" t="s">
        <v>92</v>
      </c>
      <c r="H1304" s="20"/>
      <c r="I1304" s="21" t="s">
        <v>140</v>
      </c>
      <c r="J1304" s="21" t="s">
        <v>99</v>
      </c>
      <c r="K1304" s="21"/>
      <c r="L1304" s="21" t="s">
        <v>3623</v>
      </c>
      <c r="M1304" s="21" t="s">
        <v>102</v>
      </c>
      <c r="N1304" s="21"/>
    </row>
    <row r="1305" spans="1:14" ht="64.05" customHeight="1">
      <c r="A1305" s="20" t="s">
        <v>3559</v>
      </c>
      <c r="B1305" s="20" t="s">
        <v>24</v>
      </c>
      <c r="C1305" s="20" t="s">
        <v>443</v>
      </c>
      <c r="D1305" s="20" t="s">
        <v>444</v>
      </c>
      <c r="E1305" s="20" t="s">
        <v>3624</v>
      </c>
      <c r="F1305" s="20">
        <v>1</v>
      </c>
      <c r="G1305" s="20" t="s">
        <v>92</v>
      </c>
      <c r="H1305" s="20"/>
      <c r="I1305" s="21" t="s">
        <v>3625</v>
      </c>
      <c r="J1305" s="21"/>
      <c r="K1305" s="21" t="s">
        <v>3626</v>
      </c>
      <c r="L1305" s="21" t="s">
        <v>3627</v>
      </c>
      <c r="M1305" s="21" t="s">
        <v>73</v>
      </c>
      <c r="N1305" s="21"/>
    </row>
    <row r="1306" spans="1:14" ht="64.05" customHeight="1">
      <c r="A1306" s="20" t="s">
        <v>3559</v>
      </c>
      <c r="B1306" s="20" t="s">
        <v>24</v>
      </c>
      <c r="C1306" s="20" t="s">
        <v>443</v>
      </c>
      <c r="D1306" s="20" t="s">
        <v>444</v>
      </c>
      <c r="E1306" s="20" t="s">
        <v>3628</v>
      </c>
      <c r="F1306" s="20">
        <v>1</v>
      </c>
      <c r="G1306" s="20" t="s">
        <v>92</v>
      </c>
      <c r="H1306" s="20"/>
      <c r="I1306" s="21" t="s">
        <v>3629</v>
      </c>
      <c r="J1306" s="21"/>
      <c r="K1306" s="21" t="s">
        <v>109</v>
      </c>
      <c r="L1306" s="21" t="s">
        <v>3630</v>
      </c>
      <c r="M1306" s="21" t="s">
        <v>73</v>
      </c>
      <c r="N1306" s="21"/>
    </row>
    <row r="1307" spans="1:14" ht="64.05" customHeight="1">
      <c r="A1307" s="20" t="s">
        <v>3559</v>
      </c>
      <c r="B1307" s="20" t="s">
        <v>28</v>
      </c>
      <c r="C1307" s="20" t="s">
        <v>167</v>
      </c>
      <c r="D1307" s="20" t="s">
        <v>168</v>
      </c>
      <c r="E1307" s="20" t="s">
        <v>3631</v>
      </c>
      <c r="F1307" s="20">
        <v>1</v>
      </c>
      <c r="G1307" s="20" t="s">
        <v>3632</v>
      </c>
      <c r="H1307" s="20" t="s">
        <v>3633</v>
      </c>
      <c r="I1307" s="21" t="s">
        <v>164</v>
      </c>
      <c r="J1307" s="21"/>
      <c r="K1307" s="21"/>
      <c r="L1307" s="21" t="s">
        <v>3634</v>
      </c>
      <c r="M1307" s="21" t="s">
        <v>73</v>
      </c>
      <c r="N1307" s="21"/>
    </row>
    <row r="1308" spans="1:14" ht="64.05" customHeight="1">
      <c r="A1308" s="20" t="s">
        <v>3559</v>
      </c>
      <c r="B1308" s="20" t="s">
        <v>28</v>
      </c>
      <c r="C1308" s="20" t="s">
        <v>167</v>
      </c>
      <c r="D1308" s="20" t="s">
        <v>168</v>
      </c>
      <c r="E1308" s="20" t="s">
        <v>3635</v>
      </c>
      <c r="F1308" s="20">
        <v>1</v>
      </c>
      <c r="G1308" s="20" t="s">
        <v>3632</v>
      </c>
      <c r="H1308" s="20" t="s">
        <v>3633</v>
      </c>
      <c r="I1308" s="21" t="s">
        <v>164</v>
      </c>
      <c r="J1308" s="21"/>
      <c r="K1308" s="21"/>
      <c r="L1308" s="21" t="s">
        <v>3634</v>
      </c>
      <c r="M1308" s="21" t="s">
        <v>73</v>
      </c>
      <c r="N1308" s="21"/>
    </row>
    <row r="1309" spans="1:14" ht="64.05" customHeight="1">
      <c r="A1309" s="20" t="s">
        <v>3559</v>
      </c>
      <c r="B1309" s="20" t="s">
        <v>30</v>
      </c>
      <c r="C1309" s="20" t="s">
        <v>180</v>
      </c>
      <c r="D1309" s="20" t="s">
        <v>181</v>
      </c>
      <c r="E1309" s="20" t="s">
        <v>3636</v>
      </c>
      <c r="F1309" s="20">
        <v>1</v>
      </c>
      <c r="G1309" s="20" t="s">
        <v>92</v>
      </c>
      <c r="H1309" s="20"/>
      <c r="I1309" s="21" t="s">
        <v>517</v>
      </c>
      <c r="J1309" s="21"/>
      <c r="K1309" s="21"/>
      <c r="L1309" s="21" t="s">
        <v>3637</v>
      </c>
      <c r="M1309" s="21" t="s">
        <v>73</v>
      </c>
      <c r="N1309" s="21"/>
    </row>
    <row r="1310" spans="1:14" ht="64.05" customHeight="1">
      <c r="A1310" s="20" t="s">
        <v>3559</v>
      </c>
      <c r="B1310" s="20" t="s">
        <v>30</v>
      </c>
      <c r="C1310" s="20" t="s">
        <v>180</v>
      </c>
      <c r="D1310" s="20" t="s">
        <v>181</v>
      </c>
      <c r="E1310" s="20" t="s">
        <v>3638</v>
      </c>
      <c r="F1310" s="20">
        <v>1</v>
      </c>
      <c r="G1310" s="20" t="s">
        <v>92</v>
      </c>
      <c r="H1310" s="20"/>
      <c r="I1310" s="21" t="s">
        <v>517</v>
      </c>
      <c r="J1310" s="21"/>
      <c r="K1310" s="21"/>
      <c r="L1310" s="21" t="s">
        <v>3639</v>
      </c>
      <c r="M1310" s="21" t="s">
        <v>73</v>
      </c>
      <c r="N1310" s="21"/>
    </row>
    <row r="1311" spans="1:14" ht="64.05" customHeight="1">
      <c r="A1311" s="20" t="s">
        <v>3559</v>
      </c>
      <c r="B1311" s="20" t="s">
        <v>30</v>
      </c>
      <c r="C1311" s="20" t="s">
        <v>188</v>
      </c>
      <c r="D1311" s="20" t="s">
        <v>189</v>
      </c>
      <c r="E1311" s="20" t="s">
        <v>3640</v>
      </c>
      <c r="F1311" s="20">
        <v>1</v>
      </c>
      <c r="G1311" s="20" t="s">
        <v>3641</v>
      </c>
      <c r="H1311" s="20" t="s">
        <v>3642</v>
      </c>
      <c r="I1311" s="21" t="s">
        <v>3643</v>
      </c>
      <c r="J1311" s="21"/>
      <c r="K1311" s="21" t="s">
        <v>3644</v>
      </c>
      <c r="L1311" s="21" t="s">
        <v>3645</v>
      </c>
      <c r="M1311" s="21" t="s">
        <v>73</v>
      </c>
      <c r="N1311" s="21"/>
    </row>
    <row r="1312" spans="1:14" ht="64.05" customHeight="1">
      <c r="A1312" s="20" t="s">
        <v>3559</v>
      </c>
      <c r="B1312" s="20" t="s">
        <v>30</v>
      </c>
      <c r="C1312" s="20" t="s">
        <v>188</v>
      </c>
      <c r="D1312" s="20" t="s">
        <v>189</v>
      </c>
      <c r="E1312" s="20" t="s">
        <v>3646</v>
      </c>
      <c r="F1312" s="20">
        <v>1</v>
      </c>
      <c r="G1312" s="20" t="s">
        <v>3647</v>
      </c>
      <c r="H1312" s="20" t="s">
        <v>3648</v>
      </c>
      <c r="I1312" s="21" t="s">
        <v>3649</v>
      </c>
      <c r="J1312" s="21"/>
      <c r="K1312" s="21" t="s">
        <v>3644</v>
      </c>
      <c r="L1312" s="21" t="s">
        <v>3645</v>
      </c>
      <c r="M1312" s="21" t="s">
        <v>73</v>
      </c>
      <c r="N1312" s="21"/>
    </row>
    <row r="1313" spans="1:14" ht="64.05" customHeight="1">
      <c r="A1313" s="20" t="s">
        <v>3559</v>
      </c>
      <c r="B1313" s="20" t="s">
        <v>30</v>
      </c>
      <c r="C1313" s="20" t="s">
        <v>188</v>
      </c>
      <c r="D1313" s="20" t="s">
        <v>189</v>
      </c>
      <c r="E1313" s="20" t="s">
        <v>3650</v>
      </c>
      <c r="F1313" s="20">
        <v>1</v>
      </c>
      <c r="G1313" s="20" t="s">
        <v>3647</v>
      </c>
      <c r="H1313" s="20" t="s">
        <v>3648</v>
      </c>
      <c r="I1313" s="21" t="s">
        <v>3649</v>
      </c>
      <c r="J1313" s="21"/>
      <c r="K1313" s="21" t="s">
        <v>3644</v>
      </c>
      <c r="L1313" s="21" t="s">
        <v>3645</v>
      </c>
      <c r="M1313" s="21" t="s">
        <v>73</v>
      </c>
      <c r="N1313" s="21"/>
    </row>
    <row r="1314" spans="1:14" ht="64.05" customHeight="1">
      <c r="A1314" s="20" t="s">
        <v>3559</v>
      </c>
      <c r="B1314" s="20" t="s">
        <v>30</v>
      </c>
      <c r="C1314" s="20" t="s">
        <v>188</v>
      </c>
      <c r="D1314" s="20" t="s">
        <v>189</v>
      </c>
      <c r="E1314" s="20" t="s">
        <v>3651</v>
      </c>
      <c r="F1314" s="20">
        <v>1</v>
      </c>
      <c r="G1314" s="20" t="s">
        <v>1236</v>
      </c>
      <c r="H1314" s="20" t="s">
        <v>3652</v>
      </c>
      <c r="I1314" s="21" t="s">
        <v>2006</v>
      </c>
      <c r="J1314" s="21"/>
      <c r="K1314" s="21" t="s">
        <v>3644</v>
      </c>
      <c r="L1314" s="21" t="s">
        <v>3645</v>
      </c>
      <c r="M1314" s="21" t="s">
        <v>73</v>
      </c>
      <c r="N1314" s="21"/>
    </row>
    <row r="1315" spans="1:14" ht="64.05" customHeight="1">
      <c r="A1315" s="20" t="s">
        <v>3559</v>
      </c>
      <c r="B1315" s="20" t="s">
        <v>30</v>
      </c>
      <c r="C1315" s="20" t="s">
        <v>188</v>
      </c>
      <c r="D1315" s="20" t="s">
        <v>189</v>
      </c>
      <c r="E1315" s="20" t="s">
        <v>3653</v>
      </c>
      <c r="F1315" s="20">
        <v>1</v>
      </c>
      <c r="G1315" s="20" t="s">
        <v>1236</v>
      </c>
      <c r="H1315" s="20" t="s">
        <v>3652</v>
      </c>
      <c r="I1315" s="21" t="s">
        <v>2006</v>
      </c>
      <c r="J1315" s="21"/>
      <c r="K1315" s="21" t="s">
        <v>3654</v>
      </c>
      <c r="L1315" s="21" t="s">
        <v>3645</v>
      </c>
      <c r="M1315" s="21" t="s">
        <v>73</v>
      </c>
      <c r="N1315" s="21"/>
    </row>
    <row r="1316" spans="1:14" ht="64.05" customHeight="1">
      <c r="A1316" s="20" t="s">
        <v>3559</v>
      </c>
      <c r="B1316" s="20" t="s">
        <v>30</v>
      </c>
      <c r="C1316" s="20" t="s">
        <v>188</v>
      </c>
      <c r="D1316" s="20" t="s">
        <v>189</v>
      </c>
      <c r="E1316" s="20" t="s">
        <v>3655</v>
      </c>
      <c r="F1316" s="20">
        <v>1</v>
      </c>
      <c r="G1316" s="20" t="s">
        <v>1236</v>
      </c>
      <c r="H1316" s="20" t="s">
        <v>3652</v>
      </c>
      <c r="I1316" s="21" t="s">
        <v>3656</v>
      </c>
      <c r="J1316" s="21"/>
      <c r="K1316" s="21" t="s">
        <v>3657</v>
      </c>
      <c r="L1316" s="21" t="s">
        <v>3645</v>
      </c>
      <c r="M1316" s="21" t="s">
        <v>73</v>
      </c>
      <c r="N1316" s="21"/>
    </row>
    <row r="1317" spans="1:14" ht="64.05" customHeight="1">
      <c r="A1317" s="20" t="s">
        <v>3559</v>
      </c>
      <c r="B1317" s="20" t="s">
        <v>30</v>
      </c>
      <c r="C1317" s="20" t="s">
        <v>188</v>
      </c>
      <c r="D1317" s="20" t="s">
        <v>189</v>
      </c>
      <c r="E1317" s="20" t="s">
        <v>3658</v>
      </c>
      <c r="F1317" s="20">
        <v>1</v>
      </c>
      <c r="G1317" s="20" t="s">
        <v>3659</v>
      </c>
      <c r="H1317" s="20" t="s">
        <v>3660</v>
      </c>
      <c r="I1317" s="21" t="s">
        <v>3661</v>
      </c>
      <c r="J1317" s="21"/>
      <c r="K1317" s="21" t="s">
        <v>3662</v>
      </c>
      <c r="L1317" s="21" t="s">
        <v>3645</v>
      </c>
      <c r="M1317" s="21" t="s">
        <v>73</v>
      </c>
      <c r="N1317" s="21"/>
    </row>
    <row r="1318" spans="1:14" ht="64.05" customHeight="1">
      <c r="A1318" s="20" t="s">
        <v>3559</v>
      </c>
      <c r="B1318" s="20" t="s">
        <v>30</v>
      </c>
      <c r="C1318" s="20" t="s">
        <v>188</v>
      </c>
      <c r="D1318" s="20" t="s">
        <v>189</v>
      </c>
      <c r="E1318" s="20" t="s">
        <v>3663</v>
      </c>
      <c r="F1318" s="20">
        <v>1</v>
      </c>
      <c r="G1318" s="20" t="s">
        <v>1534</v>
      </c>
      <c r="H1318" s="20" t="s">
        <v>3664</v>
      </c>
      <c r="I1318" s="21" t="s">
        <v>3665</v>
      </c>
      <c r="J1318" s="21"/>
      <c r="K1318" s="21" t="s">
        <v>78</v>
      </c>
      <c r="L1318" s="21" t="s">
        <v>3645</v>
      </c>
      <c r="M1318" s="21" t="s">
        <v>73</v>
      </c>
      <c r="N1318" s="21"/>
    </row>
    <row r="1319" spans="1:14" ht="64.05" customHeight="1">
      <c r="A1319" s="20" t="s">
        <v>3559</v>
      </c>
      <c r="B1319" s="20" t="s">
        <v>30</v>
      </c>
      <c r="C1319" s="20" t="s">
        <v>188</v>
      </c>
      <c r="D1319" s="20" t="s">
        <v>189</v>
      </c>
      <c r="E1319" s="20" t="s">
        <v>3666</v>
      </c>
      <c r="F1319" s="20">
        <v>1</v>
      </c>
      <c r="G1319" s="20" t="s">
        <v>92</v>
      </c>
      <c r="H1319" s="20"/>
      <c r="I1319" s="21" t="s">
        <v>3667</v>
      </c>
      <c r="J1319" s="21"/>
      <c r="K1319" s="21" t="s">
        <v>3668</v>
      </c>
      <c r="L1319" s="21" t="s">
        <v>2855</v>
      </c>
      <c r="M1319" s="21" t="s">
        <v>73</v>
      </c>
      <c r="N1319" s="21"/>
    </row>
    <row r="1320" spans="1:14" ht="64.05" customHeight="1">
      <c r="A1320" s="20" t="s">
        <v>3559</v>
      </c>
      <c r="B1320" s="20" t="s">
        <v>26</v>
      </c>
      <c r="C1320" s="20" t="s">
        <v>196</v>
      </c>
      <c r="D1320" s="20" t="s">
        <v>197</v>
      </c>
      <c r="E1320" s="20" t="s">
        <v>3669</v>
      </c>
      <c r="F1320" s="20">
        <v>1</v>
      </c>
      <c r="G1320" s="20" t="s">
        <v>3670</v>
      </c>
      <c r="H1320" s="20" t="s">
        <v>3671</v>
      </c>
      <c r="I1320" s="21" t="s">
        <v>3672</v>
      </c>
      <c r="J1320" s="21"/>
      <c r="K1320" s="21" t="s">
        <v>109</v>
      </c>
      <c r="L1320" s="21" t="s">
        <v>3673</v>
      </c>
      <c r="M1320" s="21" t="s">
        <v>73</v>
      </c>
      <c r="N1320" s="21"/>
    </row>
    <row r="1321" spans="1:14" ht="64.05" customHeight="1">
      <c r="A1321" s="20" t="s">
        <v>3559</v>
      </c>
      <c r="B1321" s="20" t="s">
        <v>33</v>
      </c>
      <c r="C1321" s="20" t="s">
        <v>2088</v>
      </c>
      <c r="D1321" s="20" t="s">
        <v>3674</v>
      </c>
      <c r="E1321" s="20" t="s">
        <v>3675</v>
      </c>
      <c r="F1321" s="20">
        <v>1</v>
      </c>
      <c r="G1321" s="20" t="s">
        <v>92</v>
      </c>
      <c r="H1321" s="20"/>
      <c r="I1321" s="21" t="s">
        <v>3676</v>
      </c>
      <c r="J1321" s="21"/>
      <c r="K1321" s="21"/>
      <c r="L1321" s="21" t="s">
        <v>3677</v>
      </c>
      <c r="M1321" s="21" t="s">
        <v>102</v>
      </c>
      <c r="N1321" s="21"/>
    </row>
    <row r="1322" spans="1:14" ht="64.05" customHeight="1">
      <c r="A1322" s="20" t="s">
        <v>3559</v>
      </c>
      <c r="B1322" s="20" t="s">
        <v>33</v>
      </c>
      <c r="C1322" s="20" t="s">
        <v>2314</v>
      </c>
      <c r="D1322" s="20" t="s">
        <v>2315</v>
      </c>
      <c r="E1322" s="20" t="s">
        <v>3678</v>
      </c>
      <c r="F1322" s="20">
        <v>1</v>
      </c>
      <c r="G1322" s="20" t="s">
        <v>3395</v>
      </c>
      <c r="H1322" s="20" t="s">
        <v>3195</v>
      </c>
      <c r="I1322" s="21" t="s">
        <v>517</v>
      </c>
      <c r="J1322" s="21"/>
      <c r="K1322" s="21"/>
      <c r="L1322" s="21" t="s">
        <v>3679</v>
      </c>
      <c r="M1322" s="21" t="s">
        <v>102</v>
      </c>
      <c r="N1322" s="21"/>
    </row>
    <row r="1323" spans="1:14" ht="64.05" customHeight="1">
      <c r="A1323" s="20" t="s">
        <v>3559</v>
      </c>
      <c r="B1323" s="20" t="s">
        <v>33</v>
      </c>
      <c r="C1323" s="20" t="s">
        <v>2314</v>
      </c>
      <c r="D1323" s="20" t="s">
        <v>2315</v>
      </c>
      <c r="E1323" s="20" t="s">
        <v>3680</v>
      </c>
      <c r="F1323" s="20">
        <v>1</v>
      </c>
      <c r="G1323" s="20" t="s">
        <v>3681</v>
      </c>
      <c r="H1323" s="20" t="s">
        <v>3195</v>
      </c>
      <c r="I1323" s="21" t="s">
        <v>517</v>
      </c>
      <c r="J1323" s="21"/>
      <c r="K1323" s="21"/>
      <c r="L1323" s="21" t="s">
        <v>3682</v>
      </c>
      <c r="M1323" s="21" t="s">
        <v>62</v>
      </c>
      <c r="N1323" s="21" t="s">
        <v>63</v>
      </c>
    </row>
    <row r="1324" spans="1:14" ht="64.05" customHeight="1">
      <c r="A1324" s="20" t="s">
        <v>3559</v>
      </c>
      <c r="B1324" s="20" t="s">
        <v>33</v>
      </c>
      <c r="C1324" s="20" t="s">
        <v>2314</v>
      </c>
      <c r="D1324" s="20" t="s">
        <v>2315</v>
      </c>
      <c r="E1324" s="20" t="s">
        <v>3683</v>
      </c>
      <c r="F1324" s="20">
        <v>1</v>
      </c>
      <c r="G1324" s="20"/>
      <c r="H1324" s="20"/>
      <c r="I1324" s="21" t="s">
        <v>1302</v>
      </c>
      <c r="J1324" s="21"/>
      <c r="K1324" s="21"/>
      <c r="L1324" s="21" t="s">
        <v>3684</v>
      </c>
      <c r="M1324" s="21" t="s">
        <v>73</v>
      </c>
      <c r="N1324" s="21"/>
    </row>
    <row r="1325" spans="1:14" ht="64.05" customHeight="1">
      <c r="A1325" s="20" t="s">
        <v>3559</v>
      </c>
      <c r="B1325" s="20" t="s">
        <v>33</v>
      </c>
      <c r="C1325" s="20" t="s">
        <v>2314</v>
      </c>
      <c r="D1325" s="20" t="s">
        <v>2315</v>
      </c>
      <c r="E1325" s="20" t="s">
        <v>3685</v>
      </c>
      <c r="F1325" s="20">
        <v>1</v>
      </c>
      <c r="G1325" s="20"/>
      <c r="H1325" s="20"/>
      <c r="I1325" s="21" t="s">
        <v>1302</v>
      </c>
      <c r="J1325" s="21"/>
      <c r="K1325" s="21"/>
      <c r="L1325" s="21" t="s">
        <v>3684</v>
      </c>
      <c r="M1325" s="21" t="s">
        <v>73</v>
      </c>
      <c r="N1325" s="21"/>
    </row>
    <row r="1326" spans="1:14" ht="64.05" customHeight="1">
      <c r="A1326" s="20" t="s">
        <v>3559</v>
      </c>
      <c r="B1326" s="20" t="s">
        <v>33</v>
      </c>
      <c r="C1326" s="20" t="s">
        <v>2314</v>
      </c>
      <c r="D1326" s="20" t="s">
        <v>2315</v>
      </c>
      <c r="E1326" s="20" t="s">
        <v>3686</v>
      </c>
      <c r="F1326" s="20">
        <v>1</v>
      </c>
      <c r="G1326" s="20"/>
      <c r="H1326" s="20"/>
      <c r="I1326" s="21" t="s">
        <v>3687</v>
      </c>
      <c r="J1326" s="21"/>
      <c r="K1326" s="21"/>
      <c r="L1326" s="21" t="s">
        <v>3688</v>
      </c>
      <c r="M1326" s="21" t="s">
        <v>62</v>
      </c>
      <c r="N1326" s="21" t="s">
        <v>1490</v>
      </c>
    </row>
    <row r="1327" spans="1:14" ht="64.05" customHeight="1">
      <c r="A1327" s="20" t="s">
        <v>3559</v>
      </c>
      <c r="B1327" s="20" t="s">
        <v>32</v>
      </c>
      <c r="C1327" s="20" t="s">
        <v>200</v>
      </c>
      <c r="D1327" s="20" t="s">
        <v>201</v>
      </c>
      <c r="E1327" s="20" t="s">
        <v>3689</v>
      </c>
      <c r="F1327" s="20">
        <v>1</v>
      </c>
      <c r="G1327" s="20" t="s">
        <v>3690</v>
      </c>
      <c r="H1327" s="20" t="s">
        <v>3691</v>
      </c>
      <c r="I1327" s="21"/>
      <c r="J1327" s="21"/>
      <c r="K1327" s="21" t="s">
        <v>406</v>
      </c>
      <c r="L1327" s="21" t="s">
        <v>3692</v>
      </c>
      <c r="M1327" s="21" t="s">
        <v>62</v>
      </c>
      <c r="N1327" s="21" t="s">
        <v>63</v>
      </c>
    </row>
    <row r="1328" spans="1:14" ht="64.05" customHeight="1">
      <c r="A1328" s="20" t="s">
        <v>3559</v>
      </c>
      <c r="B1328" s="20" t="s">
        <v>32</v>
      </c>
      <c r="C1328" s="20" t="s">
        <v>200</v>
      </c>
      <c r="D1328" s="20" t="s">
        <v>201</v>
      </c>
      <c r="E1328" s="20" t="s">
        <v>3693</v>
      </c>
      <c r="F1328" s="20">
        <v>1</v>
      </c>
      <c r="G1328" s="20" t="s">
        <v>3690</v>
      </c>
      <c r="H1328" s="20" t="s">
        <v>3691</v>
      </c>
      <c r="I1328" s="21"/>
      <c r="J1328" s="21"/>
      <c r="K1328" s="21" t="s">
        <v>406</v>
      </c>
      <c r="L1328" s="21" t="s">
        <v>3694</v>
      </c>
      <c r="M1328" s="21" t="s">
        <v>62</v>
      </c>
      <c r="N1328" s="21" t="s">
        <v>63</v>
      </c>
    </row>
    <row r="1329" spans="1:14" ht="64.05" customHeight="1">
      <c r="A1329" s="20" t="s">
        <v>3559</v>
      </c>
      <c r="B1329" s="20" t="s">
        <v>32</v>
      </c>
      <c r="C1329" s="20" t="s">
        <v>200</v>
      </c>
      <c r="D1329" s="20" t="s">
        <v>201</v>
      </c>
      <c r="E1329" s="20" t="s">
        <v>3695</v>
      </c>
      <c r="F1329" s="20">
        <v>1</v>
      </c>
      <c r="G1329" s="20" t="s">
        <v>3696</v>
      </c>
      <c r="H1329" s="20" t="s">
        <v>3691</v>
      </c>
      <c r="I1329" s="21"/>
      <c r="J1329" s="21"/>
      <c r="K1329" s="21" t="s">
        <v>406</v>
      </c>
      <c r="L1329" s="21" t="s">
        <v>3694</v>
      </c>
      <c r="M1329" s="21" t="s">
        <v>62</v>
      </c>
      <c r="N1329" s="21" t="s">
        <v>63</v>
      </c>
    </row>
    <row r="1330" spans="1:14" ht="64.05" customHeight="1">
      <c r="A1330" s="20" t="s">
        <v>3559</v>
      </c>
      <c r="B1330" s="20" t="s">
        <v>32</v>
      </c>
      <c r="C1330" s="20" t="s">
        <v>200</v>
      </c>
      <c r="D1330" s="20" t="s">
        <v>201</v>
      </c>
      <c r="E1330" s="20" t="s">
        <v>3697</v>
      </c>
      <c r="F1330" s="20">
        <v>1</v>
      </c>
      <c r="G1330" s="20" t="s">
        <v>3696</v>
      </c>
      <c r="H1330" s="20" t="s">
        <v>3691</v>
      </c>
      <c r="I1330" s="21"/>
      <c r="J1330" s="21"/>
      <c r="K1330" s="21" t="s">
        <v>406</v>
      </c>
      <c r="L1330" s="21" t="s">
        <v>3698</v>
      </c>
      <c r="M1330" s="21" t="s">
        <v>62</v>
      </c>
      <c r="N1330" s="21" t="s">
        <v>63</v>
      </c>
    </row>
    <row r="1331" spans="1:14" ht="64.05" customHeight="1">
      <c r="A1331" s="20" t="s">
        <v>3559</v>
      </c>
      <c r="B1331" s="20" t="s">
        <v>32</v>
      </c>
      <c r="C1331" s="20" t="s">
        <v>200</v>
      </c>
      <c r="D1331" s="20" t="s">
        <v>201</v>
      </c>
      <c r="E1331" s="20" t="s">
        <v>3699</v>
      </c>
      <c r="F1331" s="20">
        <v>1</v>
      </c>
      <c r="G1331" s="20" t="s">
        <v>92</v>
      </c>
      <c r="H1331" s="20"/>
      <c r="I1331" s="21" t="s">
        <v>3700</v>
      </c>
      <c r="J1331" s="21"/>
      <c r="K1331" s="21"/>
      <c r="L1331" s="21" t="s">
        <v>3701</v>
      </c>
      <c r="M1331" s="21" t="s">
        <v>73</v>
      </c>
      <c r="N1331" s="21"/>
    </row>
    <row r="1332" spans="1:14" ht="64.05" customHeight="1">
      <c r="A1332" s="20" t="s">
        <v>3559</v>
      </c>
      <c r="B1332" s="20" t="s">
        <v>32</v>
      </c>
      <c r="C1332" s="20" t="s">
        <v>200</v>
      </c>
      <c r="D1332" s="20" t="s">
        <v>201</v>
      </c>
      <c r="E1332" s="20" t="s">
        <v>3702</v>
      </c>
      <c r="F1332" s="20">
        <v>1</v>
      </c>
      <c r="G1332" s="20" t="s">
        <v>92</v>
      </c>
      <c r="H1332" s="20"/>
      <c r="I1332" s="21" t="s">
        <v>406</v>
      </c>
      <c r="J1332" s="21"/>
      <c r="K1332" s="21" t="s">
        <v>406</v>
      </c>
      <c r="L1332" s="21" t="s">
        <v>3703</v>
      </c>
      <c r="M1332" s="21" t="s">
        <v>73</v>
      </c>
      <c r="N1332" s="21"/>
    </row>
    <row r="1333" spans="1:14" ht="64.05" customHeight="1">
      <c r="A1333" s="20" t="s">
        <v>3704</v>
      </c>
      <c r="B1333" s="20" t="s">
        <v>20</v>
      </c>
      <c r="C1333" s="20" t="s">
        <v>55</v>
      </c>
      <c r="D1333" s="20" t="s">
        <v>56</v>
      </c>
      <c r="E1333" s="20" t="s">
        <v>3705</v>
      </c>
      <c r="F1333" s="20">
        <v>1</v>
      </c>
      <c r="G1333" s="20" t="s">
        <v>58</v>
      </c>
      <c r="H1333" s="20" t="s">
        <v>3706</v>
      </c>
      <c r="I1333" s="21" t="s">
        <v>517</v>
      </c>
      <c r="J1333" s="21"/>
      <c r="K1333" s="21"/>
      <c r="L1333" s="21" t="s">
        <v>3707</v>
      </c>
      <c r="M1333" s="21" t="s">
        <v>62</v>
      </c>
      <c r="N1333" s="21" t="s">
        <v>299</v>
      </c>
    </row>
    <row r="1334" spans="1:14" ht="64.05" customHeight="1">
      <c r="A1334" s="20" t="s">
        <v>3704</v>
      </c>
      <c r="B1334" s="20" t="s">
        <v>20</v>
      </c>
      <c r="C1334" s="20" t="s">
        <v>55</v>
      </c>
      <c r="D1334" s="20" t="s">
        <v>56</v>
      </c>
      <c r="E1334" s="20" t="s">
        <v>3708</v>
      </c>
      <c r="F1334" s="20">
        <v>1</v>
      </c>
      <c r="G1334" s="20" t="s">
        <v>1126</v>
      </c>
      <c r="H1334" s="20" t="s">
        <v>1507</v>
      </c>
      <c r="I1334" s="21" t="s">
        <v>112</v>
      </c>
      <c r="J1334" s="21"/>
      <c r="K1334" s="21" t="s">
        <v>408</v>
      </c>
      <c r="L1334" s="21" t="s">
        <v>3709</v>
      </c>
      <c r="M1334" s="21" t="s">
        <v>102</v>
      </c>
      <c r="N1334" s="21"/>
    </row>
    <row r="1335" spans="1:14" ht="64.05" customHeight="1">
      <c r="A1335" s="20" t="s">
        <v>3704</v>
      </c>
      <c r="B1335" s="20" t="s">
        <v>22</v>
      </c>
      <c r="C1335" s="20" t="s">
        <v>370</v>
      </c>
      <c r="D1335" s="20" t="s">
        <v>371</v>
      </c>
      <c r="E1335" s="20" t="s">
        <v>3710</v>
      </c>
      <c r="F1335" s="20">
        <v>1</v>
      </c>
      <c r="G1335" s="20" t="s">
        <v>3711</v>
      </c>
      <c r="H1335" s="20" t="s">
        <v>3712</v>
      </c>
      <c r="I1335" s="21" t="s">
        <v>3713</v>
      </c>
      <c r="J1335" s="21" t="s">
        <v>245</v>
      </c>
      <c r="K1335" s="21" t="s">
        <v>3714</v>
      </c>
      <c r="L1335" s="21" t="s">
        <v>3715</v>
      </c>
      <c r="M1335" s="21" t="s">
        <v>102</v>
      </c>
      <c r="N1335" s="21"/>
    </row>
    <row r="1336" spans="1:14" ht="64.05" customHeight="1">
      <c r="A1336" s="20" t="s">
        <v>3704</v>
      </c>
      <c r="B1336" s="20" t="s">
        <v>22</v>
      </c>
      <c r="C1336" s="20" t="s">
        <v>370</v>
      </c>
      <c r="D1336" s="20" t="s">
        <v>371</v>
      </c>
      <c r="E1336" s="20" t="s">
        <v>3716</v>
      </c>
      <c r="F1336" s="20">
        <v>1</v>
      </c>
      <c r="G1336" s="20" t="s">
        <v>3711</v>
      </c>
      <c r="H1336" s="20" t="s">
        <v>3712</v>
      </c>
      <c r="I1336" s="21" t="s">
        <v>3713</v>
      </c>
      <c r="J1336" s="21" t="s">
        <v>245</v>
      </c>
      <c r="K1336" s="21" t="s">
        <v>3714</v>
      </c>
      <c r="L1336" s="21" t="s">
        <v>3717</v>
      </c>
      <c r="M1336" s="21" t="s">
        <v>102</v>
      </c>
      <c r="N1336" s="21"/>
    </row>
    <row r="1337" spans="1:14" ht="64.05" customHeight="1">
      <c r="A1337" s="20" t="s">
        <v>3704</v>
      </c>
      <c r="B1337" s="20" t="s">
        <v>22</v>
      </c>
      <c r="C1337" s="20" t="s">
        <v>370</v>
      </c>
      <c r="D1337" s="20" t="s">
        <v>371</v>
      </c>
      <c r="E1337" s="20" t="s">
        <v>3718</v>
      </c>
      <c r="F1337" s="20">
        <v>1</v>
      </c>
      <c r="G1337" s="20" t="s">
        <v>3719</v>
      </c>
      <c r="H1337" s="20" t="s">
        <v>3720</v>
      </c>
      <c r="I1337" s="21" t="s">
        <v>3721</v>
      </c>
      <c r="J1337" s="21" t="s">
        <v>245</v>
      </c>
      <c r="K1337" s="21"/>
      <c r="L1337" s="21" t="s">
        <v>3722</v>
      </c>
      <c r="M1337" s="21" t="s">
        <v>73</v>
      </c>
      <c r="N1337" s="21"/>
    </row>
    <row r="1338" spans="1:14" ht="64.05" customHeight="1">
      <c r="A1338" s="20" t="s">
        <v>3704</v>
      </c>
      <c r="B1338" s="20" t="s">
        <v>23</v>
      </c>
      <c r="C1338" s="20" t="s">
        <v>103</v>
      </c>
      <c r="D1338" s="20" t="s">
        <v>104</v>
      </c>
      <c r="E1338" s="20" t="s">
        <v>3723</v>
      </c>
      <c r="F1338" s="20">
        <v>1</v>
      </c>
      <c r="G1338" s="20" t="s">
        <v>3724</v>
      </c>
      <c r="H1338" s="20"/>
      <c r="I1338" s="21" t="s">
        <v>517</v>
      </c>
      <c r="J1338" s="21"/>
      <c r="K1338" s="21"/>
      <c r="L1338" s="21" t="s">
        <v>3725</v>
      </c>
      <c r="M1338" s="21" t="s">
        <v>102</v>
      </c>
      <c r="N1338" s="21"/>
    </row>
    <row r="1339" spans="1:14" ht="64.05" customHeight="1">
      <c r="A1339" s="20" t="s">
        <v>3704</v>
      </c>
      <c r="B1339" s="20" t="s">
        <v>23</v>
      </c>
      <c r="C1339" s="20" t="s">
        <v>103</v>
      </c>
      <c r="D1339" s="20" t="s">
        <v>104</v>
      </c>
      <c r="E1339" s="20" t="s">
        <v>3726</v>
      </c>
      <c r="F1339" s="20">
        <v>1</v>
      </c>
      <c r="G1339" s="20" t="s">
        <v>3727</v>
      </c>
      <c r="H1339" s="20" t="s">
        <v>3728</v>
      </c>
      <c r="I1339" s="21" t="s">
        <v>3729</v>
      </c>
      <c r="J1339" s="21"/>
      <c r="K1339" s="21"/>
      <c r="L1339" s="21" t="s">
        <v>3730</v>
      </c>
      <c r="M1339" s="21" t="s">
        <v>62</v>
      </c>
      <c r="N1339" s="21"/>
    </row>
    <row r="1340" spans="1:14" ht="64.05" customHeight="1">
      <c r="A1340" s="20" t="s">
        <v>3704</v>
      </c>
      <c r="B1340" s="20" t="s">
        <v>24</v>
      </c>
      <c r="C1340" s="20" t="s">
        <v>431</v>
      </c>
      <c r="D1340" s="20" t="s">
        <v>216</v>
      </c>
      <c r="E1340" s="20" t="s">
        <v>3731</v>
      </c>
      <c r="F1340" s="20">
        <v>1</v>
      </c>
      <c r="G1340" s="20" t="s">
        <v>3732</v>
      </c>
      <c r="H1340" s="20" t="s">
        <v>3733</v>
      </c>
      <c r="I1340" s="21" t="s">
        <v>3734</v>
      </c>
      <c r="J1340" s="21"/>
      <c r="K1340" s="21"/>
      <c r="L1340" s="21" t="s">
        <v>3735</v>
      </c>
      <c r="M1340" s="21" t="s">
        <v>62</v>
      </c>
      <c r="N1340" s="21" t="s">
        <v>130</v>
      </c>
    </row>
    <row r="1341" spans="1:14" ht="64.05" customHeight="1">
      <c r="A1341" s="20" t="s">
        <v>3704</v>
      </c>
      <c r="B1341" s="20" t="s">
        <v>24</v>
      </c>
      <c r="C1341" s="20" t="s">
        <v>426</v>
      </c>
      <c r="D1341" s="20" t="s">
        <v>427</v>
      </c>
      <c r="E1341" s="20" t="s">
        <v>3736</v>
      </c>
      <c r="F1341" s="20">
        <v>1</v>
      </c>
      <c r="G1341" s="20" t="s">
        <v>139</v>
      </c>
      <c r="H1341" s="20"/>
      <c r="I1341" s="21" t="s">
        <v>3737</v>
      </c>
      <c r="J1341" s="21"/>
      <c r="K1341" s="21" t="s">
        <v>109</v>
      </c>
      <c r="L1341" s="21" t="s">
        <v>3738</v>
      </c>
      <c r="M1341" s="21" t="s">
        <v>73</v>
      </c>
      <c r="N1341" s="21"/>
    </row>
    <row r="1342" spans="1:14" ht="64.05" customHeight="1">
      <c r="A1342" s="20" t="s">
        <v>3704</v>
      </c>
      <c r="B1342" s="20" t="s">
        <v>24</v>
      </c>
      <c r="C1342" s="20" t="s">
        <v>426</v>
      </c>
      <c r="D1342" s="20" t="s">
        <v>427</v>
      </c>
      <c r="E1342" s="20" t="s">
        <v>3739</v>
      </c>
      <c r="F1342" s="20">
        <v>1</v>
      </c>
      <c r="G1342" s="20" t="s">
        <v>139</v>
      </c>
      <c r="H1342" s="20"/>
      <c r="I1342" s="21" t="s">
        <v>3737</v>
      </c>
      <c r="J1342" s="21"/>
      <c r="K1342" s="21" t="s">
        <v>109</v>
      </c>
      <c r="L1342" s="21" t="s">
        <v>3738</v>
      </c>
      <c r="M1342" s="21" t="s">
        <v>73</v>
      </c>
      <c r="N1342" s="21"/>
    </row>
    <row r="1343" spans="1:14" ht="64.05" customHeight="1">
      <c r="A1343" s="20" t="s">
        <v>3704</v>
      </c>
      <c r="B1343" s="20" t="s">
        <v>24</v>
      </c>
      <c r="C1343" s="20" t="s">
        <v>426</v>
      </c>
      <c r="D1343" s="20" t="s">
        <v>427</v>
      </c>
      <c r="E1343" s="20" t="s">
        <v>3740</v>
      </c>
      <c r="F1343" s="20">
        <v>1</v>
      </c>
      <c r="G1343" s="20" t="s">
        <v>139</v>
      </c>
      <c r="H1343" s="20"/>
      <c r="I1343" s="21" t="s">
        <v>3737</v>
      </c>
      <c r="J1343" s="21"/>
      <c r="K1343" s="21" t="s">
        <v>109</v>
      </c>
      <c r="L1343" s="21" t="s">
        <v>3738</v>
      </c>
      <c r="M1343" s="21" t="s">
        <v>73</v>
      </c>
      <c r="N1343" s="21"/>
    </row>
    <row r="1344" spans="1:14" ht="64.05" customHeight="1">
      <c r="A1344" s="20" t="s">
        <v>3704</v>
      </c>
      <c r="B1344" s="20" t="s">
        <v>24</v>
      </c>
      <c r="C1344" s="20" t="s">
        <v>136</v>
      </c>
      <c r="D1344" s="20" t="s">
        <v>674</v>
      </c>
      <c r="E1344" s="20" t="s">
        <v>3741</v>
      </c>
      <c r="F1344" s="20">
        <v>1</v>
      </c>
      <c r="G1344" s="20" t="s">
        <v>92</v>
      </c>
      <c r="H1344" s="20"/>
      <c r="I1344" s="21" t="s">
        <v>955</v>
      </c>
      <c r="J1344" s="21" t="s">
        <v>672</v>
      </c>
      <c r="K1344" s="21"/>
      <c r="L1344" s="21" t="s">
        <v>3742</v>
      </c>
      <c r="M1344" s="21" t="s">
        <v>102</v>
      </c>
      <c r="N1344" s="21"/>
    </row>
    <row r="1345" spans="1:14" ht="64.05" customHeight="1">
      <c r="A1345" s="20" t="s">
        <v>3704</v>
      </c>
      <c r="B1345" s="20" t="s">
        <v>24</v>
      </c>
      <c r="C1345" s="20" t="s">
        <v>443</v>
      </c>
      <c r="D1345" s="20" t="s">
        <v>444</v>
      </c>
      <c r="E1345" s="20" t="s">
        <v>3743</v>
      </c>
      <c r="F1345" s="20">
        <v>1</v>
      </c>
      <c r="G1345" s="20" t="s">
        <v>139</v>
      </c>
      <c r="H1345" s="20"/>
      <c r="I1345" s="21" t="s">
        <v>140</v>
      </c>
      <c r="J1345" s="21"/>
      <c r="K1345" s="21" t="s">
        <v>3744</v>
      </c>
      <c r="L1345" s="21" t="s">
        <v>3745</v>
      </c>
      <c r="M1345" s="21" t="s">
        <v>73</v>
      </c>
      <c r="N1345" s="21"/>
    </row>
    <row r="1346" spans="1:14" ht="64.05" customHeight="1">
      <c r="A1346" s="20" t="s">
        <v>3704</v>
      </c>
      <c r="B1346" s="20" t="s">
        <v>27</v>
      </c>
      <c r="C1346" s="20" t="s">
        <v>475</v>
      </c>
      <c r="D1346" s="20" t="s">
        <v>3746</v>
      </c>
      <c r="E1346" s="20" t="s">
        <v>3747</v>
      </c>
      <c r="F1346" s="20">
        <v>1</v>
      </c>
      <c r="G1346" s="20" t="s">
        <v>92</v>
      </c>
      <c r="H1346" s="20"/>
      <c r="I1346" s="21" t="s">
        <v>3676</v>
      </c>
      <c r="J1346" s="21"/>
      <c r="K1346" s="21"/>
      <c r="L1346" s="21" t="s">
        <v>3748</v>
      </c>
      <c r="M1346" s="21" t="s">
        <v>102</v>
      </c>
      <c r="N1346" s="21"/>
    </row>
    <row r="1347" spans="1:14" ht="64.05" customHeight="1">
      <c r="A1347" s="20" t="s">
        <v>3704</v>
      </c>
      <c r="B1347" s="20" t="s">
        <v>30</v>
      </c>
      <c r="C1347" s="20" t="s">
        <v>180</v>
      </c>
      <c r="D1347" s="20" t="s">
        <v>181</v>
      </c>
      <c r="E1347" s="20" t="s">
        <v>3749</v>
      </c>
      <c r="F1347" s="20">
        <v>1</v>
      </c>
      <c r="G1347" s="20" t="s">
        <v>92</v>
      </c>
      <c r="H1347" s="20"/>
      <c r="I1347" s="21" t="s">
        <v>60</v>
      </c>
      <c r="J1347" s="21"/>
      <c r="K1347" s="21"/>
      <c r="L1347" s="21" t="s">
        <v>3750</v>
      </c>
      <c r="M1347" s="21" t="s">
        <v>73</v>
      </c>
      <c r="N1347" s="21"/>
    </row>
    <row r="1348" spans="1:14" ht="64.05" customHeight="1">
      <c r="A1348" s="20" t="s">
        <v>3704</v>
      </c>
      <c r="B1348" s="20" t="s">
        <v>30</v>
      </c>
      <c r="C1348" s="20" t="s">
        <v>180</v>
      </c>
      <c r="D1348" s="20" t="s">
        <v>181</v>
      </c>
      <c r="E1348" s="20" t="s">
        <v>3751</v>
      </c>
      <c r="F1348" s="20">
        <v>1</v>
      </c>
      <c r="G1348" s="20" t="s">
        <v>901</v>
      </c>
      <c r="H1348" s="20" t="s">
        <v>3752</v>
      </c>
      <c r="I1348" s="21" t="s">
        <v>501</v>
      </c>
      <c r="J1348" s="21"/>
      <c r="K1348" s="21"/>
      <c r="L1348" s="21" t="s">
        <v>3753</v>
      </c>
      <c r="M1348" s="21" t="s">
        <v>73</v>
      </c>
      <c r="N1348" s="21"/>
    </row>
    <row r="1349" spans="1:14" ht="64.05" customHeight="1">
      <c r="A1349" s="20" t="s">
        <v>3704</v>
      </c>
      <c r="B1349" s="20" t="s">
        <v>30</v>
      </c>
      <c r="C1349" s="20" t="s">
        <v>180</v>
      </c>
      <c r="D1349" s="20" t="s">
        <v>181</v>
      </c>
      <c r="E1349" s="20" t="s">
        <v>3754</v>
      </c>
      <c r="F1349" s="20">
        <v>1</v>
      </c>
      <c r="G1349" s="20" t="s">
        <v>901</v>
      </c>
      <c r="H1349" s="20" t="s">
        <v>3752</v>
      </c>
      <c r="I1349" s="21" t="s">
        <v>205</v>
      </c>
      <c r="J1349" s="21"/>
      <c r="K1349" s="21"/>
      <c r="L1349" s="21" t="s">
        <v>3753</v>
      </c>
      <c r="M1349" s="21" t="s">
        <v>73</v>
      </c>
      <c r="N1349" s="21"/>
    </row>
    <row r="1350" spans="1:14" ht="64.05" customHeight="1">
      <c r="A1350" s="20" t="s">
        <v>3704</v>
      </c>
      <c r="B1350" s="20" t="s">
        <v>30</v>
      </c>
      <c r="C1350" s="20" t="s">
        <v>188</v>
      </c>
      <c r="D1350" s="20" t="s">
        <v>189</v>
      </c>
      <c r="E1350" s="20" t="s">
        <v>3755</v>
      </c>
      <c r="F1350" s="20">
        <v>1</v>
      </c>
      <c r="G1350" s="20" t="s">
        <v>92</v>
      </c>
      <c r="H1350" s="20"/>
      <c r="I1350" s="21" t="s">
        <v>3756</v>
      </c>
      <c r="J1350" s="21"/>
      <c r="K1350" s="21" t="s">
        <v>3757</v>
      </c>
      <c r="L1350" s="21" t="s">
        <v>3758</v>
      </c>
      <c r="M1350" s="21" t="s">
        <v>73</v>
      </c>
      <c r="N1350" s="21"/>
    </row>
    <row r="1351" spans="1:14" ht="64.05" customHeight="1">
      <c r="A1351" s="20" t="s">
        <v>3704</v>
      </c>
      <c r="B1351" s="20" t="s">
        <v>30</v>
      </c>
      <c r="C1351" s="20" t="s">
        <v>188</v>
      </c>
      <c r="D1351" s="20" t="s">
        <v>189</v>
      </c>
      <c r="E1351" s="20" t="s">
        <v>3759</v>
      </c>
      <c r="F1351" s="20">
        <v>1</v>
      </c>
      <c r="G1351" s="20" t="s">
        <v>2284</v>
      </c>
      <c r="H1351" s="20" t="s">
        <v>3760</v>
      </c>
      <c r="I1351" s="21" t="s">
        <v>3761</v>
      </c>
      <c r="J1351" s="21"/>
      <c r="K1351" s="21" t="s">
        <v>3762</v>
      </c>
      <c r="L1351" s="21" t="s">
        <v>3763</v>
      </c>
      <c r="M1351" s="21" t="s">
        <v>73</v>
      </c>
      <c r="N1351" s="21"/>
    </row>
    <row r="1352" spans="1:14" ht="64.05" customHeight="1">
      <c r="A1352" s="20" t="s">
        <v>3704</v>
      </c>
      <c r="B1352" s="20" t="s">
        <v>30</v>
      </c>
      <c r="C1352" s="20" t="s">
        <v>188</v>
      </c>
      <c r="D1352" s="20" t="s">
        <v>189</v>
      </c>
      <c r="E1352" s="20" t="s">
        <v>3764</v>
      </c>
      <c r="F1352" s="20">
        <v>1</v>
      </c>
      <c r="G1352" s="20" t="s">
        <v>3068</v>
      </c>
      <c r="H1352" s="20" t="s">
        <v>3652</v>
      </c>
      <c r="I1352" s="21" t="s">
        <v>3761</v>
      </c>
      <c r="J1352" s="21"/>
      <c r="K1352" s="21" t="s">
        <v>3762</v>
      </c>
      <c r="L1352" s="21" t="s">
        <v>3763</v>
      </c>
      <c r="M1352" s="21" t="s">
        <v>73</v>
      </c>
      <c r="N1352" s="21"/>
    </row>
    <row r="1353" spans="1:14" ht="64.05" customHeight="1">
      <c r="A1353" s="20" t="s">
        <v>3704</v>
      </c>
      <c r="B1353" s="20" t="s">
        <v>30</v>
      </c>
      <c r="C1353" s="20" t="s">
        <v>188</v>
      </c>
      <c r="D1353" s="20" t="s">
        <v>189</v>
      </c>
      <c r="E1353" s="20" t="s">
        <v>3765</v>
      </c>
      <c r="F1353" s="20">
        <v>1</v>
      </c>
      <c r="G1353" s="20" t="s">
        <v>3068</v>
      </c>
      <c r="H1353" s="20" t="s">
        <v>3652</v>
      </c>
      <c r="I1353" s="21" t="s">
        <v>3761</v>
      </c>
      <c r="J1353" s="21"/>
      <c r="K1353" s="21" t="s">
        <v>3762</v>
      </c>
      <c r="L1353" s="21" t="s">
        <v>3766</v>
      </c>
      <c r="M1353" s="21" t="s">
        <v>73</v>
      </c>
      <c r="N1353" s="21"/>
    </row>
    <row r="1354" spans="1:14" ht="64.05" customHeight="1">
      <c r="A1354" s="20" t="s">
        <v>3704</v>
      </c>
      <c r="B1354" s="20" t="s">
        <v>30</v>
      </c>
      <c r="C1354" s="20" t="s">
        <v>188</v>
      </c>
      <c r="D1354" s="20" t="s">
        <v>189</v>
      </c>
      <c r="E1354" s="20" t="s">
        <v>3767</v>
      </c>
      <c r="F1354" s="20">
        <v>1</v>
      </c>
      <c r="G1354" s="20" t="s">
        <v>3768</v>
      </c>
      <c r="H1354" s="20" t="s">
        <v>3769</v>
      </c>
      <c r="I1354" s="21" t="s">
        <v>3761</v>
      </c>
      <c r="J1354" s="21"/>
      <c r="K1354" s="21" t="s">
        <v>3762</v>
      </c>
      <c r="L1354" s="21" t="s">
        <v>3763</v>
      </c>
      <c r="M1354" s="21" t="s">
        <v>73</v>
      </c>
      <c r="N1354" s="21"/>
    </row>
    <row r="1355" spans="1:14" ht="64.05" customHeight="1">
      <c r="A1355" s="20" t="s">
        <v>3704</v>
      </c>
      <c r="B1355" s="20" t="s">
        <v>30</v>
      </c>
      <c r="C1355" s="20" t="s">
        <v>188</v>
      </c>
      <c r="D1355" s="20" t="s">
        <v>189</v>
      </c>
      <c r="E1355" s="20" t="s">
        <v>3770</v>
      </c>
      <c r="F1355" s="20">
        <v>1</v>
      </c>
      <c r="G1355" s="20" t="s">
        <v>3068</v>
      </c>
      <c r="H1355" s="20" t="s">
        <v>3652</v>
      </c>
      <c r="I1355" s="21" t="s">
        <v>3761</v>
      </c>
      <c r="J1355" s="21"/>
      <c r="K1355" s="21" t="s">
        <v>3762</v>
      </c>
      <c r="L1355" s="21" t="s">
        <v>3763</v>
      </c>
      <c r="M1355" s="21" t="s">
        <v>73</v>
      </c>
      <c r="N1355" s="21"/>
    </row>
    <row r="1356" spans="1:14" ht="64.05" customHeight="1">
      <c r="A1356" s="20" t="s">
        <v>3704</v>
      </c>
      <c r="B1356" s="20" t="s">
        <v>30</v>
      </c>
      <c r="C1356" s="20" t="s">
        <v>188</v>
      </c>
      <c r="D1356" s="20" t="s">
        <v>189</v>
      </c>
      <c r="E1356" s="20" t="s">
        <v>3771</v>
      </c>
      <c r="F1356" s="20">
        <v>1</v>
      </c>
      <c r="G1356" s="20" t="s">
        <v>175</v>
      </c>
      <c r="H1356" s="20" t="s">
        <v>3772</v>
      </c>
      <c r="I1356" s="21" t="s">
        <v>3761</v>
      </c>
      <c r="J1356" s="21"/>
      <c r="K1356" s="21" t="s">
        <v>3762</v>
      </c>
      <c r="L1356" s="21" t="s">
        <v>3773</v>
      </c>
      <c r="M1356" s="21" t="s">
        <v>73</v>
      </c>
      <c r="N1356" s="21"/>
    </row>
    <row r="1357" spans="1:14" ht="64.05" customHeight="1">
      <c r="A1357" s="20" t="s">
        <v>3704</v>
      </c>
      <c r="B1357" s="20" t="s">
        <v>30</v>
      </c>
      <c r="C1357" s="20" t="s">
        <v>188</v>
      </c>
      <c r="D1357" s="20" t="s">
        <v>189</v>
      </c>
      <c r="E1357" s="20" t="s">
        <v>3774</v>
      </c>
      <c r="F1357" s="20">
        <v>1</v>
      </c>
      <c r="G1357" s="20" t="s">
        <v>3775</v>
      </c>
      <c r="H1357" s="20" t="s">
        <v>3776</v>
      </c>
      <c r="I1357" s="21" t="s">
        <v>3761</v>
      </c>
      <c r="J1357" s="21"/>
      <c r="K1357" s="21" t="s">
        <v>3762</v>
      </c>
      <c r="L1357" s="21" t="s">
        <v>3766</v>
      </c>
      <c r="M1357" s="21" t="s">
        <v>73</v>
      </c>
      <c r="N1357" s="21"/>
    </row>
    <row r="1358" spans="1:14" ht="64.05" customHeight="1">
      <c r="A1358" s="20" t="s">
        <v>3704</v>
      </c>
      <c r="B1358" s="20" t="s">
        <v>30</v>
      </c>
      <c r="C1358" s="20" t="s">
        <v>188</v>
      </c>
      <c r="D1358" s="20" t="s">
        <v>189</v>
      </c>
      <c r="E1358" s="20" t="s">
        <v>3777</v>
      </c>
      <c r="F1358" s="20">
        <v>1</v>
      </c>
      <c r="G1358" s="20" t="s">
        <v>3775</v>
      </c>
      <c r="H1358" s="20" t="s">
        <v>3776</v>
      </c>
      <c r="I1358" s="21" t="s">
        <v>3778</v>
      </c>
      <c r="J1358" s="21"/>
      <c r="K1358" s="21" t="s">
        <v>3762</v>
      </c>
      <c r="L1358" s="21" t="s">
        <v>3779</v>
      </c>
      <c r="M1358" s="21" t="s">
        <v>73</v>
      </c>
      <c r="N1358" s="21"/>
    </row>
    <row r="1359" spans="1:14" ht="64.05" customHeight="1">
      <c r="A1359" s="20" t="s">
        <v>3704</v>
      </c>
      <c r="B1359" s="20" t="s">
        <v>30</v>
      </c>
      <c r="C1359" s="20" t="s">
        <v>188</v>
      </c>
      <c r="D1359" s="20" t="s">
        <v>189</v>
      </c>
      <c r="E1359" s="20" t="s">
        <v>3780</v>
      </c>
      <c r="F1359" s="20">
        <v>1</v>
      </c>
      <c r="G1359" s="20" t="s">
        <v>3781</v>
      </c>
      <c r="H1359" s="20" t="s">
        <v>3782</v>
      </c>
      <c r="I1359" s="21" t="s">
        <v>3783</v>
      </c>
      <c r="J1359" s="21"/>
      <c r="K1359" s="21" t="s">
        <v>3762</v>
      </c>
      <c r="L1359" s="21" t="s">
        <v>3784</v>
      </c>
      <c r="M1359" s="21" t="s">
        <v>73</v>
      </c>
      <c r="N1359" s="21"/>
    </row>
    <row r="1360" spans="1:14" ht="64.05" customHeight="1">
      <c r="A1360" s="20" t="s">
        <v>3704</v>
      </c>
      <c r="B1360" s="20" t="s">
        <v>30</v>
      </c>
      <c r="C1360" s="20" t="s">
        <v>188</v>
      </c>
      <c r="D1360" s="20" t="s">
        <v>189</v>
      </c>
      <c r="E1360" s="20" t="s">
        <v>3785</v>
      </c>
      <c r="F1360" s="20">
        <v>1</v>
      </c>
      <c r="G1360" s="20" t="s">
        <v>3781</v>
      </c>
      <c r="H1360" s="20" t="s">
        <v>3782</v>
      </c>
      <c r="I1360" s="21" t="s">
        <v>3786</v>
      </c>
      <c r="J1360" s="21"/>
      <c r="K1360" s="21" t="s">
        <v>3762</v>
      </c>
      <c r="L1360" s="21" t="s">
        <v>3766</v>
      </c>
      <c r="M1360" s="21" t="s">
        <v>73</v>
      </c>
      <c r="N1360" s="21"/>
    </row>
    <row r="1361" spans="1:14" ht="64.05" customHeight="1">
      <c r="A1361" s="20" t="s">
        <v>3704</v>
      </c>
      <c r="B1361" s="20" t="s">
        <v>30</v>
      </c>
      <c r="C1361" s="20" t="s">
        <v>188</v>
      </c>
      <c r="D1361" s="20" t="s">
        <v>189</v>
      </c>
      <c r="E1361" s="20" t="s">
        <v>3787</v>
      </c>
      <c r="F1361" s="20">
        <v>1</v>
      </c>
      <c r="G1361" s="20" t="s">
        <v>3781</v>
      </c>
      <c r="H1361" s="20" t="s">
        <v>3782</v>
      </c>
      <c r="I1361" s="21" t="s">
        <v>3786</v>
      </c>
      <c r="J1361" s="21"/>
      <c r="K1361" s="21" t="s">
        <v>3762</v>
      </c>
      <c r="L1361" s="21" t="s">
        <v>3784</v>
      </c>
      <c r="M1361" s="21" t="s">
        <v>73</v>
      </c>
      <c r="N1361" s="21"/>
    </row>
    <row r="1362" spans="1:14" ht="64.05" customHeight="1">
      <c r="A1362" s="20" t="s">
        <v>3704</v>
      </c>
      <c r="B1362" s="20" t="s">
        <v>30</v>
      </c>
      <c r="C1362" s="20" t="s">
        <v>188</v>
      </c>
      <c r="D1362" s="20" t="s">
        <v>189</v>
      </c>
      <c r="E1362" s="20" t="s">
        <v>3788</v>
      </c>
      <c r="F1362" s="20">
        <v>1</v>
      </c>
      <c r="G1362" s="20" t="s">
        <v>3789</v>
      </c>
      <c r="H1362" s="20" t="s">
        <v>3790</v>
      </c>
      <c r="I1362" s="21" t="s">
        <v>3761</v>
      </c>
      <c r="J1362" s="21"/>
      <c r="K1362" s="21" t="s">
        <v>3762</v>
      </c>
      <c r="L1362" s="21" t="s">
        <v>3766</v>
      </c>
      <c r="M1362" s="21" t="s">
        <v>73</v>
      </c>
      <c r="N1362" s="21"/>
    </row>
    <row r="1363" spans="1:14" ht="64.05" customHeight="1">
      <c r="A1363" s="20" t="s">
        <v>3704</v>
      </c>
      <c r="B1363" s="20" t="s">
        <v>30</v>
      </c>
      <c r="C1363" s="20" t="s">
        <v>188</v>
      </c>
      <c r="D1363" s="20" t="s">
        <v>189</v>
      </c>
      <c r="E1363" s="20" t="s">
        <v>3791</v>
      </c>
      <c r="F1363" s="20">
        <v>1</v>
      </c>
      <c r="G1363" s="20" t="s">
        <v>3768</v>
      </c>
      <c r="H1363" s="20" t="s">
        <v>1728</v>
      </c>
      <c r="I1363" s="21" t="s">
        <v>3761</v>
      </c>
      <c r="J1363" s="21"/>
      <c r="K1363" s="21" t="s">
        <v>3762</v>
      </c>
      <c r="L1363" s="21" t="s">
        <v>3779</v>
      </c>
      <c r="M1363" s="21" t="s">
        <v>73</v>
      </c>
      <c r="N1363" s="21"/>
    </row>
    <row r="1364" spans="1:14" ht="64.05" customHeight="1">
      <c r="A1364" s="20" t="s">
        <v>3704</v>
      </c>
      <c r="B1364" s="20" t="s">
        <v>30</v>
      </c>
      <c r="C1364" s="20" t="s">
        <v>188</v>
      </c>
      <c r="D1364" s="20" t="s">
        <v>189</v>
      </c>
      <c r="E1364" s="20" t="s">
        <v>3792</v>
      </c>
      <c r="F1364" s="20">
        <v>1</v>
      </c>
      <c r="G1364" s="20" t="s">
        <v>1236</v>
      </c>
      <c r="H1364" s="20" t="s">
        <v>3793</v>
      </c>
      <c r="I1364" s="21" t="s">
        <v>3761</v>
      </c>
      <c r="J1364" s="21"/>
      <c r="K1364" s="21" t="s">
        <v>3762</v>
      </c>
      <c r="L1364" s="21" t="s">
        <v>3779</v>
      </c>
      <c r="M1364" s="21" t="s">
        <v>73</v>
      </c>
      <c r="N1364" s="21"/>
    </row>
    <row r="1365" spans="1:14" ht="64.05" customHeight="1">
      <c r="A1365" s="20" t="s">
        <v>3704</v>
      </c>
      <c r="B1365" s="20" t="s">
        <v>30</v>
      </c>
      <c r="C1365" s="20" t="s">
        <v>188</v>
      </c>
      <c r="D1365" s="20" t="s">
        <v>189</v>
      </c>
      <c r="E1365" s="20" t="s">
        <v>3794</v>
      </c>
      <c r="F1365" s="20">
        <v>1</v>
      </c>
      <c r="G1365" s="20" t="s">
        <v>2284</v>
      </c>
      <c r="H1365" s="20" t="s">
        <v>3760</v>
      </c>
      <c r="I1365" s="21" t="s">
        <v>3761</v>
      </c>
      <c r="J1365" s="21"/>
      <c r="K1365" s="21" t="s">
        <v>3762</v>
      </c>
      <c r="L1365" s="21" t="s">
        <v>3784</v>
      </c>
      <c r="M1365" s="21" t="s">
        <v>73</v>
      </c>
      <c r="N1365" s="21"/>
    </row>
    <row r="1366" spans="1:14" ht="64.05" customHeight="1">
      <c r="A1366" s="20" t="s">
        <v>3704</v>
      </c>
      <c r="B1366" s="20" t="s">
        <v>30</v>
      </c>
      <c r="C1366" s="20" t="s">
        <v>188</v>
      </c>
      <c r="D1366" s="20" t="s">
        <v>189</v>
      </c>
      <c r="E1366" s="20" t="s">
        <v>3795</v>
      </c>
      <c r="F1366" s="20">
        <v>1</v>
      </c>
      <c r="G1366" s="20" t="s">
        <v>3796</v>
      </c>
      <c r="H1366" s="20" t="s">
        <v>3797</v>
      </c>
      <c r="I1366" s="21" t="s">
        <v>3761</v>
      </c>
      <c r="J1366" s="21"/>
      <c r="K1366" s="21" t="s">
        <v>3762</v>
      </c>
      <c r="L1366" s="21" t="s">
        <v>3779</v>
      </c>
      <c r="M1366" s="21" t="s">
        <v>73</v>
      </c>
      <c r="N1366" s="21"/>
    </row>
    <row r="1367" spans="1:14" ht="64.05" customHeight="1">
      <c r="A1367" s="20" t="s">
        <v>3704</v>
      </c>
      <c r="B1367" s="20" t="s">
        <v>30</v>
      </c>
      <c r="C1367" s="20" t="s">
        <v>188</v>
      </c>
      <c r="D1367" s="20" t="s">
        <v>189</v>
      </c>
      <c r="E1367" s="20" t="s">
        <v>3798</v>
      </c>
      <c r="F1367" s="20">
        <v>1</v>
      </c>
      <c r="G1367" s="20" t="s">
        <v>175</v>
      </c>
      <c r="H1367" s="20" t="s">
        <v>3772</v>
      </c>
      <c r="I1367" s="21" t="s">
        <v>3761</v>
      </c>
      <c r="J1367" s="21"/>
      <c r="K1367" s="21" t="s">
        <v>3762</v>
      </c>
      <c r="L1367" s="21" t="s">
        <v>3779</v>
      </c>
      <c r="M1367" s="21" t="s">
        <v>73</v>
      </c>
      <c r="N1367" s="21"/>
    </row>
    <row r="1368" spans="1:14" ht="64.05" customHeight="1">
      <c r="A1368" s="20" t="s">
        <v>3704</v>
      </c>
      <c r="B1368" s="20" t="s">
        <v>26</v>
      </c>
      <c r="C1368" s="20" t="s">
        <v>196</v>
      </c>
      <c r="D1368" s="20" t="s">
        <v>197</v>
      </c>
      <c r="E1368" s="20" t="s">
        <v>3799</v>
      </c>
      <c r="F1368" s="20">
        <v>1</v>
      </c>
      <c r="G1368" s="20"/>
      <c r="H1368" s="20"/>
      <c r="I1368" s="21" t="s">
        <v>3800</v>
      </c>
      <c r="J1368" s="21"/>
      <c r="K1368" s="21" t="s">
        <v>406</v>
      </c>
      <c r="L1368" s="21" t="s">
        <v>3801</v>
      </c>
      <c r="M1368" s="21" t="s">
        <v>102</v>
      </c>
      <c r="N1368" s="21"/>
    </row>
    <row r="1369" spans="1:14" ht="64.05" customHeight="1">
      <c r="A1369" s="20" t="s">
        <v>3704</v>
      </c>
      <c r="B1369" s="20" t="s">
        <v>33</v>
      </c>
      <c r="C1369" s="20" t="s">
        <v>2314</v>
      </c>
      <c r="D1369" s="20" t="s">
        <v>2315</v>
      </c>
      <c r="E1369" s="20" t="s">
        <v>3802</v>
      </c>
      <c r="F1369" s="20">
        <v>1</v>
      </c>
      <c r="G1369" s="20" t="s">
        <v>3803</v>
      </c>
      <c r="H1369" s="20" t="s">
        <v>660</v>
      </c>
      <c r="I1369" s="21" t="s">
        <v>151</v>
      </c>
      <c r="J1369" s="21"/>
      <c r="K1369" s="21"/>
      <c r="L1369" s="21" t="s">
        <v>3804</v>
      </c>
      <c r="M1369" s="21" t="s">
        <v>73</v>
      </c>
      <c r="N1369" s="21"/>
    </row>
    <row r="1370" spans="1:14" ht="64.05" customHeight="1">
      <c r="A1370" s="20" t="s">
        <v>3704</v>
      </c>
      <c r="B1370" s="20" t="s">
        <v>33</v>
      </c>
      <c r="C1370" s="20" t="s">
        <v>2088</v>
      </c>
      <c r="D1370" s="20" t="s">
        <v>3674</v>
      </c>
      <c r="E1370" s="20" t="s">
        <v>3805</v>
      </c>
      <c r="F1370" s="20">
        <v>1</v>
      </c>
      <c r="G1370" s="20" t="s">
        <v>92</v>
      </c>
      <c r="H1370" s="20"/>
      <c r="I1370" s="21" t="s">
        <v>60</v>
      </c>
      <c r="J1370" s="21"/>
      <c r="K1370" s="21"/>
      <c r="L1370" s="21" t="s">
        <v>3806</v>
      </c>
      <c r="M1370" s="21" t="s">
        <v>102</v>
      </c>
      <c r="N1370" s="21"/>
    </row>
    <row r="1371" spans="1:14" ht="64.05" customHeight="1">
      <c r="A1371" s="20" t="s">
        <v>3704</v>
      </c>
      <c r="B1371" s="20" t="s">
        <v>33</v>
      </c>
      <c r="C1371" s="20" t="s">
        <v>2314</v>
      </c>
      <c r="D1371" s="20" t="s">
        <v>2315</v>
      </c>
      <c r="E1371" s="20" t="s">
        <v>3807</v>
      </c>
      <c r="F1371" s="20">
        <v>1</v>
      </c>
      <c r="G1371" s="20" t="s">
        <v>3808</v>
      </c>
      <c r="H1371" s="20" t="s">
        <v>3809</v>
      </c>
      <c r="I1371" s="21" t="s">
        <v>3810</v>
      </c>
      <c r="J1371" s="21"/>
      <c r="K1371" s="21"/>
      <c r="L1371" s="21" t="s">
        <v>3811</v>
      </c>
      <c r="M1371" s="21" t="s">
        <v>62</v>
      </c>
      <c r="N1371" s="21" t="s">
        <v>130</v>
      </c>
    </row>
    <row r="1372" spans="1:14" ht="64.05" customHeight="1">
      <c r="A1372" s="20" t="s">
        <v>3704</v>
      </c>
      <c r="B1372" s="20" t="s">
        <v>33</v>
      </c>
      <c r="C1372" s="20" t="s">
        <v>2314</v>
      </c>
      <c r="D1372" s="20" t="s">
        <v>2315</v>
      </c>
      <c r="E1372" s="20" t="s">
        <v>3812</v>
      </c>
      <c r="F1372" s="20">
        <v>1</v>
      </c>
      <c r="G1372" s="20" t="s">
        <v>3808</v>
      </c>
      <c r="H1372" s="20" t="s">
        <v>3809</v>
      </c>
      <c r="I1372" s="21" t="s">
        <v>3810</v>
      </c>
      <c r="J1372" s="21"/>
      <c r="K1372" s="21"/>
      <c r="L1372" s="21" t="s">
        <v>3811</v>
      </c>
      <c r="M1372" s="21" t="s">
        <v>62</v>
      </c>
      <c r="N1372" s="21" t="s">
        <v>130</v>
      </c>
    </row>
    <row r="1373" spans="1:14" ht="64.05" customHeight="1">
      <c r="A1373" s="20" t="s">
        <v>3704</v>
      </c>
      <c r="B1373" s="20" t="s">
        <v>33</v>
      </c>
      <c r="C1373" s="20" t="s">
        <v>2103</v>
      </c>
      <c r="D1373" s="20" t="s">
        <v>2104</v>
      </c>
      <c r="E1373" s="20" t="s">
        <v>3813</v>
      </c>
      <c r="F1373" s="20">
        <v>1</v>
      </c>
      <c r="G1373" s="20" t="s">
        <v>3814</v>
      </c>
      <c r="H1373" s="20" t="s">
        <v>1206</v>
      </c>
      <c r="I1373" s="21" t="s">
        <v>3815</v>
      </c>
      <c r="J1373" s="21" t="s">
        <v>245</v>
      </c>
      <c r="K1373" s="21"/>
      <c r="L1373" s="21" t="s">
        <v>3816</v>
      </c>
      <c r="M1373" s="21" t="s">
        <v>73</v>
      </c>
      <c r="N1373" s="21"/>
    </row>
    <row r="1374" spans="1:14" ht="64.05" customHeight="1">
      <c r="A1374" s="20" t="s">
        <v>3704</v>
      </c>
      <c r="B1374" s="20" t="s">
        <v>33</v>
      </c>
      <c r="C1374" s="20" t="s">
        <v>2103</v>
      </c>
      <c r="D1374" s="20" t="s">
        <v>2104</v>
      </c>
      <c r="E1374" s="20" t="s">
        <v>3817</v>
      </c>
      <c r="F1374" s="20">
        <v>1</v>
      </c>
      <c r="G1374" s="20" t="s">
        <v>3814</v>
      </c>
      <c r="H1374" s="20" t="s">
        <v>1206</v>
      </c>
      <c r="I1374" s="21" t="s">
        <v>3815</v>
      </c>
      <c r="J1374" s="21" t="s">
        <v>245</v>
      </c>
      <c r="K1374" s="21"/>
      <c r="L1374" s="21" t="s">
        <v>3816</v>
      </c>
      <c r="M1374" s="21" t="s">
        <v>73</v>
      </c>
      <c r="N1374" s="21"/>
    </row>
    <row r="1375" spans="1:14" ht="64.05" customHeight="1">
      <c r="A1375" s="20" t="s">
        <v>3704</v>
      </c>
      <c r="B1375" s="20" t="s">
        <v>33</v>
      </c>
      <c r="C1375" s="20" t="s">
        <v>2103</v>
      </c>
      <c r="D1375" s="20" t="s">
        <v>2104</v>
      </c>
      <c r="E1375" s="20" t="s">
        <v>3818</v>
      </c>
      <c r="F1375" s="20">
        <v>1</v>
      </c>
      <c r="G1375" s="20" t="s">
        <v>3819</v>
      </c>
      <c r="H1375" s="20" t="s">
        <v>3820</v>
      </c>
      <c r="I1375" s="21" t="s">
        <v>3821</v>
      </c>
      <c r="J1375" s="21"/>
      <c r="K1375" s="21" t="s">
        <v>3822</v>
      </c>
      <c r="L1375" s="21" t="s">
        <v>3823</v>
      </c>
      <c r="M1375" s="21" t="s">
        <v>73</v>
      </c>
      <c r="N1375" s="21"/>
    </row>
    <row r="1376" spans="1:14" ht="64.05" customHeight="1">
      <c r="A1376" s="20" t="s">
        <v>3704</v>
      </c>
      <c r="B1376" s="20" t="s">
        <v>33</v>
      </c>
      <c r="C1376" s="20" t="s">
        <v>2103</v>
      </c>
      <c r="D1376" s="20" t="s">
        <v>2104</v>
      </c>
      <c r="E1376" s="20" t="s">
        <v>3824</v>
      </c>
      <c r="F1376" s="20">
        <v>1</v>
      </c>
      <c r="G1376" s="20" t="s">
        <v>3819</v>
      </c>
      <c r="H1376" s="20" t="s">
        <v>3820</v>
      </c>
      <c r="I1376" s="21" t="s">
        <v>3825</v>
      </c>
      <c r="J1376" s="21"/>
      <c r="K1376" s="21" t="s">
        <v>3822</v>
      </c>
      <c r="L1376" s="21" t="s">
        <v>3826</v>
      </c>
      <c r="M1376" s="21" t="s">
        <v>73</v>
      </c>
      <c r="N1376" s="21"/>
    </row>
    <row r="1377" spans="1:14" ht="64.05" customHeight="1">
      <c r="A1377" s="20" t="s">
        <v>3704</v>
      </c>
      <c r="B1377" s="20" t="s">
        <v>33</v>
      </c>
      <c r="C1377" s="20" t="s">
        <v>2103</v>
      </c>
      <c r="D1377" s="20" t="s">
        <v>2104</v>
      </c>
      <c r="E1377" s="20" t="s">
        <v>3827</v>
      </c>
      <c r="F1377" s="20">
        <v>1</v>
      </c>
      <c r="G1377" s="20" t="s">
        <v>3819</v>
      </c>
      <c r="H1377" s="20" t="s">
        <v>3820</v>
      </c>
      <c r="I1377" s="21" t="s">
        <v>3828</v>
      </c>
      <c r="J1377" s="21"/>
      <c r="K1377" s="21" t="s">
        <v>3822</v>
      </c>
      <c r="L1377" s="21" t="s">
        <v>3829</v>
      </c>
      <c r="M1377" s="21" t="s">
        <v>73</v>
      </c>
      <c r="N1377" s="21"/>
    </row>
    <row r="1378" spans="1:14" ht="64.05" customHeight="1">
      <c r="A1378" s="20" t="s">
        <v>3704</v>
      </c>
      <c r="B1378" s="20" t="s">
        <v>33</v>
      </c>
      <c r="C1378" s="20" t="s">
        <v>2103</v>
      </c>
      <c r="D1378" s="20" t="s">
        <v>2104</v>
      </c>
      <c r="E1378" s="20" t="s">
        <v>3830</v>
      </c>
      <c r="F1378" s="20">
        <v>1</v>
      </c>
      <c r="G1378" s="20" t="s">
        <v>3819</v>
      </c>
      <c r="H1378" s="20" t="s">
        <v>3820</v>
      </c>
      <c r="I1378" s="21" t="s">
        <v>3828</v>
      </c>
      <c r="J1378" s="21"/>
      <c r="K1378" s="21" t="s">
        <v>3822</v>
      </c>
      <c r="L1378" s="21" t="s">
        <v>3831</v>
      </c>
      <c r="M1378" s="21" t="s">
        <v>73</v>
      </c>
      <c r="N1378" s="21"/>
    </row>
    <row r="1379" spans="1:14" ht="64.05" customHeight="1">
      <c r="A1379" s="20" t="s">
        <v>3704</v>
      </c>
      <c r="B1379" s="20" t="s">
        <v>33</v>
      </c>
      <c r="C1379" s="20" t="s">
        <v>2103</v>
      </c>
      <c r="D1379" s="20" t="s">
        <v>2104</v>
      </c>
      <c r="E1379" s="20" t="s">
        <v>3832</v>
      </c>
      <c r="F1379" s="20">
        <v>1</v>
      </c>
      <c r="G1379" s="20" t="s">
        <v>1431</v>
      </c>
      <c r="H1379" s="20" t="s">
        <v>3820</v>
      </c>
      <c r="I1379" s="21" t="s">
        <v>3833</v>
      </c>
      <c r="J1379" s="21"/>
      <c r="K1379" s="21" t="s">
        <v>3822</v>
      </c>
      <c r="L1379" s="21" t="s">
        <v>3834</v>
      </c>
      <c r="M1379" s="21" t="s">
        <v>73</v>
      </c>
      <c r="N1379" s="21"/>
    </row>
    <row r="1380" spans="1:14" ht="64.05" customHeight="1">
      <c r="A1380" s="20" t="s">
        <v>3704</v>
      </c>
      <c r="B1380" s="20" t="s">
        <v>33</v>
      </c>
      <c r="C1380" s="20" t="s">
        <v>2103</v>
      </c>
      <c r="D1380" s="20" t="s">
        <v>2104</v>
      </c>
      <c r="E1380" s="20" t="s">
        <v>3835</v>
      </c>
      <c r="F1380" s="20">
        <v>1</v>
      </c>
      <c r="G1380" s="20" t="s">
        <v>92</v>
      </c>
      <c r="H1380" s="20"/>
      <c r="I1380" s="21" t="s">
        <v>140</v>
      </c>
      <c r="J1380" s="21" t="s">
        <v>99</v>
      </c>
      <c r="K1380" s="21" t="s">
        <v>3836</v>
      </c>
      <c r="L1380" s="21" t="s">
        <v>3837</v>
      </c>
      <c r="M1380" s="21" t="s">
        <v>102</v>
      </c>
      <c r="N1380" s="21"/>
    </row>
    <row r="1381" spans="1:14" ht="64.05" customHeight="1">
      <c r="A1381" s="20" t="s">
        <v>3704</v>
      </c>
      <c r="B1381" s="20" t="s">
        <v>33</v>
      </c>
      <c r="C1381" s="20" t="s">
        <v>2103</v>
      </c>
      <c r="D1381" s="20" t="s">
        <v>2104</v>
      </c>
      <c r="E1381" s="20" t="s">
        <v>3838</v>
      </c>
      <c r="F1381" s="20">
        <v>1</v>
      </c>
      <c r="G1381" s="20" t="s">
        <v>92</v>
      </c>
      <c r="H1381" s="20"/>
      <c r="I1381" s="21" t="s">
        <v>140</v>
      </c>
      <c r="J1381" s="21" t="s">
        <v>99</v>
      </c>
      <c r="K1381" s="21" t="s">
        <v>3836</v>
      </c>
      <c r="L1381" s="21" t="s">
        <v>3837</v>
      </c>
      <c r="M1381" s="21" t="s">
        <v>102</v>
      </c>
      <c r="N1381" s="21"/>
    </row>
    <row r="1382" spans="1:14" ht="64.05" customHeight="1">
      <c r="A1382" s="20" t="s">
        <v>3704</v>
      </c>
      <c r="B1382" s="20" t="s">
        <v>33</v>
      </c>
      <c r="C1382" s="20" t="s">
        <v>2103</v>
      </c>
      <c r="D1382" s="20" t="s">
        <v>2104</v>
      </c>
      <c r="E1382" s="20" t="s">
        <v>3839</v>
      </c>
      <c r="F1382" s="20">
        <v>1</v>
      </c>
      <c r="G1382" s="20" t="s">
        <v>92</v>
      </c>
      <c r="H1382" s="20"/>
      <c r="I1382" s="21" t="s">
        <v>140</v>
      </c>
      <c r="J1382" s="21" t="s">
        <v>99</v>
      </c>
      <c r="K1382" s="21" t="s">
        <v>3836</v>
      </c>
      <c r="L1382" s="21" t="s">
        <v>3837</v>
      </c>
      <c r="M1382" s="21" t="s">
        <v>102</v>
      </c>
      <c r="N1382" s="21"/>
    </row>
    <row r="1383" spans="1:14" ht="64.05" customHeight="1">
      <c r="A1383" s="20" t="s">
        <v>3704</v>
      </c>
      <c r="B1383" s="20" t="s">
        <v>33</v>
      </c>
      <c r="C1383" s="20" t="s">
        <v>2103</v>
      </c>
      <c r="D1383" s="20" t="s">
        <v>2104</v>
      </c>
      <c r="E1383" s="20" t="s">
        <v>3840</v>
      </c>
      <c r="F1383" s="20">
        <v>1</v>
      </c>
      <c r="G1383" s="20" t="s">
        <v>92</v>
      </c>
      <c r="H1383" s="20"/>
      <c r="I1383" s="21" t="s">
        <v>140</v>
      </c>
      <c r="J1383" s="21" t="s">
        <v>99</v>
      </c>
      <c r="K1383" s="21" t="s">
        <v>3836</v>
      </c>
      <c r="L1383" s="21" t="s">
        <v>3837</v>
      </c>
      <c r="M1383" s="21" t="s">
        <v>102</v>
      </c>
      <c r="N1383" s="21"/>
    </row>
    <row r="1384" spans="1:14" ht="64.05" customHeight="1">
      <c r="A1384" s="20" t="s">
        <v>3704</v>
      </c>
      <c r="B1384" s="20" t="s">
        <v>33</v>
      </c>
      <c r="C1384" s="20" t="s">
        <v>2103</v>
      </c>
      <c r="D1384" s="20" t="s">
        <v>2104</v>
      </c>
      <c r="E1384" s="20" t="s">
        <v>3841</v>
      </c>
      <c r="F1384" s="20">
        <v>1</v>
      </c>
      <c r="G1384" s="20" t="s">
        <v>92</v>
      </c>
      <c r="H1384" s="20"/>
      <c r="I1384" s="21" t="s">
        <v>140</v>
      </c>
      <c r="J1384" s="21" t="s">
        <v>99</v>
      </c>
      <c r="K1384" s="21" t="s">
        <v>3836</v>
      </c>
      <c r="L1384" s="21" t="s">
        <v>3837</v>
      </c>
      <c r="M1384" s="21" t="s">
        <v>102</v>
      </c>
      <c r="N1384" s="21"/>
    </row>
    <row r="1385" spans="1:14" ht="64.05" customHeight="1">
      <c r="A1385" s="20" t="s">
        <v>3704</v>
      </c>
      <c r="B1385" s="20" t="s">
        <v>33</v>
      </c>
      <c r="C1385" s="20" t="s">
        <v>2103</v>
      </c>
      <c r="D1385" s="20" t="s">
        <v>2104</v>
      </c>
      <c r="E1385" s="20" t="s">
        <v>3842</v>
      </c>
      <c r="F1385" s="20">
        <v>1</v>
      </c>
      <c r="G1385" s="20" t="s">
        <v>92</v>
      </c>
      <c r="H1385" s="20"/>
      <c r="I1385" s="21" t="s">
        <v>140</v>
      </c>
      <c r="J1385" s="21" t="s">
        <v>672</v>
      </c>
      <c r="K1385" s="21"/>
      <c r="L1385" s="21" t="s">
        <v>3843</v>
      </c>
      <c r="M1385" s="21" t="s">
        <v>102</v>
      </c>
      <c r="N1385" s="21"/>
    </row>
    <row r="1386" spans="1:14" ht="64.05" customHeight="1">
      <c r="A1386" s="20" t="s">
        <v>3704</v>
      </c>
      <c r="B1386" s="20" t="s">
        <v>31</v>
      </c>
      <c r="C1386" s="20" t="s">
        <v>491</v>
      </c>
      <c r="D1386" s="20" t="s">
        <v>492</v>
      </c>
      <c r="E1386" s="20" t="s">
        <v>3844</v>
      </c>
      <c r="F1386" s="20">
        <v>1</v>
      </c>
      <c r="G1386" s="20" t="s">
        <v>2589</v>
      </c>
      <c r="H1386" s="20" t="s">
        <v>1009</v>
      </c>
      <c r="I1386" s="21" t="s">
        <v>517</v>
      </c>
      <c r="J1386" s="21" t="s">
        <v>245</v>
      </c>
      <c r="K1386" s="21"/>
      <c r="L1386" s="21" t="s">
        <v>3845</v>
      </c>
      <c r="M1386" s="21" t="s">
        <v>62</v>
      </c>
      <c r="N1386" s="21" t="s">
        <v>1435</v>
      </c>
    </row>
    <row r="1387" spans="1:14" ht="64.05" customHeight="1">
      <c r="A1387" s="20" t="s">
        <v>3704</v>
      </c>
      <c r="B1387" s="20" t="s">
        <v>31</v>
      </c>
      <c r="C1387" s="20" t="s">
        <v>491</v>
      </c>
      <c r="D1387" s="20" t="s">
        <v>492</v>
      </c>
      <c r="E1387" s="20" t="s">
        <v>3846</v>
      </c>
      <c r="F1387" s="20">
        <v>1</v>
      </c>
      <c r="G1387" s="20" t="s">
        <v>2589</v>
      </c>
      <c r="H1387" s="20" t="s">
        <v>1009</v>
      </c>
      <c r="I1387" s="21" t="s">
        <v>517</v>
      </c>
      <c r="J1387" s="21" t="s">
        <v>245</v>
      </c>
      <c r="K1387" s="21"/>
      <c r="L1387" s="21" t="s">
        <v>3847</v>
      </c>
      <c r="M1387" s="21" t="s">
        <v>62</v>
      </c>
      <c r="N1387" s="21" t="s">
        <v>1435</v>
      </c>
    </row>
    <row r="1388" spans="1:14" ht="64.05" customHeight="1">
      <c r="A1388" s="20" t="s">
        <v>3704</v>
      </c>
      <c r="B1388" s="20" t="s">
        <v>32</v>
      </c>
      <c r="C1388" s="20" t="s">
        <v>200</v>
      </c>
      <c r="D1388" s="20" t="s">
        <v>201</v>
      </c>
      <c r="E1388" s="20" t="s">
        <v>3848</v>
      </c>
      <c r="F1388" s="20">
        <v>1</v>
      </c>
      <c r="G1388" s="20" t="s">
        <v>92</v>
      </c>
      <c r="H1388" s="20"/>
      <c r="I1388" s="21" t="s">
        <v>3849</v>
      </c>
      <c r="J1388" s="21"/>
      <c r="K1388" s="21" t="s">
        <v>140</v>
      </c>
      <c r="L1388" s="21" t="s">
        <v>3850</v>
      </c>
      <c r="M1388" s="21" t="s">
        <v>73</v>
      </c>
      <c r="N1388" s="21"/>
    </row>
    <row r="1389" spans="1:14" ht="64.05" customHeight="1">
      <c r="A1389" s="20" t="s">
        <v>3704</v>
      </c>
      <c r="B1389" s="20" t="s">
        <v>29</v>
      </c>
      <c r="C1389" s="20" t="s">
        <v>1084</v>
      </c>
      <c r="D1389" s="20" t="s">
        <v>1085</v>
      </c>
      <c r="E1389" s="20" t="s">
        <v>3851</v>
      </c>
      <c r="F1389" s="20">
        <v>1</v>
      </c>
      <c r="G1389" s="20" t="s">
        <v>3852</v>
      </c>
      <c r="H1389" s="20" t="s">
        <v>3853</v>
      </c>
      <c r="I1389" s="21" t="s">
        <v>3854</v>
      </c>
      <c r="J1389" s="21"/>
      <c r="K1389" s="21" t="s">
        <v>78</v>
      </c>
      <c r="L1389" s="21" t="s">
        <v>3855</v>
      </c>
      <c r="M1389" s="21" t="s">
        <v>73</v>
      </c>
      <c r="N1389" s="21"/>
    </row>
    <row r="1390" spans="1:14" ht="64.05" customHeight="1">
      <c r="A1390" s="20" t="s">
        <v>3704</v>
      </c>
      <c r="B1390" s="20" t="s">
        <v>29</v>
      </c>
      <c r="C1390" s="20" t="s">
        <v>1084</v>
      </c>
      <c r="D1390" s="20" t="s">
        <v>1085</v>
      </c>
      <c r="E1390" s="20" t="s">
        <v>3856</v>
      </c>
      <c r="F1390" s="20">
        <v>1</v>
      </c>
      <c r="G1390" s="20" t="s">
        <v>3852</v>
      </c>
      <c r="H1390" s="20" t="s">
        <v>3853</v>
      </c>
      <c r="I1390" s="21" t="s">
        <v>3854</v>
      </c>
      <c r="J1390" s="21"/>
      <c r="K1390" s="21" t="s">
        <v>78</v>
      </c>
      <c r="L1390" s="21" t="s">
        <v>3855</v>
      </c>
      <c r="M1390" s="21" t="s">
        <v>73</v>
      </c>
      <c r="N1390" s="21"/>
    </row>
    <row r="1391" spans="1:14" ht="64.05" customHeight="1">
      <c r="A1391" s="20" t="s">
        <v>3704</v>
      </c>
      <c r="B1391" s="20" t="s">
        <v>29</v>
      </c>
      <c r="C1391" s="20" t="s">
        <v>1084</v>
      </c>
      <c r="D1391" s="20" t="s">
        <v>1085</v>
      </c>
      <c r="E1391" s="20" t="s">
        <v>3857</v>
      </c>
      <c r="F1391" s="20">
        <v>1</v>
      </c>
      <c r="G1391" s="20" t="s">
        <v>3852</v>
      </c>
      <c r="H1391" s="20" t="s">
        <v>3853</v>
      </c>
      <c r="I1391" s="21" t="s">
        <v>3854</v>
      </c>
      <c r="J1391" s="21"/>
      <c r="K1391" s="21" t="s">
        <v>78</v>
      </c>
      <c r="L1391" s="21" t="s">
        <v>3855</v>
      </c>
      <c r="M1391" s="21" t="s">
        <v>73</v>
      </c>
      <c r="N1391" s="21"/>
    </row>
    <row r="1392" spans="1:14" ht="64.05" customHeight="1">
      <c r="A1392" s="20" t="s">
        <v>3704</v>
      </c>
      <c r="B1392" s="20" t="s">
        <v>29</v>
      </c>
      <c r="C1392" s="20" t="s">
        <v>1084</v>
      </c>
      <c r="D1392" s="20" t="s">
        <v>1085</v>
      </c>
      <c r="E1392" s="20" t="s">
        <v>3858</v>
      </c>
      <c r="F1392" s="20">
        <v>1</v>
      </c>
      <c r="G1392" s="20" t="s">
        <v>3859</v>
      </c>
      <c r="H1392" s="20" t="s">
        <v>3860</v>
      </c>
      <c r="I1392" s="21" t="s">
        <v>3861</v>
      </c>
      <c r="J1392" s="21"/>
      <c r="K1392" s="21" t="s">
        <v>3862</v>
      </c>
      <c r="L1392" s="21" t="s">
        <v>3863</v>
      </c>
      <c r="M1392" s="21" t="s">
        <v>73</v>
      </c>
      <c r="N1392" s="21"/>
    </row>
    <row r="1393" spans="1:14" ht="64.05" customHeight="1">
      <c r="A1393" s="20" t="s">
        <v>3704</v>
      </c>
      <c r="B1393" s="20" t="s">
        <v>29</v>
      </c>
      <c r="C1393" s="20" t="s">
        <v>1084</v>
      </c>
      <c r="D1393" s="20" t="s">
        <v>1085</v>
      </c>
      <c r="E1393" s="20" t="s">
        <v>3864</v>
      </c>
      <c r="F1393" s="20">
        <v>1</v>
      </c>
      <c r="G1393" s="20" t="s">
        <v>3852</v>
      </c>
      <c r="H1393" s="20" t="s">
        <v>3853</v>
      </c>
      <c r="I1393" s="21" t="s">
        <v>3865</v>
      </c>
      <c r="J1393" s="21"/>
      <c r="K1393" s="21" t="s">
        <v>3866</v>
      </c>
      <c r="L1393" s="21" t="s">
        <v>3867</v>
      </c>
      <c r="M1393" s="21" t="s">
        <v>73</v>
      </c>
      <c r="N1393" s="21"/>
    </row>
    <row r="1394" spans="1:14" ht="64.05" customHeight="1">
      <c r="A1394" s="20" t="s">
        <v>3704</v>
      </c>
      <c r="B1394" s="20" t="s">
        <v>29</v>
      </c>
      <c r="C1394" s="20" t="s">
        <v>1084</v>
      </c>
      <c r="D1394" s="20" t="s">
        <v>1085</v>
      </c>
      <c r="E1394" s="20" t="s">
        <v>3868</v>
      </c>
      <c r="F1394" s="20">
        <v>1</v>
      </c>
      <c r="G1394" s="20" t="s">
        <v>1569</v>
      </c>
      <c r="H1394" s="20" t="s">
        <v>3869</v>
      </c>
      <c r="I1394" s="21" t="s">
        <v>3870</v>
      </c>
      <c r="J1394" s="21"/>
      <c r="K1394" s="21" t="s">
        <v>3871</v>
      </c>
      <c r="L1394" s="21" t="s">
        <v>3872</v>
      </c>
      <c r="M1394" s="21" t="s">
        <v>73</v>
      </c>
      <c r="N1394" s="21"/>
    </row>
    <row r="1395" spans="1:14" ht="64.05" customHeight="1">
      <c r="A1395" s="20" t="s">
        <v>3873</v>
      </c>
      <c r="B1395" s="20" t="s">
        <v>20</v>
      </c>
      <c r="C1395" s="20" t="s">
        <v>65</v>
      </c>
      <c r="D1395" s="20" t="s">
        <v>66</v>
      </c>
      <c r="E1395" s="20" t="s">
        <v>3874</v>
      </c>
      <c r="F1395" s="20">
        <v>1</v>
      </c>
      <c r="G1395" s="20" t="s">
        <v>92</v>
      </c>
      <c r="H1395" s="20"/>
      <c r="I1395" s="21" t="s">
        <v>406</v>
      </c>
      <c r="J1395" s="21"/>
      <c r="K1395" s="21" t="s">
        <v>141</v>
      </c>
      <c r="L1395" s="21" t="s">
        <v>3875</v>
      </c>
      <c r="M1395" s="21" t="s">
        <v>73</v>
      </c>
      <c r="N1395" s="21"/>
    </row>
    <row r="1396" spans="1:14" ht="64.05" customHeight="1">
      <c r="A1396" s="20" t="s">
        <v>3873</v>
      </c>
      <c r="B1396" s="20" t="s">
        <v>20</v>
      </c>
      <c r="C1396" s="20" t="s">
        <v>65</v>
      </c>
      <c r="D1396" s="20" t="s">
        <v>66</v>
      </c>
      <c r="E1396" s="20" t="s">
        <v>3876</v>
      </c>
      <c r="F1396" s="20">
        <v>1</v>
      </c>
      <c r="G1396" s="20" t="s">
        <v>3877</v>
      </c>
      <c r="H1396" s="20" t="s">
        <v>3878</v>
      </c>
      <c r="I1396" s="21" t="s">
        <v>3879</v>
      </c>
      <c r="J1396" s="21"/>
      <c r="K1396" s="21" t="s">
        <v>3880</v>
      </c>
      <c r="L1396" s="21" t="s">
        <v>3881</v>
      </c>
      <c r="M1396" s="21" t="s">
        <v>62</v>
      </c>
      <c r="N1396" s="21" t="s">
        <v>187</v>
      </c>
    </row>
    <row r="1397" spans="1:14" ht="64.05" customHeight="1">
      <c r="A1397" s="20" t="s">
        <v>3873</v>
      </c>
      <c r="B1397" s="20" t="s">
        <v>20</v>
      </c>
      <c r="C1397" s="20" t="s">
        <v>65</v>
      </c>
      <c r="D1397" s="20" t="s">
        <v>66</v>
      </c>
      <c r="E1397" s="20" t="s">
        <v>3882</v>
      </c>
      <c r="F1397" s="20">
        <v>1</v>
      </c>
      <c r="G1397" s="20" t="s">
        <v>3877</v>
      </c>
      <c r="H1397" s="20" t="s">
        <v>3878</v>
      </c>
      <c r="I1397" s="21" t="s">
        <v>3883</v>
      </c>
      <c r="J1397" s="21"/>
      <c r="K1397" s="21" t="s">
        <v>3880</v>
      </c>
      <c r="L1397" s="21" t="s">
        <v>3884</v>
      </c>
      <c r="M1397" s="21" t="s">
        <v>73</v>
      </c>
      <c r="N1397" s="21"/>
    </row>
    <row r="1398" spans="1:14" ht="64.05" customHeight="1">
      <c r="A1398" s="20" t="s">
        <v>3873</v>
      </c>
      <c r="B1398" s="20" t="s">
        <v>20</v>
      </c>
      <c r="C1398" s="20" t="s">
        <v>65</v>
      </c>
      <c r="D1398" s="20" t="s">
        <v>66</v>
      </c>
      <c r="E1398" s="20" t="s">
        <v>3885</v>
      </c>
      <c r="F1398" s="20">
        <v>1</v>
      </c>
      <c r="G1398" s="20" t="s">
        <v>3877</v>
      </c>
      <c r="H1398" s="20" t="s">
        <v>3878</v>
      </c>
      <c r="I1398" s="21" t="s">
        <v>3886</v>
      </c>
      <c r="J1398" s="21"/>
      <c r="K1398" s="21" t="s">
        <v>3880</v>
      </c>
      <c r="L1398" s="21" t="s">
        <v>3884</v>
      </c>
      <c r="M1398" s="21" t="s">
        <v>73</v>
      </c>
      <c r="N1398" s="21"/>
    </row>
    <row r="1399" spans="1:14" ht="64.05" customHeight="1">
      <c r="A1399" s="20" t="s">
        <v>3873</v>
      </c>
      <c r="B1399" s="20" t="s">
        <v>20</v>
      </c>
      <c r="C1399" s="20" t="s">
        <v>65</v>
      </c>
      <c r="D1399" s="20" t="s">
        <v>66</v>
      </c>
      <c r="E1399" s="20" t="s">
        <v>3887</v>
      </c>
      <c r="F1399" s="20">
        <v>1</v>
      </c>
      <c r="G1399" s="20" t="s">
        <v>3877</v>
      </c>
      <c r="H1399" s="20" t="s">
        <v>3878</v>
      </c>
      <c r="I1399" s="21" t="s">
        <v>3883</v>
      </c>
      <c r="J1399" s="21"/>
      <c r="K1399" s="21" t="s">
        <v>3880</v>
      </c>
      <c r="L1399" s="21" t="s">
        <v>3884</v>
      </c>
      <c r="M1399" s="21" t="s">
        <v>73</v>
      </c>
      <c r="N1399" s="21"/>
    </row>
    <row r="1400" spans="1:14" ht="64.05" customHeight="1">
      <c r="A1400" s="20" t="s">
        <v>3873</v>
      </c>
      <c r="B1400" s="20" t="s">
        <v>22</v>
      </c>
      <c r="C1400" s="20" t="s">
        <v>1149</v>
      </c>
      <c r="D1400" s="20" t="s">
        <v>1150</v>
      </c>
      <c r="E1400" s="20" t="s">
        <v>3888</v>
      </c>
      <c r="F1400" s="20">
        <v>1</v>
      </c>
      <c r="G1400" s="20" t="s">
        <v>92</v>
      </c>
      <c r="H1400" s="20"/>
      <c r="I1400" s="21" t="s">
        <v>733</v>
      </c>
      <c r="J1400" s="21"/>
      <c r="K1400" s="21" t="s">
        <v>1324</v>
      </c>
      <c r="L1400" s="21" t="s">
        <v>3889</v>
      </c>
      <c r="M1400" s="21" t="s">
        <v>62</v>
      </c>
      <c r="N1400" s="21"/>
    </row>
    <row r="1401" spans="1:14" ht="64.05" customHeight="1">
      <c r="A1401" s="20" t="s">
        <v>3873</v>
      </c>
      <c r="B1401" s="20" t="s">
        <v>22</v>
      </c>
      <c r="C1401" s="20" t="s">
        <v>1149</v>
      </c>
      <c r="D1401" s="20" t="s">
        <v>1150</v>
      </c>
      <c r="E1401" s="20" t="s">
        <v>3890</v>
      </c>
      <c r="F1401" s="20">
        <v>1</v>
      </c>
      <c r="G1401" s="20" t="s">
        <v>92</v>
      </c>
      <c r="H1401" s="20"/>
      <c r="I1401" s="21" t="s">
        <v>733</v>
      </c>
      <c r="J1401" s="21"/>
      <c r="K1401" s="21" t="s">
        <v>1324</v>
      </c>
      <c r="L1401" s="21" t="s">
        <v>3889</v>
      </c>
      <c r="M1401" s="21" t="s">
        <v>62</v>
      </c>
      <c r="N1401" s="21"/>
    </row>
    <row r="1402" spans="1:14" ht="64.05" customHeight="1">
      <c r="A1402" s="20" t="s">
        <v>3873</v>
      </c>
      <c r="B1402" s="20" t="s">
        <v>22</v>
      </c>
      <c r="C1402" s="20" t="s">
        <v>1149</v>
      </c>
      <c r="D1402" s="20" t="s">
        <v>1150</v>
      </c>
      <c r="E1402" s="20" t="s">
        <v>3891</v>
      </c>
      <c r="F1402" s="20">
        <v>1</v>
      </c>
      <c r="G1402" s="20" t="s">
        <v>92</v>
      </c>
      <c r="H1402" s="20"/>
      <c r="I1402" s="21" t="s">
        <v>733</v>
      </c>
      <c r="J1402" s="21"/>
      <c r="K1402" s="21" t="s">
        <v>1324</v>
      </c>
      <c r="L1402" s="21" t="s">
        <v>3889</v>
      </c>
      <c r="M1402" s="21" t="s">
        <v>62</v>
      </c>
      <c r="N1402" s="21"/>
    </row>
    <row r="1403" spans="1:14" ht="64.05" customHeight="1">
      <c r="A1403" s="20" t="s">
        <v>3873</v>
      </c>
      <c r="B1403" s="20" t="s">
        <v>22</v>
      </c>
      <c r="C1403" s="20" t="s">
        <v>1149</v>
      </c>
      <c r="D1403" s="20" t="s">
        <v>1150</v>
      </c>
      <c r="E1403" s="20" t="s">
        <v>3892</v>
      </c>
      <c r="F1403" s="20">
        <v>1</v>
      </c>
      <c r="G1403" s="20" t="s">
        <v>92</v>
      </c>
      <c r="H1403" s="20"/>
      <c r="I1403" s="21" t="s">
        <v>733</v>
      </c>
      <c r="J1403" s="21"/>
      <c r="K1403" s="21" t="s">
        <v>1324</v>
      </c>
      <c r="L1403" s="21" t="s">
        <v>3889</v>
      </c>
      <c r="M1403" s="21" t="s">
        <v>62</v>
      </c>
      <c r="N1403" s="21"/>
    </row>
    <row r="1404" spans="1:14" ht="64.05" customHeight="1">
      <c r="A1404" s="20" t="s">
        <v>3873</v>
      </c>
      <c r="B1404" s="20" t="s">
        <v>22</v>
      </c>
      <c r="C1404" s="20" t="s">
        <v>1149</v>
      </c>
      <c r="D1404" s="20" t="s">
        <v>1150</v>
      </c>
      <c r="E1404" s="20" t="s">
        <v>3893</v>
      </c>
      <c r="F1404" s="20">
        <v>1</v>
      </c>
      <c r="G1404" s="20" t="s">
        <v>92</v>
      </c>
      <c r="H1404" s="20"/>
      <c r="I1404" s="21" t="s">
        <v>733</v>
      </c>
      <c r="J1404" s="21"/>
      <c r="K1404" s="21" t="s">
        <v>1324</v>
      </c>
      <c r="L1404" s="21" t="s">
        <v>3889</v>
      </c>
      <c r="M1404" s="21" t="s">
        <v>62</v>
      </c>
      <c r="N1404" s="21"/>
    </row>
    <row r="1405" spans="1:14" ht="64.05" customHeight="1">
      <c r="A1405" s="20" t="s">
        <v>3873</v>
      </c>
      <c r="B1405" s="20" t="s">
        <v>22</v>
      </c>
      <c r="C1405" s="20" t="s">
        <v>1149</v>
      </c>
      <c r="D1405" s="20" t="s">
        <v>1150</v>
      </c>
      <c r="E1405" s="20" t="s">
        <v>3894</v>
      </c>
      <c r="F1405" s="20">
        <v>1</v>
      </c>
      <c r="G1405" s="20" t="s">
        <v>92</v>
      </c>
      <c r="H1405" s="20"/>
      <c r="I1405" s="21" t="s">
        <v>733</v>
      </c>
      <c r="J1405" s="21"/>
      <c r="K1405" s="21" t="s">
        <v>1324</v>
      </c>
      <c r="L1405" s="21" t="s">
        <v>3889</v>
      </c>
      <c r="M1405" s="21" t="s">
        <v>62</v>
      </c>
      <c r="N1405" s="21"/>
    </row>
    <row r="1406" spans="1:14" ht="64.05" customHeight="1">
      <c r="A1406" s="20" t="s">
        <v>3873</v>
      </c>
      <c r="B1406" s="20" t="s">
        <v>22</v>
      </c>
      <c r="C1406" s="20" t="s">
        <v>1149</v>
      </c>
      <c r="D1406" s="20" t="s">
        <v>1150</v>
      </c>
      <c r="E1406" s="20" t="s">
        <v>3895</v>
      </c>
      <c r="F1406" s="20">
        <v>1</v>
      </c>
      <c r="G1406" s="20" t="s">
        <v>92</v>
      </c>
      <c r="H1406" s="20"/>
      <c r="I1406" s="21" t="s">
        <v>733</v>
      </c>
      <c r="J1406" s="21"/>
      <c r="K1406" s="21" t="s">
        <v>1324</v>
      </c>
      <c r="L1406" s="21" t="s">
        <v>3889</v>
      </c>
      <c r="M1406" s="21" t="s">
        <v>62</v>
      </c>
      <c r="N1406" s="21"/>
    </row>
    <row r="1407" spans="1:14" ht="64.05" customHeight="1">
      <c r="A1407" s="20" t="s">
        <v>3873</v>
      </c>
      <c r="B1407" s="20" t="s">
        <v>22</v>
      </c>
      <c r="C1407" s="20" t="s">
        <v>1149</v>
      </c>
      <c r="D1407" s="20" t="s">
        <v>1150</v>
      </c>
      <c r="E1407" s="20" t="s">
        <v>3896</v>
      </c>
      <c r="F1407" s="20">
        <v>1</v>
      </c>
      <c r="G1407" s="20" t="s">
        <v>92</v>
      </c>
      <c r="H1407" s="20"/>
      <c r="I1407" s="21" t="s">
        <v>733</v>
      </c>
      <c r="J1407" s="21"/>
      <c r="K1407" s="21" t="s">
        <v>1324</v>
      </c>
      <c r="L1407" s="21" t="s">
        <v>3889</v>
      </c>
      <c r="M1407" s="21" t="s">
        <v>62</v>
      </c>
      <c r="N1407" s="21"/>
    </row>
    <row r="1408" spans="1:14" ht="64.05" customHeight="1">
      <c r="A1408" s="20" t="s">
        <v>3873</v>
      </c>
      <c r="B1408" s="20" t="s">
        <v>22</v>
      </c>
      <c r="C1408" s="20" t="s">
        <v>1149</v>
      </c>
      <c r="D1408" s="20" t="s">
        <v>1150</v>
      </c>
      <c r="E1408" s="20" t="s">
        <v>3897</v>
      </c>
      <c r="F1408" s="20">
        <v>1</v>
      </c>
      <c r="G1408" s="20" t="s">
        <v>92</v>
      </c>
      <c r="H1408" s="20"/>
      <c r="I1408" s="21" t="s">
        <v>733</v>
      </c>
      <c r="J1408" s="21"/>
      <c r="K1408" s="21" t="s">
        <v>1324</v>
      </c>
      <c r="L1408" s="21" t="s">
        <v>3889</v>
      </c>
      <c r="M1408" s="21" t="s">
        <v>62</v>
      </c>
      <c r="N1408" s="21"/>
    </row>
    <row r="1409" spans="1:14" ht="64.05" customHeight="1">
      <c r="A1409" s="20" t="s">
        <v>3873</v>
      </c>
      <c r="B1409" s="20" t="s">
        <v>22</v>
      </c>
      <c r="C1409" s="20" t="s">
        <v>1149</v>
      </c>
      <c r="D1409" s="20" t="s">
        <v>1150</v>
      </c>
      <c r="E1409" s="20" t="s">
        <v>3898</v>
      </c>
      <c r="F1409" s="20">
        <v>1</v>
      </c>
      <c r="G1409" s="20" t="s">
        <v>92</v>
      </c>
      <c r="H1409" s="20"/>
      <c r="I1409" s="21" t="s">
        <v>733</v>
      </c>
      <c r="J1409" s="21"/>
      <c r="K1409" s="21" t="s">
        <v>1324</v>
      </c>
      <c r="L1409" s="21" t="s">
        <v>3889</v>
      </c>
      <c r="M1409" s="21" t="s">
        <v>62</v>
      </c>
      <c r="N1409" s="21"/>
    </row>
    <row r="1410" spans="1:14" ht="64.05" customHeight="1">
      <c r="A1410" s="20" t="s">
        <v>3873</v>
      </c>
      <c r="B1410" s="20" t="s">
        <v>22</v>
      </c>
      <c r="C1410" s="20" t="s">
        <v>1149</v>
      </c>
      <c r="D1410" s="20" t="s">
        <v>1150</v>
      </c>
      <c r="E1410" s="20" t="s">
        <v>3899</v>
      </c>
      <c r="F1410" s="20">
        <v>1</v>
      </c>
      <c r="G1410" s="20" t="s">
        <v>92</v>
      </c>
      <c r="H1410" s="20"/>
      <c r="I1410" s="21" t="s">
        <v>733</v>
      </c>
      <c r="J1410" s="21"/>
      <c r="K1410" s="21" t="s">
        <v>1324</v>
      </c>
      <c r="L1410" s="21" t="s">
        <v>3889</v>
      </c>
      <c r="M1410" s="21" t="s">
        <v>62</v>
      </c>
      <c r="N1410" s="21"/>
    </row>
    <row r="1411" spans="1:14" ht="64.05" customHeight="1">
      <c r="A1411" s="20" t="s">
        <v>3873</v>
      </c>
      <c r="B1411" s="20" t="s">
        <v>22</v>
      </c>
      <c r="C1411" s="20" t="s">
        <v>1149</v>
      </c>
      <c r="D1411" s="20" t="s">
        <v>1150</v>
      </c>
      <c r="E1411" s="20" t="s">
        <v>3900</v>
      </c>
      <c r="F1411" s="20">
        <v>1</v>
      </c>
      <c r="G1411" s="20" t="s">
        <v>92</v>
      </c>
      <c r="H1411" s="20"/>
      <c r="I1411" s="21" t="s">
        <v>733</v>
      </c>
      <c r="J1411" s="21"/>
      <c r="K1411" s="21" t="s">
        <v>1324</v>
      </c>
      <c r="L1411" s="21" t="s">
        <v>3889</v>
      </c>
      <c r="M1411" s="21" t="s">
        <v>62</v>
      </c>
      <c r="N1411" s="21"/>
    </row>
    <row r="1412" spans="1:14" ht="64.05" customHeight="1">
      <c r="A1412" s="20" t="s">
        <v>3873</v>
      </c>
      <c r="B1412" s="20" t="s">
        <v>22</v>
      </c>
      <c r="C1412" s="20" t="s">
        <v>1149</v>
      </c>
      <c r="D1412" s="20" t="s">
        <v>1150</v>
      </c>
      <c r="E1412" s="20" t="s">
        <v>3901</v>
      </c>
      <c r="F1412" s="20">
        <v>1</v>
      </c>
      <c r="G1412" s="20" t="s">
        <v>92</v>
      </c>
      <c r="H1412" s="20"/>
      <c r="I1412" s="21" t="s">
        <v>733</v>
      </c>
      <c r="J1412" s="21"/>
      <c r="K1412" s="21" t="s">
        <v>1324</v>
      </c>
      <c r="L1412" s="21" t="s">
        <v>3889</v>
      </c>
      <c r="M1412" s="21" t="s">
        <v>62</v>
      </c>
      <c r="N1412" s="21"/>
    </row>
    <row r="1413" spans="1:14" ht="64.05" customHeight="1">
      <c r="A1413" s="20" t="s">
        <v>3873</v>
      </c>
      <c r="B1413" s="20" t="s">
        <v>22</v>
      </c>
      <c r="C1413" s="20" t="s">
        <v>1149</v>
      </c>
      <c r="D1413" s="20" t="s">
        <v>1150</v>
      </c>
      <c r="E1413" s="20" t="s">
        <v>3902</v>
      </c>
      <c r="F1413" s="20">
        <v>1</v>
      </c>
      <c r="G1413" s="20" t="s">
        <v>92</v>
      </c>
      <c r="H1413" s="20"/>
      <c r="I1413" s="21" t="s">
        <v>733</v>
      </c>
      <c r="J1413" s="21"/>
      <c r="K1413" s="21" t="s">
        <v>1324</v>
      </c>
      <c r="L1413" s="21" t="s">
        <v>3889</v>
      </c>
      <c r="M1413" s="21" t="s">
        <v>62</v>
      </c>
      <c r="N1413" s="21"/>
    </row>
    <row r="1414" spans="1:14" ht="64.05" customHeight="1">
      <c r="A1414" s="20" t="s">
        <v>3873</v>
      </c>
      <c r="B1414" s="20" t="s">
        <v>22</v>
      </c>
      <c r="C1414" s="20" t="s">
        <v>1149</v>
      </c>
      <c r="D1414" s="20" t="s">
        <v>1150</v>
      </c>
      <c r="E1414" s="20" t="s">
        <v>3903</v>
      </c>
      <c r="F1414" s="20">
        <v>1</v>
      </c>
      <c r="G1414" s="20" t="s">
        <v>92</v>
      </c>
      <c r="H1414" s="20"/>
      <c r="I1414" s="21" t="s">
        <v>733</v>
      </c>
      <c r="J1414" s="21"/>
      <c r="K1414" s="21" t="s">
        <v>1324</v>
      </c>
      <c r="L1414" s="21" t="s">
        <v>3889</v>
      </c>
      <c r="M1414" s="21" t="s">
        <v>62</v>
      </c>
      <c r="N1414" s="21"/>
    </row>
    <row r="1415" spans="1:14" ht="64.05" customHeight="1">
      <c r="A1415" s="20" t="s">
        <v>3873</v>
      </c>
      <c r="B1415" s="20" t="s">
        <v>22</v>
      </c>
      <c r="C1415" s="20" t="s">
        <v>1149</v>
      </c>
      <c r="D1415" s="20" t="s">
        <v>1150</v>
      </c>
      <c r="E1415" s="20" t="s">
        <v>3904</v>
      </c>
      <c r="F1415" s="20">
        <v>1</v>
      </c>
      <c r="G1415" s="20" t="s">
        <v>92</v>
      </c>
      <c r="H1415" s="20"/>
      <c r="I1415" s="21" t="s">
        <v>733</v>
      </c>
      <c r="J1415" s="21"/>
      <c r="K1415" s="21" t="s">
        <v>1324</v>
      </c>
      <c r="L1415" s="21" t="s">
        <v>3889</v>
      </c>
      <c r="M1415" s="21" t="s">
        <v>62</v>
      </c>
      <c r="N1415" s="21"/>
    </row>
    <row r="1416" spans="1:14" ht="64.05" customHeight="1">
      <c r="A1416" s="20" t="s">
        <v>3873</v>
      </c>
      <c r="B1416" s="20" t="s">
        <v>22</v>
      </c>
      <c r="C1416" s="20" t="s">
        <v>370</v>
      </c>
      <c r="D1416" s="20" t="s">
        <v>371</v>
      </c>
      <c r="E1416" s="20" t="s">
        <v>3905</v>
      </c>
      <c r="F1416" s="20">
        <v>1</v>
      </c>
      <c r="G1416" s="20" t="s">
        <v>92</v>
      </c>
      <c r="H1416" s="20"/>
      <c r="I1416" s="21" t="s">
        <v>3906</v>
      </c>
      <c r="J1416" s="21"/>
      <c r="K1416" s="21" t="s">
        <v>3907</v>
      </c>
      <c r="L1416" s="21" t="s">
        <v>3908</v>
      </c>
      <c r="M1416" s="21" t="s">
        <v>73</v>
      </c>
      <c r="N1416" s="21"/>
    </row>
    <row r="1417" spans="1:14" ht="64.05" customHeight="1">
      <c r="A1417" s="20" t="s">
        <v>3873</v>
      </c>
      <c r="B1417" s="20" t="s">
        <v>22</v>
      </c>
      <c r="C1417" s="20" t="s">
        <v>370</v>
      </c>
      <c r="D1417" s="20" t="s">
        <v>371</v>
      </c>
      <c r="E1417" s="20" t="s">
        <v>3909</v>
      </c>
      <c r="F1417" s="20">
        <v>1</v>
      </c>
      <c r="G1417" s="20" t="s">
        <v>92</v>
      </c>
      <c r="H1417" s="20"/>
      <c r="I1417" s="21" t="s">
        <v>140</v>
      </c>
      <c r="J1417" s="21"/>
      <c r="K1417" s="21" t="s">
        <v>3910</v>
      </c>
      <c r="L1417" s="21" t="s">
        <v>3911</v>
      </c>
      <c r="M1417" s="21" t="s">
        <v>73</v>
      </c>
      <c r="N1417" s="21"/>
    </row>
    <row r="1418" spans="1:14" ht="64.05" customHeight="1">
      <c r="A1418" s="20" t="s">
        <v>3873</v>
      </c>
      <c r="B1418" s="20" t="s">
        <v>22</v>
      </c>
      <c r="C1418" s="20" t="s">
        <v>370</v>
      </c>
      <c r="D1418" s="20" t="s">
        <v>371</v>
      </c>
      <c r="E1418" s="20" t="s">
        <v>3912</v>
      </c>
      <c r="F1418" s="20">
        <v>1</v>
      </c>
      <c r="G1418" s="20" t="s">
        <v>139</v>
      </c>
      <c r="H1418" s="20"/>
      <c r="I1418" s="21" t="s">
        <v>3913</v>
      </c>
      <c r="J1418" s="21"/>
      <c r="K1418" s="21" t="s">
        <v>109</v>
      </c>
      <c r="L1418" s="21" t="s">
        <v>3914</v>
      </c>
      <c r="M1418" s="21" t="s">
        <v>73</v>
      </c>
      <c r="N1418" s="21"/>
    </row>
    <row r="1419" spans="1:14" ht="64.05" customHeight="1">
      <c r="A1419" s="20" t="s">
        <v>3873</v>
      </c>
      <c r="B1419" s="20" t="s">
        <v>22</v>
      </c>
      <c r="C1419" s="20" t="s">
        <v>370</v>
      </c>
      <c r="D1419" s="20" t="s">
        <v>371</v>
      </c>
      <c r="E1419" s="20" t="s">
        <v>3915</v>
      </c>
      <c r="F1419" s="20">
        <v>1</v>
      </c>
      <c r="G1419" s="20" t="s">
        <v>92</v>
      </c>
      <c r="H1419" s="20"/>
      <c r="I1419" s="21" t="s">
        <v>3916</v>
      </c>
      <c r="J1419" s="21" t="s">
        <v>245</v>
      </c>
      <c r="K1419" s="21"/>
      <c r="L1419" s="21" t="s">
        <v>3917</v>
      </c>
      <c r="M1419" s="21" t="s">
        <v>73</v>
      </c>
      <c r="N1419" s="21"/>
    </row>
    <row r="1420" spans="1:14" ht="64.05" customHeight="1">
      <c r="A1420" s="20" t="s">
        <v>3873</v>
      </c>
      <c r="B1420" s="20" t="s">
        <v>23</v>
      </c>
      <c r="C1420" s="20" t="s">
        <v>103</v>
      </c>
      <c r="D1420" s="20" t="s">
        <v>104</v>
      </c>
      <c r="E1420" s="20" t="s">
        <v>3918</v>
      </c>
      <c r="F1420" s="20">
        <v>1</v>
      </c>
      <c r="G1420" s="20" t="s">
        <v>386</v>
      </c>
      <c r="H1420" s="20" t="s">
        <v>3919</v>
      </c>
      <c r="I1420" s="21" t="s">
        <v>112</v>
      </c>
      <c r="J1420" s="21"/>
      <c r="K1420" s="21" t="s">
        <v>109</v>
      </c>
      <c r="L1420" s="21" t="s">
        <v>3920</v>
      </c>
      <c r="M1420" s="21" t="s">
        <v>102</v>
      </c>
      <c r="N1420" s="21"/>
    </row>
    <row r="1421" spans="1:14" ht="64.05" customHeight="1">
      <c r="A1421" s="20" t="s">
        <v>3873</v>
      </c>
      <c r="B1421" s="20" t="s">
        <v>23</v>
      </c>
      <c r="C1421" s="20" t="s">
        <v>103</v>
      </c>
      <c r="D1421" s="20" t="s">
        <v>104</v>
      </c>
      <c r="E1421" s="20" t="s">
        <v>3921</v>
      </c>
      <c r="F1421" s="20">
        <v>1</v>
      </c>
      <c r="G1421" s="20" t="s">
        <v>386</v>
      </c>
      <c r="H1421" s="20" t="s">
        <v>3919</v>
      </c>
      <c r="I1421" s="21" t="s">
        <v>112</v>
      </c>
      <c r="J1421" s="21"/>
      <c r="K1421" s="21" t="s">
        <v>109</v>
      </c>
      <c r="L1421" s="21" t="s">
        <v>3922</v>
      </c>
      <c r="M1421" s="21" t="s">
        <v>102</v>
      </c>
      <c r="N1421" s="21"/>
    </row>
    <row r="1422" spans="1:14" ht="64.05" customHeight="1">
      <c r="A1422" s="20" t="s">
        <v>3873</v>
      </c>
      <c r="B1422" s="20" t="s">
        <v>23</v>
      </c>
      <c r="C1422" s="20" t="s">
        <v>103</v>
      </c>
      <c r="D1422" s="20" t="s">
        <v>104</v>
      </c>
      <c r="E1422" s="20" t="s">
        <v>3923</v>
      </c>
      <c r="F1422" s="20">
        <v>1</v>
      </c>
      <c r="G1422" s="20" t="s">
        <v>386</v>
      </c>
      <c r="H1422" s="20" t="s">
        <v>3919</v>
      </c>
      <c r="I1422" s="21" t="s">
        <v>112</v>
      </c>
      <c r="J1422" s="21"/>
      <c r="K1422" s="21" t="s">
        <v>109</v>
      </c>
      <c r="L1422" s="21" t="s">
        <v>3922</v>
      </c>
      <c r="M1422" s="21" t="s">
        <v>102</v>
      </c>
      <c r="N1422" s="21"/>
    </row>
    <row r="1423" spans="1:14" ht="64.05" customHeight="1">
      <c r="A1423" s="20" t="s">
        <v>3873</v>
      </c>
      <c r="B1423" s="20" t="s">
        <v>23</v>
      </c>
      <c r="C1423" s="20" t="s">
        <v>103</v>
      </c>
      <c r="D1423" s="20" t="s">
        <v>104</v>
      </c>
      <c r="E1423" s="20" t="s">
        <v>3924</v>
      </c>
      <c r="F1423" s="20">
        <v>1</v>
      </c>
      <c r="G1423" s="20" t="s">
        <v>139</v>
      </c>
      <c r="H1423" s="20"/>
      <c r="I1423" s="21" t="s">
        <v>3925</v>
      </c>
      <c r="J1423" s="21"/>
      <c r="K1423" s="21" t="s">
        <v>109</v>
      </c>
      <c r="L1423" s="21" t="s">
        <v>3926</v>
      </c>
      <c r="M1423" s="21" t="s">
        <v>73</v>
      </c>
      <c r="N1423" s="21"/>
    </row>
    <row r="1424" spans="1:14" ht="64.05" customHeight="1">
      <c r="A1424" s="20" t="s">
        <v>3873</v>
      </c>
      <c r="B1424" s="20" t="s">
        <v>25</v>
      </c>
      <c r="C1424" s="20" t="s">
        <v>115</v>
      </c>
      <c r="D1424" s="20" t="s">
        <v>116</v>
      </c>
      <c r="E1424" s="20" t="s">
        <v>3927</v>
      </c>
      <c r="F1424" s="20">
        <v>1</v>
      </c>
      <c r="G1424" s="20" t="s">
        <v>92</v>
      </c>
      <c r="H1424" s="20"/>
      <c r="I1424" s="21" t="s">
        <v>3928</v>
      </c>
      <c r="J1424" s="21"/>
      <c r="K1424" s="21"/>
      <c r="L1424" s="21" t="s">
        <v>3929</v>
      </c>
      <c r="M1424" s="21" t="s">
        <v>62</v>
      </c>
      <c r="N1424" s="21"/>
    </row>
    <row r="1425" spans="1:14" ht="64.05" customHeight="1">
      <c r="A1425" s="20" t="s">
        <v>3873</v>
      </c>
      <c r="B1425" s="20" t="s">
        <v>24</v>
      </c>
      <c r="C1425" s="20" t="s">
        <v>426</v>
      </c>
      <c r="D1425" s="20" t="s">
        <v>427</v>
      </c>
      <c r="E1425" s="20" t="s">
        <v>3930</v>
      </c>
      <c r="F1425" s="20">
        <v>1</v>
      </c>
      <c r="G1425" s="20" t="s">
        <v>3931</v>
      </c>
      <c r="H1425" s="20" t="s">
        <v>3932</v>
      </c>
      <c r="I1425" s="21" t="s">
        <v>3933</v>
      </c>
      <c r="J1425" s="21"/>
      <c r="K1425" s="21" t="s">
        <v>3934</v>
      </c>
      <c r="L1425" s="21" t="s">
        <v>3935</v>
      </c>
      <c r="M1425" s="21" t="s">
        <v>62</v>
      </c>
      <c r="N1425" s="21" t="s">
        <v>130</v>
      </c>
    </row>
    <row r="1426" spans="1:14" ht="64.05" customHeight="1">
      <c r="A1426" s="20" t="s">
        <v>3873</v>
      </c>
      <c r="B1426" s="20" t="s">
        <v>24</v>
      </c>
      <c r="C1426" s="20" t="s">
        <v>426</v>
      </c>
      <c r="D1426" s="20" t="s">
        <v>427</v>
      </c>
      <c r="E1426" s="20" t="s">
        <v>3936</v>
      </c>
      <c r="F1426" s="20">
        <v>1</v>
      </c>
      <c r="G1426" s="20" t="s">
        <v>3931</v>
      </c>
      <c r="H1426" s="20" t="s">
        <v>3932</v>
      </c>
      <c r="I1426" s="21" t="s">
        <v>3933</v>
      </c>
      <c r="J1426" s="21"/>
      <c r="K1426" s="21" t="s">
        <v>3934</v>
      </c>
      <c r="L1426" s="21" t="s">
        <v>3935</v>
      </c>
      <c r="M1426" s="21" t="s">
        <v>62</v>
      </c>
      <c r="N1426" s="21" t="s">
        <v>130</v>
      </c>
    </row>
    <row r="1427" spans="1:14" ht="64.05" customHeight="1">
      <c r="A1427" s="20" t="s">
        <v>3873</v>
      </c>
      <c r="B1427" s="20" t="s">
        <v>24</v>
      </c>
      <c r="C1427" s="20" t="s">
        <v>426</v>
      </c>
      <c r="D1427" s="20" t="s">
        <v>427</v>
      </c>
      <c r="E1427" s="20" t="s">
        <v>3937</v>
      </c>
      <c r="F1427" s="20">
        <v>1</v>
      </c>
      <c r="G1427" s="20" t="s">
        <v>3931</v>
      </c>
      <c r="H1427" s="20" t="s">
        <v>3932</v>
      </c>
      <c r="I1427" s="21"/>
      <c r="J1427" s="21"/>
      <c r="K1427" s="21"/>
      <c r="L1427" s="21" t="s">
        <v>3938</v>
      </c>
      <c r="M1427" s="21" t="s">
        <v>62</v>
      </c>
      <c r="N1427" s="21" t="s">
        <v>712</v>
      </c>
    </row>
    <row r="1428" spans="1:14" ht="64.05" customHeight="1">
      <c r="A1428" s="20" t="s">
        <v>3873</v>
      </c>
      <c r="B1428" s="20" t="s">
        <v>24</v>
      </c>
      <c r="C1428" s="20" t="s">
        <v>619</v>
      </c>
      <c r="D1428" s="20" t="s">
        <v>3340</v>
      </c>
      <c r="E1428" s="20" t="s">
        <v>3939</v>
      </c>
      <c r="F1428" s="20">
        <v>1</v>
      </c>
      <c r="G1428" s="20" t="s">
        <v>92</v>
      </c>
      <c r="H1428" s="20"/>
      <c r="I1428" s="21" t="s">
        <v>3940</v>
      </c>
      <c r="J1428" s="21"/>
      <c r="K1428" s="21" t="s">
        <v>109</v>
      </c>
      <c r="L1428" s="21" t="s">
        <v>3941</v>
      </c>
      <c r="M1428" s="21" t="s">
        <v>62</v>
      </c>
      <c r="N1428" s="21" t="s">
        <v>520</v>
      </c>
    </row>
    <row r="1429" spans="1:14" ht="64.05" customHeight="1">
      <c r="A1429" s="20" t="s">
        <v>3873</v>
      </c>
      <c r="B1429" s="20" t="s">
        <v>24</v>
      </c>
      <c r="C1429" s="20" t="s">
        <v>136</v>
      </c>
      <c r="D1429" s="20" t="s">
        <v>674</v>
      </c>
      <c r="E1429" s="20" t="s">
        <v>3942</v>
      </c>
      <c r="F1429" s="20">
        <v>1</v>
      </c>
      <c r="G1429" s="20" t="s">
        <v>92</v>
      </c>
      <c r="H1429" s="20"/>
      <c r="I1429" s="21" t="s">
        <v>3943</v>
      </c>
      <c r="J1429" s="21"/>
      <c r="K1429" s="21" t="s">
        <v>109</v>
      </c>
      <c r="L1429" s="21" t="s">
        <v>3944</v>
      </c>
      <c r="M1429" s="21" t="s">
        <v>102</v>
      </c>
      <c r="N1429" s="21"/>
    </row>
    <row r="1430" spans="1:14" ht="64.05" customHeight="1">
      <c r="A1430" s="20" t="s">
        <v>3873</v>
      </c>
      <c r="B1430" s="20" t="s">
        <v>24</v>
      </c>
      <c r="C1430" s="20" t="s">
        <v>136</v>
      </c>
      <c r="D1430" s="20" t="s">
        <v>674</v>
      </c>
      <c r="E1430" s="20" t="s">
        <v>3945</v>
      </c>
      <c r="F1430" s="20">
        <v>1</v>
      </c>
      <c r="G1430" s="20" t="s">
        <v>92</v>
      </c>
      <c r="H1430" s="20"/>
      <c r="I1430" s="21" t="s">
        <v>3946</v>
      </c>
      <c r="J1430" s="21"/>
      <c r="K1430" s="21" t="s">
        <v>109</v>
      </c>
      <c r="L1430" s="21" t="s">
        <v>3944</v>
      </c>
      <c r="M1430" s="21" t="s">
        <v>102</v>
      </c>
      <c r="N1430" s="21"/>
    </row>
    <row r="1431" spans="1:14" ht="64.05" customHeight="1">
      <c r="A1431" s="20" t="s">
        <v>3873</v>
      </c>
      <c r="B1431" s="20" t="s">
        <v>24</v>
      </c>
      <c r="C1431" s="20" t="s">
        <v>136</v>
      </c>
      <c r="D1431" s="20" t="s">
        <v>674</v>
      </c>
      <c r="E1431" s="20" t="s">
        <v>3947</v>
      </c>
      <c r="F1431" s="20">
        <v>1</v>
      </c>
      <c r="G1431" s="20" t="s">
        <v>92</v>
      </c>
      <c r="H1431" s="20"/>
      <c r="I1431" s="21" t="s">
        <v>3948</v>
      </c>
      <c r="J1431" s="21"/>
      <c r="K1431" s="21" t="s">
        <v>109</v>
      </c>
      <c r="L1431" s="21" t="s">
        <v>3944</v>
      </c>
      <c r="M1431" s="21" t="s">
        <v>102</v>
      </c>
      <c r="N1431" s="21"/>
    </row>
    <row r="1432" spans="1:14" ht="64.05" customHeight="1">
      <c r="A1432" s="20" t="s">
        <v>3873</v>
      </c>
      <c r="B1432" s="20" t="s">
        <v>24</v>
      </c>
      <c r="C1432" s="20" t="s">
        <v>443</v>
      </c>
      <c r="D1432" s="20" t="s">
        <v>444</v>
      </c>
      <c r="E1432" s="20" t="s">
        <v>3949</v>
      </c>
      <c r="F1432" s="20">
        <v>1</v>
      </c>
      <c r="G1432" s="20" t="s">
        <v>92</v>
      </c>
      <c r="H1432" s="20"/>
      <c r="I1432" s="21" t="s">
        <v>885</v>
      </c>
      <c r="J1432" s="21"/>
      <c r="K1432" s="21" t="s">
        <v>3950</v>
      </c>
      <c r="L1432" s="21" t="s">
        <v>3951</v>
      </c>
      <c r="M1432" s="21" t="s">
        <v>62</v>
      </c>
      <c r="N1432" s="21" t="s">
        <v>520</v>
      </c>
    </row>
    <row r="1433" spans="1:14" ht="64.05" customHeight="1">
      <c r="A1433" s="20" t="s">
        <v>3873</v>
      </c>
      <c r="B1433" s="20" t="s">
        <v>28</v>
      </c>
      <c r="C1433" s="20" t="s">
        <v>167</v>
      </c>
      <c r="D1433" s="20" t="s">
        <v>168</v>
      </c>
      <c r="E1433" s="20" t="s">
        <v>3952</v>
      </c>
      <c r="F1433" s="20">
        <v>1</v>
      </c>
      <c r="G1433" s="20" t="s">
        <v>3953</v>
      </c>
      <c r="H1433" s="20" t="s">
        <v>3760</v>
      </c>
      <c r="I1433" s="21" t="s">
        <v>3954</v>
      </c>
      <c r="J1433" s="21"/>
      <c r="K1433" s="21" t="s">
        <v>109</v>
      </c>
      <c r="L1433" s="21" t="s">
        <v>3955</v>
      </c>
      <c r="M1433" s="21" t="s">
        <v>73</v>
      </c>
      <c r="N1433" s="21"/>
    </row>
    <row r="1434" spans="1:14" ht="64.05" customHeight="1">
      <c r="A1434" s="20" t="s">
        <v>3873</v>
      </c>
      <c r="B1434" s="20" t="s">
        <v>28</v>
      </c>
      <c r="C1434" s="20" t="s">
        <v>167</v>
      </c>
      <c r="D1434" s="20" t="s">
        <v>168</v>
      </c>
      <c r="E1434" s="20" t="s">
        <v>3956</v>
      </c>
      <c r="F1434" s="20">
        <v>1</v>
      </c>
      <c r="G1434" s="20" t="s">
        <v>1627</v>
      </c>
      <c r="H1434" s="20"/>
      <c r="I1434" s="21" t="s">
        <v>3957</v>
      </c>
      <c r="J1434" s="21"/>
      <c r="K1434" s="21" t="s">
        <v>78</v>
      </c>
      <c r="L1434" s="21" t="s">
        <v>3958</v>
      </c>
      <c r="M1434" s="21" t="s">
        <v>73</v>
      </c>
      <c r="N1434" s="21"/>
    </row>
    <row r="1435" spans="1:14" ht="64.05" customHeight="1">
      <c r="A1435" s="20" t="s">
        <v>3873</v>
      </c>
      <c r="B1435" s="20" t="s">
        <v>28</v>
      </c>
      <c r="C1435" s="20" t="s">
        <v>167</v>
      </c>
      <c r="D1435" s="20" t="s">
        <v>168</v>
      </c>
      <c r="E1435" s="20" t="s">
        <v>3959</v>
      </c>
      <c r="F1435" s="20">
        <v>1</v>
      </c>
      <c r="G1435" s="20" t="s">
        <v>92</v>
      </c>
      <c r="H1435" s="20"/>
      <c r="I1435" s="21" t="s">
        <v>3960</v>
      </c>
      <c r="J1435" s="21"/>
      <c r="K1435" s="21" t="s">
        <v>3961</v>
      </c>
      <c r="L1435" s="21" t="s">
        <v>3962</v>
      </c>
      <c r="M1435" s="21" t="s">
        <v>73</v>
      </c>
      <c r="N1435" s="21"/>
    </row>
    <row r="1436" spans="1:14" ht="64.05" customHeight="1">
      <c r="A1436" s="20" t="s">
        <v>3873</v>
      </c>
      <c r="B1436" s="20" t="s">
        <v>28</v>
      </c>
      <c r="C1436" s="20" t="s">
        <v>167</v>
      </c>
      <c r="D1436" s="20" t="s">
        <v>168</v>
      </c>
      <c r="E1436" s="20" t="s">
        <v>3963</v>
      </c>
      <c r="F1436" s="20">
        <v>1</v>
      </c>
      <c r="G1436" s="20" t="s">
        <v>92</v>
      </c>
      <c r="H1436" s="20"/>
      <c r="I1436" s="21" t="s">
        <v>3964</v>
      </c>
      <c r="J1436" s="21"/>
      <c r="K1436" s="21" t="s">
        <v>3961</v>
      </c>
      <c r="L1436" s="21" t="s">
        <v>3962</v>
      </c>
      <c r="M1436" s="21" t="s">
        <v>73</v>
      </c>
      <c r="N1436" s="21"/>
    </row>
    <row r="1437" spans="1:14" ht="64.05" customHeight="1">
      <c r="A1437" s="20" t="s">
        <v>3873</v>
      </c>
      <c r="B1437" s="20" t="s">
        <v>27</v>
      </c>
      <c r="C1437" s="20" t="s">
        <v>1069</v>
      </c>
      <c r="D1437" s="20" t="s">
        <v>3965</v>
      </c>
      <c r="E1437" s="20" t="s">
        <v>3966</v>
      </c>
      <c r="F1437" s="20">
        <v>1</v>
      </c>
      <c r="G1437" s="20" t="s">
        <v>92</v>
      </c>
      <c r="H1437" s="20"/>
      <c r="I1437" s="21" t="s">
        <v>3967</v>
      </c>
      <c r="J1437" s="21"/>
      <c r="K1437" s="21" t="s">
        <v>2749</v>
      </c>
      <c r="L1437" s="21" t="s">
        <v>3968</v>
      </c>
      <c r="M1437" s="21" t="s">
        <v>102</v>
      </c>
      <c r="N1437" s="21"/>
    </row>
    <row r="1438" spans="1:14" ht="64.05" customHeight="1">
      <c r="A1438" s="20" t="s">
        <v>3873</v>
      </c>
      <c r="B1438" s="20" t="s">
        <v>27</v>
      </c>
      <c r="C1438" s="20" t="s">
        <v>1069</v>
      </c>
      <c r="D1438" s="20" t="s">
        <v>3965</v>
      </c>
      <c r="E1438" s="20" t="s">
        <v>3969</v>
      </c>
      <c r="F1438" s="20">
        <v>1</v>
      </c>
      <c r="G1438" s="20" t="s">
        <v>92</v>
      </c>
      <c r="H1438" s="20"/>
      <c r="I1438" s="21" t="s">
        <v>3970</v>
      </c>
      <c r="J1438" s="21"/>
      <c r="K1438" s="21" t="s">
        <v>2749</v>
      </c>
      <c r="L1438" s="21" t="s">
        <v>3968</v>
      </c>
      <c r="M1438" s="21" t="s">
        <v>102</v>
      </c>
      <c r="N1438" s="21"/>
    </row>
    <row r="1439" spans="1:14" ht="64.05" customHeight="1">
      <c r="A1439" s="20" t="s">
        <v>3873</v>
      </c>
      <c r="B1439" s="20" t="s">
        <v>27</v>
      </c>
      <c r="C1439" s="20" t="s">
        <v>1069</v>
      </c>
      <c r="D1439" s="20" t="s">
        <v>3965</v>
      </c>
      <c r="E1439" s="20" t="s">
        <v>3971</v>
      </c>
      <c r="F1439" s="20">
        <v>1</v>
      </c>
      <c r="G1439" s="20" t="s">
        <v>92</v>
      </c>
      <c r="H1439" s="20"/>
      <c r="I1439" s="21" t="s">
        <v>3972</v>
      </c>
      <c r="J1439" s="21"/>
      <c r="K1439" s="21" t="s">
        <v>2749</v>
      </c>
      <c r="L1439" s="21" t="s">
        <v>3968</v>
      </c>
      <c r="M1439" s="21" t="s">
        <v>102</v>
      </c>
      <c r="N1439" s="21"/>
    </row>
    <row r="1440" spans="1:14" ht="64.05" customHeight="1">
      <c r="A1440" s="20" t="s">
        <v>3873</v>
      </c>
      <c r="B1440" s="20" t="s">
        <v>27</v>
      </c>
      <c r="C1440" s="20" t="s">
        <v>1069</v>
      </c>
      <c r="D1440" s="20" t="s">
        <v>3965</v>
      </c>
      <c r="E1440" s="20" t="s">
        <v>3973</v>
      </c>
      <c r="F1440" s="20">
        <v>1</v>
      </c>
      <c r="G1440" s="20" t="s">
        <v>92</v>
      </c>
      <c r="H1440" s="20"/>
      <c r="I1440" s="21" t="s">
        <v>3974</v>
      </c>
      <c r="J1440" s="21"/>
      <c r="K1440" s="21" t="s">
        <v>2749</v>
      </c>
      <c r="L1440" s="21" t="s">
        <v>3968</v>
      </c>
      <c r="M1440" s="21" t="s">
        <v>102</v>
      </c>
      <c r="N1440" s="21"/>
    </row>
    <row r="1441" spans="1:14" ht="64.05" customHeight="1">
      <c r="A1441" s="20" t="s">
        <v>3873</v>
      </c>
      <c r="B1441" s="20" t="s">
        <v>30</v>
      </c>
      <c r="C1441" s="20" t="s">
        <v>180</v>
      </c>
      <c r="D1441" s="20" t="s">
        <v>181</v>
      </c>
      <c r="E1441" s="20" t="s">
        <v>3975</v>
      </c>
      <c r="F1441" s="20">
        <v>1</v>
      </c>
      <c r="G1441" s="20" t="s">
        <v>3976</v>
      </c>
      <c r="H1441" s="20" t="s">
        <v>3977</v>
      </c>
      <c r="I1441" s="21" t="s">
        <v>112</v>
      </c>
      <c r="J1441" s="21"/>
      <c r="K1441" s="21" t="s">
        <v>109</v>
      </c>
      <c r="L1441" s="21" t="s">
        <v>3978</v>
      </c>
      <c r="M1441" s="21" t="s">
        <v>73</v>
      </c>
      <c r="N1441" s="21"/>
    </row>
    <row r="1442" spans="1:14" ht="64.05" customHeight="1">
      <c r="A1442" s="20" t="s">
        <v>3873</v>
      </c>
      <c r="B1442" s="20" t="s">
        <v>30</v>
      </c>
      <c r="C1442" s="20" t="s">
        <v>180</v>
      </c>
      <c r="D1442" s="20" t="s">
        <v>181</v>
      </c>
      <c r="E1442" s="20" t="s">
        <v>3979</v>
      </c>
      <c r="F1442" s="20">
        <v>1</v>
      </c>
      <c r="G1442" s="20" t="s">
        <v>3980</v>
      </c>
      <c r="H1442" s="20" t="s">
        <v>3981</v>
      </c>
      <c r="I1442" s="21" t="s">
        <v>3982</v>
      </c>
      <c r="J1442" s="21"/>
      <c r="K1442" s="21" t="s">
        <v>3983</v>
      </c>
      <c r="L1442" s="21" t="s">
        <v>3984</v>
      </c>
      <c r="M1442" s="21" t="s">
        <v>73</v>
      </c>
      <c r="N1442" s="21"/>
    </row>
    <row r="1443" spans="1:14" ht="64.05" customHeight="1">
      <c r="A1443" s="20" t="s">
        <v>3873</v>
      </c>
      <c r="B1443" s="20" t="s">
        <v>30</v>
      </c>
      <c r="C1443" s="20" t="s">
        <v>188</v>
      </c>
      <c r="D1443" s="20" t="s">
        <v>189</v>
      </c>
      <c r="E1443" s="20" t="s">
        <v>3985</v>
      </c>
      <c r="F1443" s="20">
        <v>1</v>
      </c>
      <c r="G1443" s="20" t="s">
        <v>139</v>
      </c>
      <c r="H1443" s="20"/>
      <c r="I1443" s="21" t="s">
        <v>140</v>
      </c>
      <c r="J1443" s="21"/>
      <c r="K1443" s="21"/>
      <c r="L1443" s="21" t="s">
        <v>3986</v>
      </c>
      <c r="M1443" s="21" t="s">
        <v>73</v>
      </c>
      <c r="N1443" s="21"/>
    </row>
    <row r="1444" spans="1:14" ht="64.05" customHeight="1">
      <c r="A1444" s="20" t="s">
        <v>3873</v>
      </c>
      <c r="B1444" s="20" t="s">
        <v>30</v>
      </c>
      <c r="C1444" s="20" t="s">
        <v>188</v>
      </c>
      <c r="D1444" s="20" t="s">
        <v>189</v>
      </c>
      <c r="E1444" s="20" t="s">
        <v>3987</v>
      </c>
      <c r="F1444" s="20">
        <v>1</v>
      </c>
      <c r="G1444" s="20" t="s">
        <v>92</v>
      </c>
      <c r="H1444" s="20"/>
      <c r="I1444" s="21" t="s">
        <v>3988</v>
      </c>
      <c r="J1444" s="21"/>
      <c r="K1444" s="21" t="s">
        <v>3989</v>
      </c>
      <c r="L1444" s="21" t="s">
        <v>3990</v>
      </c>
      <c r="M1444" s="21" t="s">
        <v>102</v>
      </c>
      <c r="N1444" s="21"/>
    </row>
    <row r="1445" spans="1:14" ht="64.05" customHeight="1">
      <c r="A1445" s="20" t="s">
        <v>3873</v>
      </c>
      <c r="B1445" s="20" t="s">
        <v>26</v>
      </c>
      <c r="C1445" s="20" t="s">
        <v>196</v>
      </c>
      <c r="D1445" s="20" t="s">
        <v>197</v>
      </c>
      <c r="E1445" s="20" t="s">
        <v>3991</v>
      </c>
      <c r="F1445" s="20">
        <v>1</v>
      </c>
      <c r="G1445" s="20" t="s">
        <v>2192</v>
      </c>
      <c r="H1445" s="20" t="s">
        <v>3992</v>
      </c>
      <c r="I1445" s="21" t="s">
        <v>112</v>
      </c>
      <c r="J1445" s="21"/>
      <c r="K1445" s="21" t="s">
        <v>109</v>
      </c>
      <c r="L1445" s="21" t="s">
        <v>3993</v>
      </c>
      <c r="M1445" s="21" t="s">
        <v>102</v>
      </c>
      <c r="N1445" s="21"/>
    </row>
    <row r="1446" spans="1:14" ht="64.05" customHeight="1">
      <c r="A1446" s="20" t="s">
        <v>3873</v>
      </c>
      <c r="B1446" s="20" t="s">
        <v>26</v>
      </c>
      <c r="C1446" s="20" t="s">
        <v>196</v>
      </c>
      <c r="D1446" s="20" t="s">
        <v>197</v>
      </c>
      <c r="E1446" s="20" t="s">
        <v>3994</v>
      </c>
      <c r="F1446" s="20">
        <v>1</v>
      </c>
      <c r="G1446" s="20" t="s">
        <v>2192</v>
      </c>
      <c r="H1446" s="20" t="s">
        <v>3992</v>
      </c>
      <c r="I1446" s="21" t="s">
        <v>112</v>
      </c>
      <c r="J1446" s="21"/>
      <c r="K1446" s="21" t="s">
        <v>109</v>
      </c>
      <c r="L1446" s="21" t="s">
        <v>3993</v>
      </c>
      <c r="M1446" s="21" t="s">
        <v>102</v>
      </c>
      <c r="N1446" s="21"/>
    </row>
    <row r="1447" spans="1:14" ht="64.05" customHeight="1">
      <c r="A1447" s="20" t="s">
        <v>3873</v>
      </c>
      <c r="B1447" s="20" t="s">
        <v>26</v>
      </c>
      <c r="C1447" s="20" t="s">
        <v>196</v>
      </c>
      <c r="D1447" s="20" t="s">
        <v>197</v>
      </c>
      <c r="E1447" s="20" t="s">
        <v>3995</v>
      </c>
      <c r="F1447" s="20">
        <v>1</v>
      </c>
      <c r="G1447" s="20" t="s">
        <v>2192</v>
      </c>
      <c r="H1447" s="20" t="s">
        <v>3992</v>
      </c>
      <c r="I1447" s="21" t="s">
        <v>112</v>
      </c>
      <c r="J1447" s="21"/>
      <c r="K1447" s="21" t="s">
        <v>109</v>
      </c>
      <c r="L1447" s="21" t="s">
        <v>3996</v>
      </c>
      <c r="M1447" s="21" t="s">
        <v>62</v>
      </c>
      <c r="N1447" s="21" t="s">
        <v>951</v>
      </c>
    </row>
    <row r="1448" spans="1:14" ht="64.05" customHeight="1">
      <c r="A1448" s="20" t="s">
        <v>3873</v>
      </c>
      <c r="B1448" s="20" t="s">
        <v>26</v>
      </c>
      <c r="C1448" s="20" t="s">
        <v>196</v>
      </c>
      <c r="D1448" s="20" t="s">
        <v>197</v>
      </c>
      <c r="E1448" s="20" t="s">
        <v>3997</v>
      </c>
      <c r="F1448" s="20">
        <v>1</v>
      </c>
      <c r="G1448" s="20" t="s">
        <v>2192</v>
      </c>
      <c r="H1448" s="20" t="s">
        <v>3992</v>
      </c>
      <c r="I1448" s="21" t="s">
        <v>112</v>
      </c>
      <c r="J1448" s="21"/>
      <c r="K1448" s="21" t="s">
        <v>109</v>
      </c>
      <c r="L1448" s="21" t="s">
        <v>3998</v>
      </c>
      <c r="M1448" s="21" t="s">
        <v>102</v>
      </c>
      <c r="N1448" s="21"/>
    </row>
    <row r="1449" spans="1:14" ht="64.05" customHeight="1">
      <c r="A1449" s="20" t="s">
        <v>3873</v>
      </c>
      <c r="B1449" s="20" t="s">
        <v>26</v>
      </c>
      <c r="C1449" s="20" t="s">
        <v>196</v>
      </c>
      <c r="D1449" s="20" t="s">
        <v>197</v>
      </c>
      <c r="E1449" s="20" t="s">
        <v>3999</v>
      </c>
      <c r="F1449" s="20">
        <v>1</v>
      </c>
      <c r="G1449" s="20" t="s">
        <v>2192</v>
      </c>
      <c r="H1449" s="20" t="s">
        <v>3992</v>
      </c>
      <c r="I1449" s="21" t="s">
        <v>112</v>
      </c>
      <c r="J1449" s="21"/>
      <c r="K1449" s="21" t="s">
        <v>109</v>
      </c>
      <c r="L1449" s="21" t="s">
        <v>4000</v>
      </c>
      <c r="M1449" s="21" t="s">
        <v>62</v>
      </c>
      <c r="N1449" s="21" t="s">
        <v>951</v>
      </c>
    </row>
    <row r="1450" spans="1:14" ht="64.05" customHeight="1">
      <c r="A1450" s="20" t="s">
        <v>3873</v>
      </c>
      <c r="B1450" s="20" t="s">
        <v>26</v>
      </c>
      <c r="C1450" s="20" t="s">
        <v>196</v>
      </c>
      <c r="D1450" s="20" t="s">
        <v>197</v>
      </c>
      <c r="E1450" s="20" t="s">
        <v>4001</v>
      </c>
      <c r="F1450" s="20">
        <v>1</v>
      </c>
      <c r="G1450" s="20" t="s">
        <v>4002</v>
      </c>
      <c r="H1450" s="20" t="s">
        <v>3797</v>
      </c>
      <c r="I1450" s="21" t="s">
        <v>4003</v>
      </c>
      <c r="J1450" s="21"/>
      <c r="K1450" s="21" t="s">
        <v>109</v>
      </c>
      <c r="L1450" s="21" t="s">
        <v>4004</v>
      </c>
      <c r="M1450" s="21" t="s">
        <v>62</v>
      </c>
      <c r="N1450" s="21" t="s">
        <v>303</v>
      </c>
    </row>
    <row r="1451" spans="1:14" ht="64.05" customHeight="1">
      <c r="A1451" s="20" t="s">
        <v>3873</v>
      </c>
      <c r="B1451" s="20" t="s">
        <v>26</v>
      </c>
      <c r="C1451" s="20" t="s">
        <v>196</v>
      </c>
      <c r="D1451" s="20" t="s">
        <v>197</v>
      </c>
      <c r="E1451" s="20" t="s">
        <v>4005</v>
      </c>
      <c r="F1451" s="20">
        <v>1</v>
      </c>
      <c r="G1451" s="20" t="s">
        <v>92</v>
      </c>
      <c r="H1451" s="20"/>
      <c r="I1451" s="21" t="s">
        <v>4006</v>
      </c>
      <c r="J1451" s="21"/>
      <c r="K1451" s="21" t="s">
        <v>406</v>
      </c>
      <c r="L1451" s="21" t="s">
        <v>4007</v>
      </c>
      <c r="M1451" s="21" t="s">
        <v>102</v>
      </c>
      <c r="N1451" s="21"/>
    </row>
    <row r="1452" spans="1:14" ht="64.05" customHeight="1">
      <c r="A1452" s="20" t="s">
        <v>3873</v>
      </c>
      <c r="B1452" s="20" t="s">
        <v>33</v>
      </c>
      <c r="C1452" s="20" t="s">
        <v>2088</v>
      </c>
      <c r="D1452" s="20" t="s">
        <v>660</v>
      </c>
      <c r="E1452" s="20" t="s">
        <v>4008</v>
      </c>
      <c r="F1452" s="20">
        <v>1</v>
      </c>
      <c r="G1452" s="20" t="s">
        <v>92</v>
      </c>
      <c r="H1452" s="20"/>
      <c r="I1452" s="21" t="s">
        <v>4009</v>
      </c>
      <c r="J1452" s="21"/>
      <c r="K1452" s="21" t="s">
        <v>109</v>
      </c>
      <c r="L1452" s="21" t="s">
        <v>4010</v>
      </c>
      <c r="M1452" s="21" t="s">
        <v>73</v>
      </c>
      <c r="N1452" s="21"/>
    </row>
    <row r="1453" spans="1:14" ht="64.05" customHeight="1">
      <c r="A1453" s="20" t="s">
        <v>3873</v>
      </c>
      <c r="B1453" s="20" t="s">
        <v>33</v>
      </c>
      <c r="C1453" s="20" t="s">
        <v>2314</v>
      </c>
      <c r="D1453" s="20" t="s">
        <v>2315</v>
      </c>
      <c r="E1453" s="20" t="s">
        <v>4011</v>
      </c>
      <c r="F1453" s="20">
        <v>1</v>
      </c>
      <c r="G1453" s="20" t="s">
        <v>4012</v>
      </c>
      <c r="H1453" s="20" t="s">
        <v>4013</v>
      </c>
      <c r="I1453" s="21" t="s">
        <v>112</v>
      </c>
      <c r="J1453" s="21"/>
      <c r="K1453" s="21" t="s">
        <v>78</v>
      </c>
      <c r="L1453" s="21" t="s">
        <v>4014</v>
      </c>
      <c r="M1453" s="21" t="s">
        <v>73</v>
      </c>
      <c r="N1453" s="21"/>
    </row>
    <row r="1454" spans="1:14" ht="64.05" customHeight="1">
      <c r="A1454" s="20" t="s">
        <v>3873</v>
      </c>
      <c r="B1454" s="20" t="s">
        <v>33</v>
      </c>
      <c r="C1454" s="20" t="s">
        <v>2314</v>
      </c>
      <c r="D1454" s="20" t="s">
        <v>2315</v>
      </c>
      <c r="E1454" s="20" t="s">
        <v>4015</v>
      </c>
      <c r="F1454" s="20">
        <v>1</v>
      </c>
      <c r="G1454" s="20" t="s">
        <v>4012</v>
      </c>
      <c r="H1454" s="20" t="s">
        <v>4013</v>
      </c>
      <c r="I1454" s="21" t="s">
        <v>112</v>
      </c>
      <c r="J1454" s="21"/>
      <c r="K1454" s="21" t="s">
        <v>78</v>
      </c>
      <c r="L1454" s="21" t="s">
        <v>4016</v>
      </c>
      <c r="M1454" s="21" t="s">
        <v>62</v>
      </c>
      <c r="N1454" s="21"/>
    </row>
    <row r="1455" spans="1:14" ht="64.05" customHeight="1">
      <c r="A1455" s="20" t="s">
        <v>3873</v>
      </c>
      <c r="B1455" s="20" t="s">
        <v>33</v>
      </c>
      <c r="C1455" s="20" t="s">
        <v>2314</v>
      </c>
      <c r="D1455" s="20" t="s">
        <v>2315</v>
      </c>
      <c r="E1455" s="20" t="s">
        <v>4017</v>
      </c>
      <c r="F1455" s="20">
        <v>1</v>
      </c>
      <c r="G1455" s="20" t="s">
        <v>3045</v>
      </c>
      <c r="H1455" s="20" t="s">
        <v>3030</v>
      </c>
      <c r="I1455" s="21" t="s">
        <v>4018</v>
      </c>
      <c r="J1455" s="21"/>
      <c r="K1455" s="21"/>
      <c r="L1455" s="21" t="s">
        <v>4019</v>
      </c>
      <c r="M1455" s="21" t="s">
        <v>102</v>
      </c>
      <c r="N1455" s="21"/>
    </row>
    <row r="1456" spans="1:14" ht="64.05" customHeight="1">
      <c r="A1456" s="20" t="s">
        <v>3873</v>
      </c>
      <c r="B1456" s="20" t="s">
        <v>33</v>
      </c>
      <c r="C1456" s="20" t="s">
        <v>2103</v>
      </c>
      <c r="D1456" s="20" t="s">
        <v>2104</v>
      </c>
      <c r="E1456" s="20" t="s">
        <v>4020</v>
      </c>
      <c r="F1456" s="20">
        <v>1</v>
      </c>
      <c r="G1456" s="20" t="s">
        <v>92</v>
      </c>
      <c r="H1456" s="20"/>
      <c r="I1456" s="21" t="s">
        <v>4021</v>
      </c>
      <c r="J1456" s="21"/>
      <c r="K1456" s="21" t="s">
        <v>4022</v>
      </c>
      <c r="L1456" s="21" t="s">
        <v>4023</v>
      </c>
      <c r="M1456" s="21" t="s">
        <v>73</v>
      </c>
      <c r="N1456" s="21"/>
    </row>
    <row r="1457" spans="1:14" ht="64.05" customHeight="1">
      <c r="A1457" s="20" t="s">
        <v>3873</v>
      </c>
      <c r="B1457" s="20" t="s">
        <v>33</v>
      </c>
      <c r="C1457" s="20" t="s">
        <v>2103</v>
      </c>
      <c r="D1457" s="20" t="s">
        <v>2104</v>
      </c>
      <c r="E1457" s="20" t="s">
        <v>4024</v>
      </c>
      <c r="F1457" s="20">
        <v>1</v>
      </c>
      <c r="G1457" s="20" t="s">
        <v>92</v>
      </c>
      <c r="H1457" s="20"/>
      <c r="I1457" s="21" t="s">
        <v>4025</v>
      </c>
      <c r="J1457" s="21"/>
      <c r="K1457" s="21" t="s">
        <v>4026</v>
      </c>
      <c r="L1457" s="21" t="s">
        <v>4023</v>
      </c>
      <c r="M1457" s="21" t="s">
        <v>73</v>
      </c>
      <c r="N1457" s="21"/>
    </row>
    <row r="1458" spans="1:14" ht="64.05" customHeight="1">
      <c r="A1458" s="20" t="s">
        <v>3873</v>
      </c>
      <c r="B1458" s="20" t="s">
        <v>33</v>
      </c>
      <c r="C1458" s="20" t="s">
        <v>2103</v>
      </c>
      <c r="D1458" s="20" t="s">
        <v>2104</v>
      </c>
      <c r="E1458" s="20" t="s">
        <v>4027</v>
      </c>
      <c r="F1458" s="20">
        <v>1</v>
      </c>
      <c r="G1458" s="20" t="s">
        <v>92</v>
      </c>
      <c r="H1458" s="20"/>
      <c r="I1458" s="21" t="s">
        <v>4028</v>
      </c>
      <c r="J1458" s="21"/>
      <c r="K1458" s="21" t="s">
        <v>4029</v>
      </c>
      <c r="L1458" s="21" t="s">
        <v>4023</v>
      </c>
      <c r="M1458" s="21" t="s">
        <v>73</v>
      </c>
      <c r="N1458" s="21"/>
    </row>
    <row r="1459" spans="1:14" ht="64.05" customHeight="1">
      <c r="A1459" s="20" t="s">
        <v>3873</v>
      </c>
      <c r="B1459" s="20" t="s">
        <v>33</v>
      </c>
      <c r="C1459" s="20" t="s">
        <v>2103</v>
      </c>
      <c r="D1459" s="20" t="s">
        <v>2104</v>
      </c>
      <c r="E1459" s="20" t="s">
        <v>4030</v>
      </c>
      <c r="F1459" s="20">
        <v>1</v>
      </c>
      <c r="G1459" s="20" t="s">
        <v>92</v>
      </c>
      <c r="H1459" s="20"/>
      <c r="I1459" s="21" t="s">
        <v>4031</v>
      </c>
      <c r="J1459" s="21"/>
      <c r="K1459" s="21" t="s">
        <v>4029</v>
      </c>
      <c r="L1459" s="21" t="s">
        <v>4023</v>
      </c>
      <c r="M1459" s="21" t="s">
        <v>73</v>
      </c>
      <c r="N1459" s="21"/>
    </row>
    <row r="1460" spans="1:14" ht="64.05" customHeight="1">
      <c r="A1460" s="20" t="s">
        <v>3873</v>
      </c>
      <c r="B1460" s="20" t="s">
        <v>31</v>
      </c>
      <c r="C1460" s="20" t="s">
        <v>491</v>
      </c>
      <c r="D1460" s="20" t="s">
        <v>492</v>
      </c>
      <c r="E1460" s="20" t="s">
        <v>4032</v>
      </c>
      <c r="F1460" s="20">
        <v>1</v>
      </c>
      <c r="G1460" s="20" t="s">
        <v>2192</v>
      </c>
      <c r="H1460" s="20" t="s">
        <v>3992</v>
      </c>
      <c r="I1460" s="21" t="s">
        <v>4033</v>
      </c>
      <c r="J1460" s="21"/>
      <c r="K1460" s="21" t="s">
        <v>78</v>
      </c>
      <c r="L1460" s="21" t="s">
        <v>4034</v>
      </c>
      <c r="M1460" s="21" t="s">
        <v>62</v>
      </c>
      <c r="N1460" s="21" t="s">
        <v>303</v>
      </c>
    </row>
    <row r="1461" spans="1:14" ht="64.05" customHeight="1">
      <c r="A1461" s="20" t="s">
        <v>3873</v>
      </c>
      <c r="B1461" s="20" t="s">
        <v>22</v>
      </c>
      <c r="C1461" s="20" t="s">
        <v>370</v>
      </c>
      <c r="D1461" s="20" t="s">
        <v>371</v>
      </c>
      <c r="E1461" s="20" t="s">
        <v>3899</v>
      </c>
      <c r="F1461" s="20">
        <v>1</v>
      </c>
      <c r="G1461" s="20" t="s">
        <v>92</v>
      </c>
      <c r="H1461" s="20"/>
      <c r="I1461" s="21" t="s">
        <v>4035</v>
      </c>
      <c r="J1461" s="21"/>
      <c r="K1461" s="21" t="s">
        <v>109</v>
      </c>
      <c r="L1461" s="21" t="s">
        <v>4036</v>
      </c>
      <c r="M1461" s="21" t="s">
        <v>73</v>
      </c>
      <c r="N1461" s="21"/>
    </row>
    <row r="1462" spans="1:14" ht="64.05" customHeight="1">
      <c r="A1462" s="20" t="s">
        <v>3873</v>
      </c>
      <c r="B1462" s="20" t="s">
        <v>22</v>
      </c>
      <c r="C1462" s="20" t="s">
        <v>370</v>
      </c>
      <c r="D1462" s="20" t="s">
        <v>371</v>
      </c>
      <c r="E1462" s="20" t="s">
        <v>3904</v>
      </c>
      <c r="F1462" s="20">
        <v>1</v>
      </c>
      <c r="G1462" s="20" t="s">
        <v>92</v>
      </c>
      <c r="H1462" s="20"/>
      <c r="I1462" s="21" t="s">
        <v>3916</v>
      </c>
      <c r="J1462" s="21" t="s">
        <v>245</v>
      </c>
      <c r="K1462" s="21"/>
      <c r="L1462" s="21" t="s">
        <v>3917</v>
      </c>
      <c r="M1462" s="21" t="s">
        <v>73</v>
      </c>
      <c r="N1462" s="21"/>
    </row>
    <row r="1463" spans="1:14" ht="64.05" customHeight="1">
      <c r="A1463" s="20" t="s">
        <v>3873</v>
      </c>
      <c r="B1463" s="20" t="s">
        <v>22</v>
      </c>
      <c r="C1463" s="20" t="s">
        <v>370</v>
      </c>
      <c r="D1463" s="20" t="s">
        <v>371</v>
      </c>
      <c r="E1463" s="20" t="s">
        <v>3903</v>
      </c>
      <c r="F1463" s="20">
        <v>1</v>
      </c>
      <c r="G1463" s="20" t="s">
        <v>92</v>
      </c>
      <c r="H1463" s="20"/>
      <c r="I1463" s="21" t="s">
        <v>3916</v>
      </c>
      <c r="J1463" s="21" t="s">
        <v>245</v>
      </c>
      <c r="K1463" s="21"/>
      <c r="L1463" s="21" t="s">
        <v>3917</v>
      </c>
      <c r="M1463" s="21" t="s">
        <v>73</v>
      </c>
      <c r="N1463" s="21"/>
    </row>
    <row r="1464" spans="1:14" ht="64.05" customHeight="1">
      <c r="A1464" s="20" t="s">
        <v>3873</v>
      </c>
      <c r="B1464" s="20" t="s">
        <v>22</v>
      </c>
      <c r="C1464" s="20" t="s">
        <v>370</v>
      </c>
      <c r="D1464" s="20" t="s">
        <v>371</v>
      </c>
      <c r="E1464" s="20" t="s">
        <v>3902</v>
      </c>
      <c r="F1464" s="20">
        <v>1</v>
      </c>
      <c r="G1464" s="20" t="s">
        <v>92</v>
      </c>
      <c r="H1464" s="20"/>
      <c r="I1464" s="21" t="s">
        <v>3916</v>
      </c>
      <c r="J1464" s="21" t="s">
        <v>245</v>
      </c>
      <c r="K1464" s="21"/>
      <c r="L1464" s="21" t="s">
        <v>3917</v>
      </c>
      <c r="M1464" s="21" t="s">
        <v>73</v>
      </c>
      <c r="N1464" s="21"/>
    </row>
    <row r="1465" spans="1:14" ht="64.05" customHeight="1">
      <c r="A1465" s="20" t="s">
        <v>3873</v>
      </c>
      <c r="B1465" s="20" t="s">
        <v>22</v>
      </c>
      <c r="C1465" s="20" t="s">
        <v>370</v>
      </c>
      <c r="D1465" s="20" t="s">
        <v>371</v>
      </c>
      <c r="E1465" s="20" t="s">
        <v>3900</v>
      </c>
      <c r="F1465" s="20">
        <v>1</v>
      </c>
      <c r="G1465" s="20" t="s">
        <v>92</v>
      </c>
      <c r="H1465" s="20"/>
      <c r="I1465" s="21" t="s">
        <v>3916</v>
      </c>
      <c r="J1465" s="21" t="s">
        <v>245</v>
      </c>
      <c r="K1465" s="21"/>
      <c r="L1465" s="21" t="s">
        <v>3917</v>
      </c>
      <c r="M1465" s="21" t="s">
        <v>73</v>
      </c>
      <c r="N1465" s="21"/>
    </row>
    <row r="1466" spans="1:14" ht="64.05" customHeight="1">
      <c r="A1466" s="20" t="s">
        <v>3873</v>
      </c>
      <c r="B1466" s="20" t="s">
        <v>22</v>
      </c>
      <c r="C1466" s="20" t="s">
        <v>370</v>
      </c>
      <c r="D1466" s="20" t="s">
        <v>371</v>
      </c>
      <c r="E1466" s="20" t="s">
        <v>3894</v>
      </c>
      <c r="F1466" s="20">
        <v>1</v>
      </c>
      <c r="G1466" s="20" t="s">
        <v>92</v>
      </c>
      <c r="H1466" s="20"/>
      <c r="I1466" s="21" t="s">
        <v>3916</v>
      </c>
      <c r="J1466" s="21" t="s">
        <v>245</v>
      </c>
      <c r="K1466" s="21"/>
      <c r="L1466" s="21" t="s">
        <v>3917</v>
      </c>
      <c r="M1466" s="21" t="s">
        <v>73</v>
      </c>
      <c r="N1466" s="21"/>
    </row>
    <row r="1467" spans="1:14" ht="64.05" customHeight="1">
      <c r="A1467" s="20" t="s">
        <v>3873</v>
      </c>
      <c r="B1467" s="20" t="s">
        <v>22</v>
      </c>
      <c r="C1467" s="20" t="s">
        <v>370</v>
      </c>
      <c r="D1467" s="20" t="s">
        <v>371</v>
      </c>
      <c r="E1467" s="20" t="s">
        <v>3893</v>
      </c>
      <c r="F1467" s="20">
        <v>1</v>
      </c>
      <c r="G1467" s="20" t="s">
        <v>92</v>
      </c>
      <c r="H1467" s="20"/>
      <c r="I1467" s="21" t="s">
        <v>3916</v>
      </c>
      <c r="J1467" s="21" t="s">
        <v>245</v>
      </c>
      <c r="K1467" s="21"/>
      <c r="L1467" s="21" t="s">
        <v>3917</v>
      </c>
      <c r="M1467" s="21" t="s">
        <v>73</v>
      </c>
      <c r="N1467" s="21"/>
    </row>
    <row r="1468" spans="1:14" ht="64.05" customHeight="1">
      <c r="A1468" s="20" t="s">
        <v>3873</v>
      </c>
      <c r="B1468" s="20" t="s">
        <v>22</v>
      </c>
      <c r="C1468" s="20" t="s">
        <v>370</v>
      </c>
      <c r="D1468" s="20" t="s">
        <v>371</v>
      </c>
      <c r="E1468" s="20" t="s">
        <v>3891</v>
      </c>
      <c r="F1468" s="20">
        <v>1</v>
      </c>
      <c r="G1468" s="20" t="s">
        <v>92</v>
      </c>
      <c r="H1468" s="20"/>
      <c r="I1468" s="21" t="s">
        <v>3916</v>
      </c>
      <c r="J1468" s="21" t="s">
        <v>245</v>
      </c>
      <c r="K1468" s="21"/>
      <c r="L1468" s="21" t="s">
        <v>3917</v>
      </c>
      <c r="M1468" s="21" t="s">
        <v>73</v>
      </c>
      <c r="N1468" s="21"/>
    </row>
    <row r="1469" spans="1:14" ht="64.05" customHeight="1">
      <c r="A1469" s="20" t="s">
        <v>3873</v>
      </c>
      <c r="B1469" s="20" t="s">
        <v>22</v>
      </c>
      <c r="C1469" s="20" t="s">
        <v>370</v>
      </c>
      <c r="D1469" s="20" t="s">
        <v>371</v>
      </c>
      <c r="E1469" s="20" t="s">
        <v>3892</v>
      </c>
      <c r="F1469" s="20">
        <v>1</v>
      </c>
      <c r="G1469" s="20" t="s">
        <v>92</v>
      </c>
      <c r="H1469" s="20"/>
      <c r="I1469" s="21" t="s">
        <v>3916</v>
      </c>
      <c r="J1469" s="21" t="s">
        <v>245</v>
      </c>
      <c r="K1469" s="21"/>
      <c r="L1469" s="21" t="s">
        <v>3917</v>
      </c>
      <c r="M1469" s="21" t="s">
        <v>73</v>
      </c>
      <c r="N1469" s="21"/>
    </row>
    <row r="1470" spans="1:14" ht="64.05" customHeight="1">
      <c r="A1470" s="20" t="s">
        <v>3873</v>
      </c>
      <c r="B1470" s="20" t="s">
        <v>22</v>
      </c>
      <c r="C1470" s="20" t="s">
        <v>370</v>
      </c>
      <c r="D1470" s="20" t="s">
        <v>371</v>
      </c>
      <c r="E1470" s="20" t="s">
        <v>3890</v>
      </c>
      <c r="F1470" s="20">
        <v>1</v>
      </c>
      <c r="G1470" s="20" t="s">
        <v>92</v>
      </c>
      <c r="H1470" s="20"/>
      <c r="I1470" s="21" t="s">
        <v>3916</v>
      </c>
      <c r="J1470" s="21" t="s">
        <v>245</v>
      </c>
      <c r="K1470" s="21"/>
      <c r="L1470" s="21" t="s">
        <v>3917</v>
      </c>
      <c r="M1470" s="21" t="s">
        <v>73</v>
      </c>
      <c r="N1470" s="21"/>
    </row>
    <row r="1471" spans="1:14" ht="64.05" customHeight="1">
      <c r="A1471" s="20" t="s">
        <v>3873</v>
      </c>
      <c r="B1471" s="20" t="s">
        <v>22</v>
      </c>
      <c r="C1471" s="20" t="s">
        <v>370</v>
      </c>
      <c r="D1471" s="20" t="s">
        <v>371</v>
      </c>
      <c r="E1471" s="20" t="s">
        <v>3888</v>
      </c>
      <c r="F1471" s="20">
        <v>1</v>
      </c>
      <c r="G1471" s="20" t="s">
        <v>92</v>
      </c>
      <c r="H1471" s="20"/>
      <c r="I1471" s="21" t="s">
        <v>3916</v>
      </c>
      <c r="J1471" s="21" t="s">
        <v>245</v>
      </c>
      <c r="K1471" s="21"/>
      <c r="L1471" s="21" t="s">
        <v>3917</v>
      </c>
      <c r="M1471" s="21" t="s">
        <v>73</v>
      </c>
      <c r="N1471" s="21"/>
    </row>
    <row r="1472" spans="1:14" ht="64.05" customHeight="1">
      <c r="A1472" s="20" t="s">
        <v>4037</v>
      </c>
      <c r="B1472" s="20" t="s">
        <v>23</v>
      </c>
      <c r="C1472" s="20" t="s">
        <v>103</v>
      </c>
      <c r="D1472" s="20" t="s">
        <v>104</v>
      </c>
      <c r="E1472" s="20" t="s">
        <v>4038</v>
      </c>
      <c r="F1472" s="20">
        <v>1</v>
      </c>
      <c r="G1472" s="20" t="s">
        <v>4039</v>
      </c>
      <c r="H1472" s="20" t="s">
        <v>4040</v>
      </c>
      <c r="I1472" s="21" t="s">
        <v>4041</v>
      </c>
      <c r="J1472" s="21"/>
      <c r="K1472" s="21"/>
      <c r="L1472" s="21" t="s">
        <v>4042</v>
      </c>
      <c r="M1472" s="21" t="s">
        <v>73</v>
      </c>
      <c r="N1472" s="21"/>
    </row>
    <row r="1473" spans="1:14" ht="64.05" customHeight="1">
      <c r="A1473" s="20" t="s">
        <v>4037</v>
      </c>
      <c r="B1473" s="20" t="s">
        <v>23</v>
      </c>
      <c r="C1473" s="20" t="s">
        <v>103</v>
      </c>
      <c r="D1473" s="20" t="s">
        <v>104</v>
      </c>
      <c r="E1473" s="20" t="s">
        <v>4043</v>
      </c>
      <c r="F1473" s="20">
        <v>1</v>
      </c>
      <c r="G1473" s="20" t="s">
        <v>4039</v>
      </c>
      <c r="H1473" s="20" t="s">
        <v>4040</v>
      </c>
      <c r="I1473" s="21" t="s">
        <v>4044</v>
      </c>
      <c r="J1473" s="21"/>
      <c r="K1473" s="21"/>
      <c r="L1473" s="21" t="s">
        <v>4042</v>
      </c>
      <c r="M1473" s="21" t="s">
        <v>73</v>
      </c>
      <c r="N1473" s="21"/>
    </row>
    <row r="1474" spans="1:14" ht="64.05" customHeight="1">
      <c r="A1474" s="20" t="s">
        <v>4037</v>
      </c>
      <c r="B1474" s="20" t="s">
        <v>25</v>
      </c>
      <c r="C1474" s="20" t="s">
        <v>3299</v>
      </c>
      <c r="D1474" s="20" t="s">
        <v>698</v>
      </c>
      <c r="E1474" s="20" t="s">
        <v>4045</v>
      </c>
      <c r="F1474" s="20">
        <v>1</v>
      </c>
      <c r="G1474" s="20" t="s">
        <v>92</v>
      </c>
      <c r="H1474" s="20"/>
      <c r="I1474" s="21" t="s">
        <v>4046</v>
      </c>
      <c r="J1474" s="21"/>
      <c r="K1474" s="21" t="s">
        <v>109</v>
      </c>
      <c r="L1474" s="21" t="s">
        <v>4047</v>
      </c>
      <c r="M1474" s="21" t="s">
        <v>102</v>
      </c>
      <c r="N1474" s="21"/>
    </row>
    <row r="1475" spans="1:14" ht="64.05" customHeight="1">
      <c r="A1475" s="20" t="s">
        <v>4037</v>
      </c>
      <c r="B1475" s="20" t="s">
        <v>24</v>
      </c>
      <c r="C1475" s="20" t="s">
        <v>426</v>
      </c>
      <c r="D1475" s="20" t="s">
        <v>427</v>
      </c>
      <c r="E1475" s="20" t="s">
        <v>4048</v>
      </c>
      <c r="F1475" s="20">
        <v>1</v>
      </c>
      <c r="G1475" s="20" t="s">
        <v>1863</v>
      </c>
      <c r="H1475" s="20" t="s">
        <v>4049</v>
      </c>
      <c r="I1475" s="21" t="s">
        <v>4050</v>
      </c>
      <c r="J1475" s="21"/>
      <c r="K1475" s="21" t="s">
        <v>4051</v>
      </c>
      <c r="L1475" s="21" t="s">
        <v>4052</v>
      </c>
      <c r="M1475" s="21" t="s">
        <v>62</v>
      </c>
      <c r="N1475" s="21" t="s">
        <v>130</v>
      </c>
    </row>
    <row r="1476" spans="1:14" ht="64.05" customHeight="1">
      <c r="A1476" s="20" t="s">
        <v>4037</v>
      </c>
      <c r="B1476" s="20" t="s">
        <v>24</v>
      </c>
      <c r="C1476" s="20" t="s">
        <v>426</v>
      </c>
      <c r="D1476" s="20" t="s">
        <v>427</v>
      </c>
      <c r="E1476" s="20" t="s">
        <v>4053</v>
      </c>
      <c r="F1476" s="20">
        <v>1</v>
      </c>
      <c r="G1476" s="20" t="s">
        <v>1863</v>
      </c>
      <c r="H1476" s="20" t="s">
        <v>4049</v>
      </c>
      <c r="I1476" s="21" t="s">
        <v>4054</v>
      </c>
      <c r="J1476" s="21"/>
      <c r="K1476" s="21" t="s">
        <v>4051</v>
      </c>
      <c r="L1476" s="21" t="s">
        <v>4052</v>
      </c>
      <c r="M1476" s="21" t="s">
        <v>62</v>
      </c>
      <c r="N1476" s="21" t="s">
        <v>130</v>
      </c>
    </row>
    <row r="1477" spans="1:14" ht="64.05" customHeight="1">
      <c r="A1477" s="20" t="s">
        <v>4037</v>
      </c>
      <c r="B1477" s="20" t="s">
        <v>24</v>
      </c>
      <c r="C1477" s="20" t="s">
        <v>426</v>
      </c>
      <c r="D1477" s="20" t="s">
        <v>427</v>
      </c>
      <c r="E1477" s="20" t="s">
        <v>4055</v>
      </c>
      <c r="F1477" s="20">
        <v>1</v>
      </c>
      <c r="G1477" s="20" t="s">
        <v>1863</v>
      </c>
      <c r="H1477" s="20" t="s">
        <v>4049</v>
      </c>
      <c r="I1477" s="21" t="s">
        <v>4056</v>
      </c>
      <c r="J1477" s="21"/>
      <c r="K1477" s="21" t="s">
        <v>4051</v>
      </c>
      <c r="L1477" s="21" t="s">
        <v>4057</v>
      </c>
      <c r="M1477" s="21" t="s">
        <v>62</v>
      </c>
      <c r="N1477" s="21" t="s">
        <v>130</v>
      </c>
    </row>
    <row r="1478" spans="1:14" ht="64.05" customHeight="1">
      <c r="A1478" s="20" t="s">
        <v>4037</v>
      </c>
      <c r="B1478" s="20" t="s">
        <v>24</v>
      </c>
      <c r="C1478" s="20" t="s">
        <v>426</v>
      </c>
      <c r="D1478" s="20" t="s">
        <v>427</v>
      </c>
      <c r="E1478" s="20" t="s">
        <v>4058</v>
      </c>
      <c r="F1478" s="20">
        <v>1</v>
      </c>
      <c r="G1478" s="20" t="s">
        <v>1863</v>
      </c>
      <c r="H1478" s="20" t="s">
        <v>4049</v>
      </c>
      <c r="I1478" s="21" t="s">
        <v>4059</v>
      </c>
      <c r="J1478" s="21"/>
      <c r="K1478" s="21" t="s">
        <v>109</v>
      </c>
      <c r="L1478" s="21" t="s">
        <v>4060</v>
      </c>
      <c r="M1478" s="21" t="s">
        <v>62</v>
      </c>
      <c r="N1478" s="21" t="s">
        <v>130</v>
      </c>
    </row>
    <row r="1479" spans="1:14" ht="64.05" customHeight="1">
      <c r="A1479" s="20" t="s">
        <v>4037</v>
      </c>
      <c r="B1479" s="20" t="s">
        <v>24</v>
      </c>
      <c r="C1479" s="20" t="s">
        <v>431</v>
      </c>
      <c r="D1479" s="20" t="s">
        <v>216</v>
      </c>
      <c r="E1479" s="20" t="s">
        <v>4061</v>
      </c>
      <c r="F1479" s="20">
        <v>1</v>
      </c>
      <c r="G1479" s="20" t="s">
        <v>92</v>
      </c>
      <c r="H1479" s="20"/>
      <c r="I1479" s="21" t="s">
        <v>4062</v>
      </c>
      <c r="J1479" s="21"/>
      <c r="K1479" s="21" t="s">
        <v>4063</v>
      </c>
      <c r="L1479" s="21" t="s">
        <v>4064</v>
      </c>
      <c r="M1479" s="21" t="s">
        <v>102</v>
      </c>
      <c r="N1479" s="21"/>
    </row>
    <row r="1480" spans="1:14" ht="64.05" customHeight="1">
      <c r="A1480" s="20" t="s">
        <v>4037</v>
      </c>
      <c r="B1480" s="20" t="s">
        <v>24</v>
      </c>
      <c r="C1480" s="20" t="s">
        <v>431</v>
      </c>
      <c r="D1480" s="20" t="s">
        <v>216</v>
      </c>
      <c r="E1480" s="20" t="s">
        <v>4065</v>
      </c>
      <c r="F1480" s="20">
        <v>1</v>
      </c>
      <c r="G1480" s="20" t="s">
        <v>92</v>
      </c>
      <c r="H1480" s="20"/>
      <c r="I1480" s="21" t="s">
        <v>1389</v>
      </c>
      <c r="J1480" s="21"/>
      <c r="K1480" s="21" t="s">
        <v>4063</v>
      </c>
      <c r="L1480" s="21" t="s">
        <v>4064</v>
      </c>
      <c r="M1480" s="21" t="s">
        <v>102</v>
      </c>
      <c r="N1480" s="21"/>
    </row>
    <row r="1481" spans="1:14" ht="64.05" customHeight="1">
      <c r="A1481" s="20" t="s">
        <v>4037</v>
      </c>
      <c r="B1481" s="20" t="s">
        <v>24</v>
      </c>
      <c r="C1481" s="20" t="s">
        <v>436</v>
      </c>
      <c r="D1481" s="20" t="s">
        <v>437</v>
      </c>
      <c r="E1481" s="20" t="s">
        <v>4066</v>
      </c>
      <c r="F1481" s="20">
        <v>1</v>
      </c>
      <c r="G1481" s="20" t="s">
        <v>92</v>
      </c>
      <c r="H1481" s="20"/>
      <c r="I1481" s="21" t="s">
        <v>4067</v>
      </c>
      <c r="J1481" s="21"/>
      <c r="K1481" s="21" t="s">
        <v>406</v>
      </c>
      <c r="L1481" s="21" t="s">
        <v>4068</v>
      </c>
      <c r="M1481" s="21" t="s">
        <v>102</v>
      </c>
      <c r="N1481" s="21"/>
    </row>
    <row r="1482" spans="1:14" ht="64.05" customHeight="1">
      <c r="A1482" s="20" t="s">
        <v>4037</v>
      </c>
      <c r="B1482" s="20" t="s">
        <v>24</v>
      </c>
      <c r="C1482" s="20" t="s">
        <v>443</v>
      </c>
      <c r="D1482" s="20" t="s">
        <v>444</v>
      </c>
      <c r="E1482" s="20" t="s">
        <v>4069</v>
      </c>
      <c r="F1482" s="20">
        <v>1</v>
      </c>
      <c r="G1482" s="20" t="s">
        <v>139</v>
      </c>
      <c r="H1482" s="20"/>
      <c r="I1482" s="21" t="s">
        <v>112</v>
      </c>
      <c r="J1482" s="21"/>
      <c r="K1482" s="21"/>
      <c r="L1482" s="21" t="s">
        <v>4070</v>
      </c>
      <c r="M1482" s="21" t="s">
        <v>102</v>
      </c>
      <c r="N1482" s="21"/>
    </row>
    <row r="1483" spans="1:14" ht="64.05" customHeight="1">
      <c r="A1483" s="20" t="s">
        <v>4037</v>
      </c>
      <c r="B1483" s="20" t="s">
        <v>24</v>
      </c>
      <c r="C1483" s="20" t="s">
        <v>443</v>
      </c>
      <c r="D1483" s="20" t="s">
        <v>444</v>
      </c>
      <c r="E1483" s="20" t="s">
        <v>4071</v>
      </c>
      <c r="F1483" s="20">
        <v>1</v>
      </c>
      <c r="G1483" s="20" t="s">
        <v>92</v>
      </c>
      <c r="H1483" s="20"/>
      <c r="I1483" s="21" t="s">
        <v>4072</v>
      </c>
      <c r="J1483" s="21" t="s">
        <v>99</v>
      </c>
      <c r="K1483" s="21"/>
      <c r="L1483" s="21" t="s">
        <v>4073</v>
      </c>
      <c r="M1483" s="21" t="s">
        <v>102</v>
      </c>
      <c r="N1483" s="21"/>
    </row>
    <row r="1484" spans="1:14" ht="64.05" customHeight="1">
      <c r="A1484" s="20" t="s">
        <v>4037</v>
      </c>
      <c r="B1484" s="20" t="s">
        <v>28</v>
      </c>
      <c r="C1484" s="20" t="s">
        <v>146</v>
      </c>
      <c r="D1484" s="20" t="s">
        <v>147</v>
      </c>
      <c r="E1484" s="20" t="s">
        <v>4074</v>
      </c>
      <c r="F1484" s="20">
        <v>1</v>
      </c>
      <c r="G1484" s="20" t="s">
        <v>2432</v>
      </c>
      <c r="H1484" s="20" t="s">
        <v>1710</v>
      </c>
      <c r="I1484" s="21" t="s">
        <v>112</v>
      </c>
      <c r="J1484" s="21"/>
      <c r="K1484" s="21" t="s">
        <v>406</v>
      </c>
      <c r="L1484" s="21" t="s">
        <v>4075</v>
      </c>
      <c r="M1484" s="21" t="s">
        <v>62</v>
      </c>
      <c r="N1484" s="21" t="s">
        <v>130</v>
      </c>
    </row>
    <row r="1485" spans="1:14" ht="64.05" customHeight="1">
      <c r="A1485" s="20" t="s">
        <v>4037</v>
      </c>
      <c r="B1485" s="20" t="s">
        <v>27</v>
      </c>
      <c r="C1485" s="20" t="s">
        <v>475</v>
      </c>
      <c r="D1485" s="20" t="s">
        <v>3965</v>
      </c>
      <c r="E1485" s="20" t="s">
        <v>139</v>
      </c>
      <c r="F1485" s="20">
        <v>1</v>
      </c>
      <c r="G1485" s="20"/>
      <c r="H1485" s="20"/>
      <c r="I1485" s="21" t="s">
        <v>112</v>
      </c>
      <c r="J1485" s="21"/>
      <c r="K1485" s="21" t="s">
        <v>109</v>
      </c>
      <c r="L1485" s="21" t="s">
        <v>4076</v>
      </c>
      <c r="M1485" s="21" t="s">
        <v>73</v>
      </c>
      <c r="N1485" s="21"/>
    </row>
    <row r="1486" spans="1:14" ht="64.05" customHeight="1">
      <c r="A1486" s="20" t="s">
        <v>4037</v>
      </c>
      <c r="B1486" s="20" t="s">
        <v>27</v>
      </c>
      <c r="C1486" s="20" t="s">
        <v>475</v>
      </c>
      <c r="D1486" s="20" t="s">
        <v>3965</v>
      </c>
      <c r="E1486" s="20" t="s">
        <v>4077</v>
      </c>
      <c r="F1486" s="20">
        <v>1</v>
      </c>
      <c r="G1486" s="20" t="s">
        <v>92</v>
      </c>
      <c r="H1486" s="20"/>
      <c r="I1486" s="21" t="s">
        <v>4078</v>
      </c>
      <c r="J1486" s="21"/>
      <c r="K1486" s="21" t="s">
        <v>109</v>
      </c>
      <c r="L1486" s="21" t="s">
        <v>4079</v>
      </c>
      <c r="M1486" s="21" t="s">
        <v>102</v>
      </c>
      <c r="N1486" s="21"/>
    </row>
    <row r="1487" spans="1:14" ht="64.05" customHeight="1">
      <c r="A1487" s="20" t="s">
        <v>4037</v>
      </c>
      <c r="B1487" s="20" t="s">
        <v>27</v>
      </c>
      <c r="C1487" s="20" t="s">
        <v>475</v>
      </c>
      <c r="D1487" s="20" t="s">
        <v>3965</v>
      </c>
      <c r="E1487" s="20" t="s">
        <v>4080</v>
      </c>
      <c r="F1487" s="20">
        <v>1</v>
      </c>
      <c r="G1487" s="20" t="s">
        <v>92</v>
      </c>
      <c r="H1487" s="20"/>
      <c r="I1487" s="21" t="s">
        <v>4078</v>
      </c>
      <c r="J1487" s="21"/>
      <c r="K1487" s="21" t="s">
        <v>109</v>
      </c>
      <c r="L1487" s="21" t="s">
        <v>4079</v>
      </c>
      <c r="M1487" s="21" t="s">
        <v>102</v>
      </c>
      <c r="N1487" s="21"/>
    </row>
    <row r="1488" spans="1:14" ht="64.05" customHeight="1">
      <c r="A1488" s="20" t="s">
        <v>4037</v>
      </c>
      <c r="B1488" s="20" t="s">
        <v>27</v>
      </c>
      <c r="C1488" s="20" t="s">
        <v>475</v>
      </c>
      <c r="D1488" s="20" t="s">
        <v>3965</v>
      </c>
      <c r="E1488" s="20" t="s">
        <v>4081</v>
      </c>
      <c r="F1488" s="20">
        <v>1</v>
      </c>
      <c r="G1488" s="20" t="s">
        <v>92</v>
      </c>
      <c r="H1488" s="20"/>
      <c r="I1488" s="21" t="s">
        <v>4078</v>
      </c>
      <c r="J1488" s="21"/>
      <c r="K1488" s="21" t="s">
        <v>109</v>
      </c>
      <c r="L1488" s="21" t="s">
        <v>4079</v>
      </c>
      <c r="M1488" s="21" t="s">
        <v>102</v>
      </c>
      <c r="N1488" s="21"/>
    </row>
    <row r="1489" spans="1:14" ht="64.05" customHeight="1">
      <c r="A1489" s="20" t="s">
        <v>4037</v>
      </c>
      <c r="B1489" s="20" t="s">
        <v>27</v>
      </c>
      <c r="C1489" s="20" t="s">
        <v>475</v>
      </c>
      <c r="D1489" s="20" t="s">
        <v>3965</v>
      </c>
      <c r="E1489" s="20" t="s">
        <v>4082</v>
      </c>
      <c r="F1489" s="20">
        <v>1</v>
      </c>
      <c r="G1489" s="20" t="s">
        <v>92</v>
      </c>
      <c r="H1489" s="20"/>
      <c r="I1489" s="21" t="s">
        <v>4078</v>
      </c>
      <c r="J1489" s="21"/>
      <c r="K1489" s="21" t="s">
        <v>109</v>
      </c>
      <c r="L1489" s="21" t="s">
        <v>4079</v>
      </c>
      <c r="M1489" s="21" t="s">
        <v>102</v>
      </c>
      <c r="N1489" s="21"/>
    </row>
    <row r="1490" spans="1:14" ht="64.05" customHeight="1">
      <c r="A1490" s="20" t="s">
        <v>4037</v>
      </c>
      <c r="B1490" s="20" t="s">
        <v>30</v>
      </c>
      <c r="C1490" s="20" t="s">
        <v>180</v>
      </c>
      <c r="D1490" s="20" t="s">
        <v>181</v>
      </c>
      <c r="E1490" s="20" t="s">
        <v>4083</v>
      </c>
      <c r="F1490" s="20">
        <v>1</v>
      </c>
      <c r="G1490" s="20" t="s">
        <v>92</v>
      </c>
      <c r="H1490" s="20"/>
      <c r="I1490" s="21" t="s">
        <v>4084</v>
      </c>
      <c r="J1490" s="21"/>
      <c r="K1490" s="21" t="s">
        <v>109</v>
      </c>
      <c r="L1490" s="21" t="s">
        <v>4085</v>
      </c>
      <c r="M1490" s="21" t="s">
        <v>73</v>
      </c>
      <c r="N1490" s="21"/>
    </row>
    <row r="1491" spans="1:14" ht="64.05" customHeight="1">
      <c r="A1491" s="20" t="s">
        <v>4037</v>
      </c>
      <c r="B1491" s="20" t="s">
        <v>30</v>
      </c>
      <c r="C1491" s="20" t="s">
        <v>188</v>
      </c>
      <c r="D1491" s="20" t="s">
        <v>189</v>
      </c>
      <c r="E1491" s="20" t="s">
        <v>4086</v>
      </c>
      <c r="F1491" s="20">
        <v>1</v>
      </c>
      <c r="G1491" s="20" t="s">
        <v>2758</v>
      </c>
      <c r="H1491" s="20" t="s">
        <v>4087</v>
      </c>
      <c r="I1491" s="21" t="s">
        <v>4088</v>
      </c>
      <c r="J1491" s="21"/>
      <c r="K1491" s="21" t="s">
        <v>4089</v>
      </c>
      <c r="L1491" s="21" t="s">
        <v>4090</v>
      </c>
      <c r="M1491" s="21" t="s">
        <v>73</v>
      </c>
      <c r="N1491" s="21"/>
    </row>
    <row r="1492" spans="1:14" ht="64.05" customHeight="1">
      <c r="A1492" s="20" t="s">
        <v>4037</v>
      </c>
      <c r="B1492" s="20" t="s">
        <v>30</v>
      </c>
      <c r="C1492" s="20" t="s">
        <v>188</v>
      </c>
      <c r="D1492" s="20" t="s">
        <v>189</v>
      </c>
      <c r="E1492" s="20" t="s">
        <v>4091</v>
      </c>
      <c r="F1492" s="20">
        <v>1</v>
      </c>
      <c r="G1492" s="20" t="s">
        <v>4092</v>
      </c>
      <c r="H1492" s="20" t="s">
        <v>3201</v>
      </c>
      <c r="I1492" s="21" t="s">
        <v>4093</v>
      </c>
      <c r="J1492" s="21"/>
      <c r="K1492" s="21" t="s">
        <v>78</v>
      </c>
      <c r="L1492" s="21" t="s">
        <v>4094</v>
      </c>
      <c r="M1492" s="21" t="s">
        <v>73</v>
      </c>
      <c r="N1492" s="21"/>
    </row>
    <row r="1493" spans="1:14" ht="64.05" customHeight="1">
      <c r="A1493" s="20" t="s">
        <v>4037</v>
      </c>
      <c r="B1493" s="20" t="s">
        <v>30</v>
      </c>
      <c r="C1493" s="20" t="s">
        <v>188</v>
      </c>
      <c r="D1493" s="20" t="s">
        <v>189</v>
      </c>
      <c r="E1493" s="20" t="s">
        <v>4095</v>
      </c>
      <c r="F1493" s="20">
        <v>1</v>
      </c>
      <c r="G1493" s="20" t="s">
        <v>1534</v>
      </c>
      <c r="H1493" s="20" t="s">
        <v>4096</v>
      </c>
      <c r="I1493" s="21" t="s">
        <v>4097</v>
      </c>
      <c r="J1493" s="21"/>
      <c r="K1493" s="21" t="s">
        <v>4098</v>
      </c>
      <c r="L1493" s="21" t="s">
        <v>4099</v>
      </c>
      <c r="M1493" s="21" t="s">
        <v>73</v>
      </c>
      <c r="N1493" s="21"/>
    </row>
    <row r="1494" spans="1:14" ht="64.05" customHeight="1">
      <c r="A1494" s="20" t="s">
        <v>4037</v>
      </c>
      <c r="B1494" s="20" t="s">
        <v>30</v>
      </c>
      <c r="C1494" s="20" t="s">
        <v>188</v>
      </c>
      <c r="D1494" s="20" t="s">
        <v>189</v>
      </c>
      <c r="E1494" s="20" t="s">
        <v>4100</v>
      </c>
      <c r="F1494" s="20">
        <v>1</v>
      </c>
      <c r="G1494" s="20" t="s">
        <v>1534</v>
      </c>
      <c r="H1494" s="20" t="s">
        <v>4096</v>
      </c>
      <c r="I1494" s="21" t="s">
        <v>4101</v>
      </c>
      <c r="J1494" s="21"/>
      <c r="K1494" s="21" t="s">
        <v>4098</v>
      </c>
      <c r="L1494" s="21" t="s">
        <v>4102</v>
      </c>
      <c r="M1494" s="21" t="s">
        <v>73</v>
      </c>
      <c r="N1494" s="21"/>
    </row>
    <row r="1495" spans="1:14" ht="64.05" customHeight="1">
      <c r="A1495" s="20" t="s">
        <v>4037</v>
      </c>
      <c r="B1495" s="20" t="s">
        <v>30</v>
      </c>
      <c r="C1495" s="20" t="s">
        <v>188</v>
      </c>
      <c r="D1495" s="20" t="s">
        <v>189</v>
      </c>
      <c r="E1495" s="20" t="s">
        <v>4103</v>
      </c>
      <c r="F1495" s="20">
        <v>1</v>
      </c>
      <c r="G1495" s="20" t="s">
        <v>4104</v>
      </c>
      <c r="H1495" s="20" t="s">
        <v>4105</v>
      </c>
      <c r="I1495" s="21" t="s">
        <v>4101</v>
      </c>
      <c r="J1495" s="21"/>
      <c r="K1495" s="21" t="s">
        <v>4098</v>
      </c>
      <c r="L1495" s="21" t="s">
        <v>4102</v>
      </c>
      <c r="M1495" s="21" t="s">
        <v>73</v>
      </c>
      <c r="N1495" s="21"/>
    </row>
    <row r="1496" spans="1:14" ht="64.05" customHeight="1">
      <c r="A1496" s="20" t="s">
        <v>4037</v>
      </c>
      <c r="B1496" s="20" t="s">
        <v>30</v>
      </c>
      <c r="C1496" s="20" t="s">
        <v>188</v>
      </c>
      <c r="D1496" s="20" t="s">
        <v>189</v>
      </c>
      <c r="E1496" s="20" t="s">
        <v>4106</v>
      </c>
      <c r="F1496" s="20">
        <v>1</v>
      </c>
      <c r="G1496" s="20" t="s">
        <v>4104</v>
      </c>
      <c r="H1496" s="20" t="s">
        <v>4105</v>
      </c>
      <c r="I1496" s="21" t="s">
        <v>4101</v>
      </c>
      <c r="J1496" s="21"/>
      <c r="K1496" s="21" t="s">
        <v>4098</v>
      </c>
      <c r="L1496" s="21" t="s">
        <v>4102</v>
      </c>
      <c r="M1496" s="21" t="s">
        <v>73</v>
      </c>
      <c r="N1496" s="21"/>
    </row>
    <row r="1497" spans="1:14" ht="64.05" customHeight="1">
      <c r="A1497" s="20" t="s">
        <v>4037</v>
      </c>
      <c r="B1497" s="20" t="s">
        <v>26</v>
      </c>
      <c r="C1497" s="20" t="s">
        <v>196</v>
      </c>
      <c r="D1497" s="20" t="s">
        <v>197</v>
      </c>
      <c r="E1497" s="20" t="s">
        <v>4107</v>
      </c>
      <c r="F1497" s="20">
        <v>1</v>
      </c>
      <c r="G1497" s="20" t="s">
        <v>1448</v>
      </c>
      <c r="H1497" s="20" t="s">
        <v>4108</v>
      </c>
      <c r="I1497" s="21" t="s">
        <v>4109</v>
      </c>
      <c r="J1497" s="21"/>
      <c r="K1497" s="21" t="s">
        <v>4110</v>
      </c>
      <c r="L1497" s="21" t="s">
        <v>4111</v>
      </c>
      <c r="M1497" s="21" t="s">
        <v>62</v>
      </c>
      <c r="N1497" s="21" t="s">
        <v>130</v>
      </c>
    </row>
    <row r="1498" spans="1:14" ht="64.05" customHeight="1">
      <c r="A1498" s="20" t="s">
        <v>4037</v>
      </c>
      <c r="B1498" s="20" t="s">
        <v>26</v>
      </c>
      <c r="C1498" s="20" t="s">
        <v>196</v>
      </c>
      <c r="D1498" s="20" t="s">
        <v>197</v>
      </c>
      <c r="E1498" s="20" t="s">
        <v>4112</v>
      </c>
      <c r="F1498" s="20">
        <v>1</v>
      </c>
      <c r="G1498" s="20" t="s">
        <v>508</v>
      </c>
      <c r="H1498" s="20" t="s">
        <v>4113</v>
      </c>
      <c r="I1498" s="21" t="s">
        <v>4114</v>
      </c>
      <c r="J1498" s="21"/>
      <c r="K1498" s="21" t="s">
        <v>4115</v>
      </c>
      <c r="L1498" s="21" t="s">
        <v>4116</v>
      </c>
      <c r="M1498" s="21" t="s">
        <v>62</v>
      </c>
      <c r="N1498" s="21" t="s">
        <v>130</v>
      </c>
    </row>
    <row r="1499" spans="1:14" ht="64.05" customHeight="1">
      <c r="A1499" s="20" t="s">
        <v>4037</v>
      </c>
      <c r="B1499" s="20" t="s">
        <v>26</v>
      </c>
      <c r="C1499" s="20" t="s">
        <v>196</v>
      </c>
      <c r="D1499" s="20" t="s">
        <v>197</v>
      </c>
      <c r="E1499" s="20" t="s">
        <v>4117</v>
      </c>
      <c r="F1499" s="20">
        <v>1</v>
      </c>
      <c r="G1499" s="20" t="s">
        <v>2302</v>
      </c>
      <c r="H1499" s="20" t="s">
        <v>4118</v>
      </c>
      <c r="I1499" s="21" t="s">
        <v>4119</v>
      </c>
      <c r="J1499" s="21"/>
      <c r="K1499" s="21" t="s">
        <v>4115</v>
      </c>
      <c r="L1499" s="21" t="s">
        <v>4120</v>
      </c>
      <c r="M1499" s="21" t="s">
        <v>102</v>
      </c>
      <c r="N1499" s="21"/>
    </row>
    <row r="1500" spans="1:14" ht="64.05" customHeight="1">
      <c r="A1500" s="20" t="s">
        <v>4037</v>
      </c>
      <c r="B1500" s="20" t="s">
        <v>33</v>
      </c>
      <c r="C1500" s="20" t="s">
        <v>2314</v>
      </c>
      <c r="D1500" s="20" t="s">
        <v>2315</v>
      </c>
      <c r="E1500" s="20" t="s">
        <v>4121</v>
      </c>
      <c r="F1500" s="20">
        <v>1</v>
      </c>
      <c r="G1500" s="20" t="s">
        <v>3045</v>
      </c>
      <c r="H1500" s="20" t="s">
        <v>1599</v>
      </c>
      <c r="I1500" s="21" t="s">
        <v>4122</v>
      </c>
      <c r="J1500" s="21"/>
      <c r="K1500" s="21" t="s">
        <v>109</v>
      </c>
      <c r="L1500" s="21" t="s">
        <v>4123</v>
      </c>
      <c r="M1500" s="21" t="s">
        <v>102</v>
      </c>
      <c r="N1500" s="21"/>
    </row>
    <row r="1501" spans="1:14" ht="64.05" customHeight="1">
      <c r="A1501" s="20" t="s">
        <v>4037</v>
      </c>
      <c r="B1501" s="20" t="s">
        <v>33</v>
      </c>
      <c r="C1501" s="20" t="s">
        <v>2314</v>
      </c>
      <c r="D1501" s="20" t="s">
        <v>2315</v>
      </c>
      <c r="E1501" s="20" t="s">
        <v>4124</v>
      </c>
      <c r="F1501" s="20">
        <v>1</v>
      </c>
      <c r="G1501" s="20" t="s">
        <v>125</v>
      </c>
      <c r="H1501" s="20" t="s">
        <v>1675</v>
      </c>
      <c r="I1501" s="21" t="s">
        <v>4125</v>
      </c>
      <c r="J1501" s="21"/>
      <c r="K1501" s="21" t="s">
        <v>109</v>
      </c>
      <c r="L1501" s="21" t="s">
        <v>4123</v>
      </c>
      <c r="M1501" s="21" t="s">
        <v>102</v>
      </c>
      <c r="N1501" s="21"/>
    </row>
    <row r="1502" spans="1:14" ht="64.05" customHeight="1">
      <c r="A1502" s="20" t="s">
        <v>4037</v>
      </c>
      <c r="B1502" s="20" t="s">
        <v>33</v>
      </c>
      <c r="C1502" s="20" t="s">
        <v>2314</v>
      </c>
      <c r="D1502" s="20" t="s">
        <v>2315</v>
      </c>
      <c r="E1502" s="20" t="s">
        <v>4126</v>
      </c>
      <c r="F1502" s="20">
        <v>1</v>
      </c>
      <c r="G1502" s="20" t="s">
        <v>125</v>
      </c>
      <c r="H1502" s="20" t="s">
        <v>1675</v>
      </c>
      <c r="I1502" s="21" t="s">
        <v>4125</v>
      </c>
      <c r="J1502" s="21"/>
      <c r="K1502" s="21" t="s">
        <v>109</v>
      </c>
      <c r="L1502" s="21" t="s">
        <v>4123</v>
      </c>
      <c r="M1502" s="21" t="s">
        <v>102</v>
      </c>
      <c r="N1502" s="21"/>
    </row>
    <row r="1503" spans="1:14" ht="64.05" customHeight="1">
      <c r="A1503" s="20" t="s">
        <v>4037</v>
      </c>
      <c r="B1503" s="20" t="s">
        <v>33</v>
      </c>
      <c r="C1503" s="20" t="s">
        <v>2314</v>
      </c>
      <c r="D1503" s="20" t="s">
        <v>2315</v>
      </c>
      <c r="E1503" s="20" t="s">
        <v>4127</v>
      </c>
      <c r="F1503" s="20">
        <v>1</v>
      </c>
      <c r="G1503" s="20" t="s">
        <v>125</v>
      </c>
      <c r="H1503" s="20" t="s">
        <v>1675</v>
      </c>
      <c r="I1503" s="21" t="s">
        <v>4125</v>
      </c>
      <c r="J1503" s="21"/>
      <c r="K1503" s="21" t="s">
        <v>109</v>
      </c>
      <c r="L1503" s="21" t="s">
        <v>4123</v>
      </c>
      <c r="M1503" s="21" t="s">
        <v>102</v>
      </c>
      <c r="N1503" s="21"/>
    </row>
    <row r="1504" spans="1:14" ht="64.05" customHeight="1">
      <c r="A1504" s="20" t="s">
        <v>4037</v>
      </c>
      <c r="B1504" s="20" t="s">
        <v>31</v>
      </c>
      <c r="C1504" s="20" t="s">
        <v>491</v>
      </c>
      <c r="D1504" s="20" t="s">
        <v>492</v>
      </c>
      <c r="E1504" s="20" t="s">
        <v>4128</v>
      </c>
      <c r="F1504" s="20">
        <v>1</v>
      </c>
      <c r="G1504" s="20" t="s">
        <v>2192</v>
      </c>
      <c r="H1504" s="20" t="s">
        <v>4129</v>
      </c>
      <c r="I1504" s="21" t="s">
        <v>4130</v>
      </c>
      <c r="J1504" s="21"/>
      <c r="K1504" s="21" t="s">
        <v>78</v>
      </c>
      <c r="L1504" s="21" t="s">
        <v>4131</v>
      </c>
      <c r="M1504" s="21" t="s">
        <v>73</v>
      </c>
      <c r="N1504" s="21"/>
    </row>
    <row r="1505" spans="1:14" ht="64.05" customHeight="1">
      <c r="A1505" s="20" t="s">
        <v>4132</v>
      </c>
      <c r="B1505" s="20" t="s">
        <v>20</v>
      </c>
      <c r="C1505" s="20" t="s">
        <v>55</v>
      </c>
      <c r="D1505" s="20" t="s">
        <v>56</v>
      </c>
      <c r="E1505" s="20" t="s">
        <v>4133</v>
      </c>
      <c r="F1505" s="20">
        <v>1</v>
      </c>
      <c r="G1505" s="20" t="s">
        <v>4134</v>
      </c>
      <c r="H1505" s="20" t="s">
        <v>4135</v>
      </c>
      <c r="I1505" s="21" t="s">
        <v>4136</v>
      </c>
      <c r="J1505" s="21"/>
      <c r="K1505" s="21" t="s">
        <v>4137</v>
      </c>
      <c r="L1505" s="21" t="s">
        <v>4138</v>
      </c>
      <c r="M1505" s="21" t="s">
        <v>62</v>
      </c>
      <c r="N1505" s="21" t="s">
        <v>187</v>
      </c>
    </row>
    <row r="1506" spans="1:14" ht="64.05" customHeight="1">
      <c r="A1506" s="20" t="s">
        <v>4132</v>
      </c>
      <c r="B1506" s="20" t="s">
        <v>23</v>
      </c>
      <c r="C1506" s="20" t="s">
        <v>103</v>
      </c>
      <c r="D1506" s="20" t="s">
        <v>104</v>
      </c>
      <c r="E1506" s="20" t="s">
        <v>4139</v>
      </c>
      <c r="F1506" s="20">
        <v>1</v>
      </c>
      <c r="G1506" s="20" t="s">
        <v>92</v>
      </c>
      <c r="H1506" s="20"/>
      <c r="I1506" s="21" t="s">
        <v>451</v>
      </c>
      <c r="J1506" s="21"/>
      <c r="K1506" s="21" t="s">
        <v>109</v>
      </c>
      <c r="L1506" s="21" t="s">
        <v>4140</v>
      </c>
      <c r="M1506" s="21" t="s">
        <v>62</v>
      </c>
      <c r="N1506" s="21" t="s">
        <v>63</v>
      </c>
    </row>
    <row r="1507" spans="1:14" ht="64.05" customHeight="1">
      <c r="A1507" s="20" t="s">
        <v>4132</v>
      </c>
      <c r="B1507" s="20" t="s">
        <v>25</v>
      </c>
      <c r="C1507" s="20" t="s">
        <v>115</v>
      </c>
      <c r="D1507" s="20" t="s">
        <v>116</v>
      </c>
      <c r="E1507" s="20" t="s">
        <v>4141</v>
      </c>
      <c r="F1507" s="20">
        <v>1</v>
      </c>
      <c r="G1507" s="20" t="s">
        <v>2219</v>
      </c>
      <c r="H1507" s="20" t="s">
        <v>409</v>
      </c>
      <c r="I1507" s="21" t="s">
        <v>164</v>
      </c>
      <c r="J1507" s="21"/>
      <c r="K1507" s="21"/>
      <c r="L1507" s="21" t="s">
        <v>4142</v>
      </c>
      <c r="M1507" s="21" t="s">
        <v>62</v>
      </c>
      <c r="N1507" s="21" t="s">
        <v>811</v>
      </c>
    </row>
    <row r="1508" spans="1:14" ht="64.05" customHeight="1">
      <c r="A1508" s="20" t="s">
        <v>4132</v>
      </c>
      <c r="B1508" s="20" t="s">
        <v>25</v>
      </c>
      <c r="C1508" s="20" t="s">
        <v>115</v>
      </c>
      <c r="D1508" s="20" t="s">
        <v>116</v>
      </c>
      <c r="E1508" s="20" t="s">
        <v>4143</v>
      </c>
      <c r="F1508" s="20">
        <v>1</v>
      </c>
      <c r="G1508" s="20" t="s">
        <v>2219</v>
      </c>
      <c r="H1508" s="20" t="s">
        <v>409</v>
      </c>
      <c r="I1508" s="21" t="s">
        <v>164</v>
      </c>
      <c r="J1508" s="21"/>
      <c r="K1508" s="21"/>
      <c r="L1508" s="21" t="s">
        <v>4142</v>
      </c>
      <c r="M1508" s="21" t="s">
        <v>62</v>
      </c>
      <c r="N1508" s="21" t="s">
        <v>811</v>
      </c>
    </row>
    <row r="1509" spans="1:14" ht="64.05" customHeight="1">
      <c r="A1509" s="20" t="s">
        <v>4132</v>
      </c>
      <c r="B1509" s="20" t="s">
        <v>25</v>
      </c>
      <c r="C1509" s="20" t="s">
        <v>115</v>
      </c>
      <c r="D1509" s="20" t="s">
        <v>116</v>
      </c>
      <c r="E1509" s="20" t="s">
        <v>4144</v>
      </c>
      <c r="F1509" s="20">
        <v>1</v>
      </c>
      <c r="G1509" s="20" t="s">
        <v>92</v>
      </c>
      <c r="H1509" s="20"/>
      <c r="I1509" s="21" t="s">
        <v>406</v>
      </c>
      <c r="J1509" s="21"/>
      <c r="K1509" s="21" t="s">
        <v>406</v>
      </c>
      <c r="L1509" s="21" t="s">
        <v>4145</v>
      </c>
      <c r="M1509" s="21" t="s">
        <v>102</v>
      </c>
      <c r="N1509" s="21"/>
    </row>
    <row r="1510" spans="1:14" ht="64.05" customHeight="1">
      <c r="A1510" s="20" t="s">
        <v>4132</v>
      </c>
      <c r="B1510" s="20" t="s">
        <v>24</v>
      </c>
      <c r="C1510" s="20" t="s">
        <v>426</v>
      </c>
      <c r="D1510" s="20" t="s">
        <v>427</v>
      </c>
      <c r="E1510" s="20" t="s">
        <v>4146</v>
      </c>
      <c r="F1510" s="20">
        <v>1</v>
      </c>
      <c r="G1510" s="20" t="s">
        <v>92</v>
      </c>
      <c r="H1510" s="20"/>
      <c r="I1510" s="21" t="s">
        <v>4147</v>
      </c>
      <c r="J1510" s="21"/>
      <c r="K1510" s="21" t="s">
        <v>109</v>
      </c>
      <c r="L1510" s="21" t="s">
        <v>4148</v>
      </c>
      <c r="M1510" s="21" t="s">
        <v>73</v>
      </c>
      <c r="N1510" s="21"/>
    </row>
    <row r="1511" spans="1:14" ht="64.05" customHeight="1">
      <c r="A1511" s="20" t="s">
        <v>4132</v>
      </c>
      <c r="B1511" s="20" t="s">
        <v>24</v>
      </c>
      <c r="C1511" s="20" t="s">
        <v>136</v>
      </c>
      <c r="D1511" s="20" t="s">
        <v>137</v>
      </c>
      <c r="E1511" s="20" t="s">
        <v>4149</v>
      </c>
      <c r="F1511" s="20">
        <v>1</v>
      </c>
      <c r="G1511" s="20" t="s">
        <v>92</v>
      </c>
      <c r="H1511" s="20"/>
      <c r="I1511" s="21" t="s">
        <v>4150</v>
      </c>
      <c r="J1511" s="21"/>
      <c r="K1511" s="21" t="s">
        <v>109</v>
      </c>
      <c r="L1511" s="21" t="s">
        <v>4151</v>
      </c>
      <c r="M1511" s="21" t="s">
        <v>62</v>
      </c>
      <c r="N1511" s="21" t="s">
        <v>63</v>
      </c>
    </row>
    <row r="1512" spans="1:14" ht="64.05" customHeight="1">
      <c r="A1512" s="20" t="s">
        <v>4132</v>
      </c>
      <c r="B1512" s="20" t="s">
        <v>28</v>
      </c>
      <c r="C1512" s="20" t="s">
        <v>146</v>
      </c>
      <c r="D1512" s="20" t="s">
        <v>147</v>
      </c>
      <c r="E1512" s="20" t="s">
        <v>4152</v>
      </c>
      <c r="F1512" s="20">
        <v>1</v>
      </c>
      <c r="G1512" s="20" t="s">
        <v>527</v>
      </c>
      <c r="H1512" s="20" t="s">
        <v>889</v>
      </c>
      <c r="I1512" s="21" t="s">
        <v>4153</v>
      </c>
      <c r="J1512" s="21"/>
      <c r="K1512" s="21" t="s">
        <v>4137</v>
      </c>
      <c r="L1512" s="21" t="s">
        <v>4154</v>
      </c>
      <c r="M1512" s="21" t="s">
        <v>62</v>
      </c>
      <c r="N1512" s="21" t="s">
        <v>187</v>
      </c>
    </row>
    <row r="1513" spans="1:14" ht="64.05" customHeight="1">
      <c r="A1513" s="20" t="s">
        <v>4132</v>
      </c>
      <c r="B1513" s="20" t="s">
        <v>28</v>
      </c>
      <c r="C1513" s="20" t="s">
        <v>146</v>
      </c>
      <c r="D1513" s="20" t="s">
        <v>147</v>
      </c>
      <c r="E1513" s="20" t="s">
        <v>4155</v>
      </c>
      <c r="F1513" s="20">
        <v>1</v>
      </c>
      <c r="G1513" s="20" t="s">
        <v>92</v>
      </c>
      <c r="H1513" s="20"/>
      <c r="I1513" s="21" t="s">
        <v>4156</v>
      </c>
      <c r="J1513" s="21"/>
      <c r="K1513" s="21" t="s">
        <v>109</v>
      </c>
      <c r="L1513" s="21" t="s">
        <v>4157</v>
      </c>
      <c r="M1513" s="21" t="s">
        <v>102</v>
      </c>
      <c r="N1513" s="21"/>
    </row>
    <row r="1514" spans="1:14" ht="64.05" customHeight="1">
      <c r="A1514" s="20" t="s">
        <v>4132</v>
      </c>
      <c r="B1514" s="20" t="s">
        <v>28</v>
      </c>
      <c r="C1514" s="20" t="s">
        <v>146</v>
      </c>
      <c r="D1514" s="20" t="s">
        <v>147</v>
      </c>
      <c r="E1514" s="20" t="s">
        <v>4158</v>
      </c>
      <c r="F1514" s="20">
        <v>1</v>
      </c>
      <c r="G1514" s="20" t="s">
        <v>92</v>
      </c>
      <c r="H1514" s="20"/>
      <c r="I1514" s="21" t="s">
        <v>4159</v>
      </c>
      <c r="J1514" s="21"/>
      <c r="K1514" s="21" t="s">
        <v>109</v>
      </c>
      <c r="L1514" s="21" t="s">
        <v>4160</v>
      </c>
      <c r="M1514" s="21" t="s">
        <v>62</v>
      </c>
      <c r="N1514" s="21" t="s">
        <v>63</v>
      </c>
    </row>
    <row r="1515" spans="1:14" ht="64.05" customHeight="1">
      <c r="A1515" s="20" t="s">
        <v>4132</v>
      </c>
      <c r="B1515" s="20" t="s">
        <v>27</v>
      </c>
      <c r="C1515" s="20" t="s">
        <v>1069</v>
      </c>
      <c r="D1515" s="20" t="s">
        <v>104</v>
      </c>
      <c r="E1515" s="20" t="s">
        <v>4161</v>
      </c>
      <c r="F1515" s="20">
        <v>1</v>
      </c>
      <c r="G1515" s="20" t="s">
        <v>92</v>
      </c>
      <c r="H1515" s="20"/>
      <c r="I1515" s="21" t="s">
        <v>4162</v>
      </c>
      <c r="J1515" s="21"/>
      <c r="K1515" s="21" t="s">
        <v>109</v>
      </c>
      <c r="L1515" s="21" t="s">
        <v>4163</v>
      </c>
      <c r="M1515" s="21" t="s">
        <v>73</v>
      </c>
      <c r="N1515" s="21"/>
    </row>
    <row r="1516" spans="1:14" ht="64.05" customHeight="1">
      <c r="A1516" s="20" t="s">
        <v>4132</v>
      </c>
      <c r="B1516" s="20" t="s">
        <v>27</v>
      </c>
      <c r="C1516" s="20" t="s">
        <v>1069</v>
      </c>
      <c r="D1516" s="20" t="s">
        <v>104</v>
      </c>
      <c r="E1516" s="20" t="s">
        <v>4164</v>
      </c>
      <c r="F1516" s="20">
        <v>1</v>
      </c>
      <c r="G1516" s="20" t="s">
        <v>92</v>
      </c>
      <c r="H1516" s="20"/>
      <c r="I1516" s="21" t="s">
        <v>4162</v>
      </c>
      <c r="J1516" s="21"/>
      <c r="K1516" s="21" t="s">
        <v>109</v>
      </c>
      <c r="L1516" s="21" t="s">
        <v>4165</v>
      </c>
      <c r="M1516" s="21" t="s">
        <v>73</v>
      </c>
      <c r="N1516" s="21"/>
    </row>
    <row r="1517" spans="1:14" ht="64.05" customHeight="1">
      <c r="A1517" s="20" t="s">
        <v>4132</v>
      </c>
      <c r="B1517" s="20" t="s">
        <v>27</v>
      </c>
      <c r="C1517" s="20" t="s">
        <v>1069</v>
      </c>
      <c r="D1517" s="20" t="s">
        <v>104</v>
      </c>
      <c r="E1517" s="20" t="s">
        <v>4166</v>
      </c>
      <c r="F1517" s="20">
        <v>1</v>
      </c>
      <c r="G1517" s="20" t="s">
        <v>92</v>
      </c>
      <c r="H1517" s="20"/>
      <c r="I1517" s="21" t="s">
        <v>406</v>
      </c>
      <c r="J1517" s="21"/>
      <c r="K1517" s="21" t="s">
        <v>408</v>
      </c>
      <c r="L1517" s="21" t="s">
        <v>4167</v>
      </c>
      <c r="M1517" s="21" t="s">
        <v>62</v>
      </c>
      <c r="N1517" s="21" t="s">
        <v>63</v>
      </c>
    </row>
    <row r="1518" spans="1:14" ht="64.05" customHeight="1">
      <c r="A1518" s="20" t="s">
        <v>4132</v>
      </c>
      <c r="B1518" s="20" t="s">
        <v>30</v>
      </c>
      <c r="C1518" s="20" t="s">
        <v>188</v>
      </c>
      <c r="D1518" s="20" t="s">
        <v>189</v>
      </c>
      <c r="E1518" s="20" t="s">
        <v>4168</v>
      </c>
      <c r="F1518" s="20">
        <v>1</v>
      </c>
      <c r="G1518" s="20" t="s">
        <v>1545</v>
      </c>
      <c r="H1518" s="20" t="s">
        <v>1535</v>
      </c>
      <c r="I1518" s="21" t="s">
        <v>4169</v>
      </c>
      <c r="J1518" s="21"/>
      <c r="K1518" s="21"/>
      <c r="L1518" s="21" t="s">
        <v>4170</v>
      </c>
      <c r="M1518" s="21" t="s">
        <v>73</v>
      </c>
      <c r="N1518" s="21"/>
    </row>
    <row r="1519" spans="1:14" ht="64.05" customHeight="1">
      <c r="A1519" s="20" t="s">
        <v>4132</v>
      </c>
      <c r="B1519" s="20" t="s">
        <v>30</v>
      </c>
      <c r="C1519" s="20" t="s">
        <v>188</v>
      </c>
      <c r="D1519" s="20" t="s">
        <v>189</v>
      </c>
      <c r="E1519" s="20" t="s">
        <v>4171</v>
      </c>
      <c r="F1519" s="20">
        <v>1</v>
      </c>
      <c r="G1519" s="20" t="s">
        <v>481</v>
      </c>
      <c r="H1519" s="20" t="s">
        <v>4172</v>
      </c>
      <c r="I1519" s="21" t="s">
        <v>4173</v>
      </c>
      <c r="J1519" s="21"/>
      <c r="K1519" s="21"/>
      <c r="L1519" s="21" t="s">
        <v>4170</v>
      </c>
      <c r="M1519" s="21" t="s">
        <v>73</v>
      </c>
      <c r="N1519" s="21"/>
    </row>
    <row r="1520" spans="1:14" ht="64.05" customHeight="1">
      <c r="A1520" s="20" t="s">
        <v>4132</v>
      </c>
      <c r="B1520" s="20" t="s">
        <v>30</v>
      </c>
      <c r="C1520" s="20" t="s">
        <v>188</v>
      </c>
      <c r="D1520" s="20" t="s">
        <v>189</v>
      </c>
      <c r="E1520" s="20" t="s">
        <v>4174</v>
      </c>
      <c r="F1520" s="20">
        <v>1</v>
      </c>
      <c r="G1520" s="20" t="s">
        <v>2275</v>
      </c>
      <c r="H1520" s="20" t="s">
        <v>4175</v>
      </c>
      <c r="I1520" s="21" t="s">
        <v>699</v>
      </c>
      <c r="J1520" s="21"/>
      <c r="K1520" s="21"/>
      <c r="L1520" s="21" t="s">
        <v>4176</v>
      </c>
      <c r="M1520" s="21" t="s">
        <v>73</v>
      </c>
      <c r="N1520" s="21"/>
    </row>
    <row r="1521" spans="1:14" ht="64.05" customHeight="1">
      <c r="A1521" s="20" t="s">
        <v>4132</v>
      </c>
      <c r="B1521" s="20" t="s">
        <v>26</v>
      </c>
      <c r="C1521" s="20" t="s">
        <v>196</v>
      </c>
      <c r="D1521" s="20" t="s">
        <v>197</v>
      </c>
      <c r="E1521" s="20" t="s">
        <v>4177</v>
      </c>
      <c r="F1521" s="20">
        <v>1</v>
      </c>
      <c r="G1521" s="20" t="s">
        <v>2297</v>
      </c>
      <c r="H1521" s="20" t="s">
        <v>4178</v>
      </c>
      <c r="I1521" s="21" t="s">
        <v>4179</v>
      </c>
      <c r="J1521" s="21"/>
      <c r="K1521" s="21" t="s">
        <v>849</v>
      </c>
      <c r="L1521" s="21" t="s">
        <v>4180</v>
      </c>
      <c r="M1521" s="21" t="s">
        <v>62</v>
      </c>
      <c r="N1521" s="21" t="s">
        <v>303</v>
      </c>
    </row>
    <row r="1522" spans="1:14" ht="64.05" customHeight="1">
      <c r="A1522" s="20" t="s">
        <v>4132</v>
      </c>
      <c r="B1522" s="20" t="s">
        <v>26</v>
      </c>
      <c r="C1522" s="20" t="s">
        <v>196</v>
      </c>
      <c r="D1522" s="20" t="s">
        <v>197</v>
      </c>
      <c r="E1522" s="20" t="s">
        <v>4181</v>
      </c>
      <c r="F1522" s="20">
        <v>1</v>
      </c>
      <c r="G1522" s="20" t="s">
        <v>2297</v>
      </c>
      <c r="H1522" s="20" t="s">
        <v>4178</v>
      </c>
      <c r="I1522" s="21" t="s">
        <v>4179</v>
      </c>
      <c r="J1522" s="21"/>
      <c r="K1522" s="21" t="s">
        <v>849</v>
      </c>
      <c r="L1522" s="21" t="s">
        <v>4182</v>
      </c>
      <c r="M1522" s="21" t="s">
        <v>62</v>
      </c>
      <c r="N1522" s="21" t="s">
        <v>303</v>
      </c>
    </row>
    <row r="1523" spans="1:14" ht="64.05" customHeight="1">
      <c r="A1523" s="20" t="s">
        <v>4132</v>
      </c>
      <c r="B1523" s="20" t="s">
        <v>26</v>
      </c>
      <c r="C1523" s="20" t="s">
        <v>196</v>
      </c>
      <c r="D1523" s="20" t="s">
        <v>197</v>
      </c>
      <c r="E1523" s="20" t="s">
        <v>4183</v>
      </c>
      <c r="F1523" s="20">
        <v>1</v>
      </c>
      <c r="G1523" s="20" t="s">
        <v>2297</v>
      </c>
      <c r="H1523" s="20" t="s">
        <v>4178</v>
      </c>
      <c r="I1523" s="21" t="s">
        <v>4179</v>
      </c>
      <c r="J1523" s="21"/>
      <c r="K1523" s="21" t="s">
        <v>849</v>
      </c>
      <c r="L1523" s="21" t="s">
        <v>4182</v>
      </c>
      <c r="M1523" s="21" t="s">
        <v>62</v>
      </c>
      <c r="N1523" s="21" t="s">
        <v>303</v>
      </c>
    </row>
    <row r="1524" spans="1:14" ht="64.05" customHeight="1">
      <c r="A1524" s="20" t="s">
        <v>4132</v>
      </c>
      <c r="B1524" s="20" t="s">
        <v>26</v>
      </c>
      <c r="C1524" s="20" t="s">
        <v>196</v>
      </c>
      <c r="D1524" s="20" t="s">
        <v>197</v>
      </c>
      <c r="E1524" s="20" t="s">
        <v>4184</v>
      </c>
      <c r="F1524" s="20">
        <v>1</v>
      </c>
      <c r="G1524" s="20" t="s">
        <v>4185</v>
      </c>
      <c r="H1524" s="20" t="s">
        <v>409</v>
      </c>
      <c r="I1524" s="21" t="s">
        <v>4186</v>
      </c>
      <c r="J1524" s="21"/>
      <c r="K1524" s="21" t="s">
        <v>4137</v>
      </c>
      <c r="L1524" s="21" t="s">
        <v>4187</v>
      </c>
      <c r="M1524" s="21" t="s">
        <v>62</v>
      </c>
      <c r="N1524" s="21" t="s">
        <v>187</v>
      </c>
    </row>
    <row r="1525" spans="1:14" ht="64.05" customHeight="1">
      <c r="A1525" s="20" t="s">
        <v>4132</v>
      </c>
      <c r="B1525" s="20" t="s">
        <v>26</v>
      </c>
      <c r="C1525" s="20" t="s">
        <v>196</v>
      </c>
      <c r="D1525" s="20" t="s">
        <v>197</v>
      </c>
      <c r="E1525" s="20" t="s">
        <v>4188</v>
      </c>
      <c r="F1525" s="20">
        <v>1</v>
      </c>
      <c r="G1525" s="20" t="s">
        <v>4189</v>
      </c>
      <c r="H1525" s="20" t="s">
        <v>3030</v>
      </c>
      <c r="I1525" s="21" t="s">
        <v>4190</v>
      </c>
      <c r="J1525" s="21"/>
      <c r="K1525" s="21" t="s">
        <v>406</v>
      </c>
      <c r="L1525" s="21" t="s">
        <v>4191</v>
      </c>
      <c r="M1525" s="21" t="s">
        <v>62</v>
      </c>
      <c r="N1525" s="21" t="s">
        <v>187</v>
      </c>
    </row>
    <row r="1526" spans="1:14" ht="64.05" customHeight="1">
      <c r="A1526" s="20" t="s">
        <v>4132</v>
      </c>
      <c r="B1526" s="20" t="s">
        <v>26</v>
      </c>
      <c r="C1526" s="20" t="s">
        <v>196</v>
      </c>
      <c r="D1526" s="20" t="s">
        <v>197</v>
      </c>
      <c r="E1526" s="20" t="s">
        <v>4192</v>
      </c>
      <c r="F1526" s="20">
        <v>1</v>
      </c>
      <c r="G1526" s="20" t="s">
        <v>4193</v>
      </c>
      <c r="H1526" s="20" t="s">
        <v>716</v>
      </c>
      <c r="I1526" s="21" t="s">
        <v>4194</v>
      </c>
      <c r="J1526" s="21"/>
      <c r="K1526" s="21" t="s">
        <v>4195</v>
      </c>
      <c r="L1526" s="21" t="s">
        <v>4196</v>
      </c>
      <c r="M1526" s="21" t="s">
        <v>62</v>
      </c>
      <c r="N1526" s="21" t="s">
        <v>187</v>
      </c>
    </row>
    <row r="1527" spans="1:14" ht="64.05" customHeight="1">
      <c r="A1527" s="20" t="s">
        <v>4132</v>
      </c>
      <c r="B1527" s="20" t="s">
        <v>26</v>
      </c>
      <c r="C1527" s="20" t="s">
        <v>196</v>
      </c>
      <c r="D1527" s="20" t="s">
        <v>197</v>
      </c>
      <c r="E1527" s="20" t="s">
        <v>4197</v>
      </c>
      <c r="F1527" s="20">
        <v>1</v>
      </c>
      <c r="G1527" s="20" t="s">
        <v>4185</v>
      </c>
      <c r="H1527" s="20" t="s">
        <v>409</v>
      </c>
      <c r="I1527" s="21" t="s">
        <v>4198</v>
      </c>
      <c r="J1527" s="21"/>
      <c r="K1527" s="21" t="s">
        <v>4195</v>
      </c>
      <c r="L1527" s="21" t="s">
        <v>4199</v>
      </c>
      <c r="M1527" s="21" t="s">
        <v>62</v>
      </c>
      <c r="N1527" s="21" t="s">
        <v>187</v>
      </c>
    </row>
    <row r="1528" spans="1:14" ht="64.05" customHeight="1">
      <c r="A1528" s="20" t="s">
        <v>4132</v>
      </c>
      <c r="B1528" s="20" t="s">
        <v>26</v>
      </c>
      <c r="C1528" s="20" t="s">
        <v>196</v>
      </c>
      <c r="D1528" s="20" t="s">
        <v>197</v>
      </c>
      <c r="E1528" s="20" t="s">
        <v>4200</v>
      </c>
      <c r="F1528" s="20">
        <v>1</v>
      </c>
      <c r="G1528" s="20" t="s">
        <v>4185</v>
      </c>
      <c r="H1528" s="20" t="s">
        <v>409</v>
      </c>
      <c r="I1528" s="21" t="s">
        <v>4201</v>
      </c>
      <c r="J1528" s="21"/>
      <c r="K1528" s="21" t="s">
        <v>4195</v>
      </c>
      <c r="L1528" s="21" t="s">
        <v>4199</v>
      </c>
      <c r="M1528" s="21" t="s">
        <v>62</v>
      </c>
      <c r="N1528" s="21" t="s">
        <v>187</v>
      </c>
    </row>
    <row r="1529" spans="1:14" ht="64.05" customHeight="1">
      <c r="A1529" s="20" t="s">
        <v>4132</v>
      </c>
      <c r="B1529" s="20" t="s">
        <v>26</v>
      </c>
      <c r="C1529" s="20" t="s">
        <v>196</v>
      </c>
      <c r="D1529" s="20" t="s">
        <v>197</v>
      </c>
      <c r="E1529" s="20" t="s">
        <v>4202</v>
      </c>
      <c r="F1529" s="20">
        <v>1</v>
      </c>
      <c r="G1529" s="20" t="s">
        <v>4185</v>
      </c>
      <c r="H1529" s="20" t="s">
        <v>409</v>
      </c>
      <c r="I1529" s="21" t="s">
        <v>4203</v>
      </c>
      <c r="J1529" s="21"/>
      <c r="K1529" s="21" t="s">
        <v>4195</v>
      </c>
      <c r="L1529" s="21" t="s">
        <v>4204</v>
      </c>
      <c r="M1529" s="21" t="s">
        <v>62</v>
      </c>
      <c r="N1529" s="21" t="s">
        <v>187</v>
      </c>
    </row>
    <row r="1530" spans="1:14" ht="64.05" customHeight="1">
      <c r="A1530" s="20" t="s">
        <v>4132</v>
      </c>
      <c r="B1530" s="20" t="s">
        <v>26</v>
      </c>
      <c r="C1530" s="20" t="s">
        <v>196</v>
      </c>
      <c r="D1530" s="20" t="s">
        <v>197</v>
      </c>
      <c r="E1530" s="20" t="s">
        <v>4205</v>
      </c>
      <c r="F1530" s="20">
        <v>1</v>
      </c>
      <c r="G1530" s="20" t="s">
        <v>4185</v>
      </c>
      <c r="H1530" s="20" t="s">
        <v>409</v>
      </c>
      <c r="I1530" s="21" t="s">
        <v>4198</v>
      </c>
      <c r="J1530" s="21"/>
      <c r="K1530" s="21" t="s">
        <v>4195</v>
      </c>
      <c r="L1530" s="21" t="s">
        <v>4204</v>
      </c>
      <c r="M1530" s="21" t="s">
        <v>62</v>
      </c>
      <c r="N1530" s="21" t="s">
        <v>187</v>
      </c>
    </row>
    <row r="1531" spans="1:14" ht="64.05" customHeight="1">
      <c r="A1531" s="20" t="s">
        <v>4132</v>
      </c>
      <c r="B1531" s="20" t="s">
        <v>26</v>
      </c>
      <c r="C1531" s="20" t="s">
        <v>196</v>
      </c>
      <c r="D1531" s="20" t="s">
        <v>197</v>
      </c>
      <c r="E1531" s="20" t="s">
        <v>4206</v>
      </c>
      <c r="F1531" s="20">
        <v>1</v>
      </c>
      <c r="G1531" s="20" t="s">
        <v>4185</v>
      </c>
      <c r="H1531" s="20" t="s">
        <v>409</v>
      </c>
      <c r="I1531" s="21" t="s">
        <v>4207</v>
      </c>
      <c r="J1531" s="21"/>
      <c r="K1531" s="21" t="s">
        <v>4195</v>
      </c>
      <c r="L1531" s="21" t="s">
        <v>4208</v>
      </c>
      <c r="M1531" s="21" t="s">
        <v>62</v>
      </c>
      <c r="N1531" s="21" t="s">
        <v>187</v>
      </c>
    </row>
    <row r="1532" spans="1:14" ht="64.05" customHeight="1">
      <c r="A1532" s="20" t="s">
        <v>4132</v>
      </c>
      <c r="B1532" s="20" t="s">
        <v>33</v>
      </c>
      <c r="C1532" s="20" t="s">
        <v>2314</v>
      </c>
      <c r="D1532" s="20" t="s">
        <v>2315</v>
      </c>
      <c r="E1532" s="20" t="s">
        <v>4209</v>
      </c>
      <c r="F1532" s="20">
        <v>1</v>
      </c>
      <c r="G1532" s="20" t="s">
        <v>4012</v>
      </c>
      <c r="H1532" s="20" t="s">
        <v>1812</v>
      </c>
      <c r="I1532" s="21" t="s">
        <v>408</v>
      </c>
      <c r="J1532" s="21"/>
      <c r="K1532" s="21" t="s">
        <v>406</v>
      </c>
      <c r="L1532" s="21" t="s">
        <v>4210</v>
      </c>
      <c r="M1532" s="21" t="s">
        <v>102</v>
      </c>
      <c r="N1532" s="21"/>
    </row>
    <row r="1533" spans="1:14" ht="64.05" customHeight="1">
      <c r="A1533" s="20" t="s">
        <v>4132</v>
      </c>
      <c r="B1533" s="20" t="s">
        <v>31</v>
      </c>
      <c r="C1533" s="20" t="s">
        <v>491</v>
      </c>
      <c r="D1533" s="20" t="s">
        <v>492</v>
      </c>
      <c r="E1533" s="20" t="s">
        <v>4211</v>
      </c>
      <c r="F1533" s="20">
        <v>1</v>
      </c>
      <c r="G1533" s="20" t="s">
        <v>2192</v>
      </c>
      <c r="H1533" s="20" t="s">
        <v>2833</v>
      </c>
      <c r="I1533" s="21" t="s">
        <v>406</v>
      </c>
      <c r="J1533" s="21"/>
      <c r="K1533" s="21" t="s">
        <v>406</v>
      </c>
      <c r="L1533" s="21" t="s">
        <v>4212</v>
      </c>
      <c r="M1533" s="21" t="s">
        <v>73</v>
      </c>
      <c r="N1533" s="21"/>
    </row>
    <row r="1534" spans="1:14" ht="64.05" customHeight="1">
      <c r="A1534" s="20" t="s">
        <v>4132</v>
      </c>
      <c r="B1534" s="20" t="s">
        <v>31</v>
      </c>
      <c r="C1534" s="20" t="s">
        <v>491</v>
      </c>
      <c r="D1534" s="20" t="s">
        <v>492</v>
      </c>
      <c r="E1534" s="20" t="s">
        <v>4213</v>
      </c>
      <c r="F1534" s="20">
        <v>1</v>
      </c>
      <c r="G1534" s="20" t="s">
        <v>2192</v>
      </c>
      <c r="H1534" s="20" t="s">
        <v>2833</v>
      </c>
      <c r="I1534" s="21" t="s">
        <v>406</v>
      </c>
      <c r="J1534" s="21"/>
      <c r="K1534" s="21" t="s">
        <v>406</v>
      </c>
      <c r="L1534" s="21" t="s">
        <v>4212</v>
      </c>
      <c r="M1534" s="21" t="s">
        <v>73</v>
      </c>
      <c r="N1534" s="21"/>
    </row>
    <row r="1535" spans="1:14" ht="64.05" customHeight="1">
      <c r="A1535" s="20" t="s">
        <v>4132</v>
      </c>
      <c r="B1535" s="20" t="s">
        <v>31</v>
      </c>
      <c r="C1535" s="20" t="s">
        <v>491</v>
      </c>
      <c r="D1535" s="20" t="s">
        <v>492</v>
      </c>
      <c r="E1535" s="20" t="s">
        <v>4214</v>
      </c>
      <c r="F1535" s="20">
        <v>1</v>
      </c>
      <c r="G1535" s="20" t="s">
        <v>2192</v>
      </c>
      <c r="H1535" s="20" t="s">
        <v>2833</v>
      </c>
      <c r="I1535" s="21" t="s">
        <v>406</v>
      </c>
      <c r="J1535" s="21"/>
      <c r="K1535" s="21" t="s">
        <v>406</v>
      </c>
      <c r="L1535" s="21" t="s">
        <v>4212</v>
      </c>
      <c r="M1535" s="21" t="s">
        <v>73</v>
      </c>
      <c r="N1535" s="21"/>
    </row>
    <row r="1536" spans="1:14" ht="64.05" customHeight="1">
      <c r="A1536" s="20" t="s">
        <v>4132</v>
      </c>
      <c r="B1536" s="20" t="s">
        <v>31</v>
      </c>
      <c r="C1536" s="20" t="s">
        <v>491</v>
      </c>
      <c r="D1536" s="20" t="s">
        <v>492</v>
      </c>
      <c r="E1536" s="20" t="s">
        <v>4215</v>
      </c>
      <c r="F1536" s="20">
        <v>1</v>
      </c>
      <c r="G1536" s="20" t="s">
        <v>92</v>
      </c>
      <c r="H1536" s="20"/>
      <c r="I1536" s="21" t="s">
        <v>406</v>
      </c>
      <c r="J1536" s="21"/>
      <c r="K1536" s="21" t="s">
        <v>406</v>
      </c>
      <c r="L1536" s="21" t="s">
        <v>4216</v>
      </c>
      <c r="M1536" s="21" t="s">
        <v>102</v>
      </c>
      <c r="N1536" s="21"/>
    </row>
    <row r="1537" spans="1:14" ht="64.05" customHeight="1">
      <c r="A1537" s="20" t="s">
        <v>4217</v>
      </c>
      <c r="B1537" s="20" t="s">
        <v>20</v>
      </c>
      <c r="C1537" s="20" t="s">
        <v>55</v>
      </c>
      <c r="D1537" s="20" t="s">
        <v>56</v>
      </c>
      <c r="E1537" s="20" t="s">
        <v>4218</v>
      </c>
      <c r="F1537" s="20">
        <v>1</v>
      </c>
      <c r="G1537" s="20"/>
      <c r="H1537" s="20"/>
      <c r="I1537" s="21"/>
      <c r="J1537" s="21"/>
      <c r="K1537" s="21"/>
      <c r="L1537" s="21" t="s">
        <v>4219</v>
      </c>
      <c r="M1537" s="21" t="s">
        <v>73</v>
      </c>
      <c r="N1537" s="21"/>
    </row>
    <row r="1538" spans="1:14" ht="64.05" customHeight="1">
      <c r="A1538" s="20" t="s">
        <v>4217</v>
      </c>
      <c r="B1538" s="20" t="s">
        <v>20</v>
      </c>
      <c r="C1538" s="20" t="s">
        <v>65</v>
      </c>
      <c r="D1538" s="20" t="s">
        <v>66</v>
      </c>
      <c r="E1538" s="20" t="s">
        <v>4220</v>
      </c>
      <c r="F1538" s="20">
        <v>1</v>
      </c>
      <c r="G1538" s="20"/>
      <c r="H1538" s="20"/>
      <c r="I1538" s="21" t="s">
        <v>4221</v>
      </c>
      <c r="J1538" s="21" t="s">
        <v>245</v>
      </c>
      <c r="K1538" s="21"/>
      <c r="L1538" s="21" t="s">
        <v>4222</v>
      </c>
      <c r="M1538" s="21" t="s">
        <v>73</v>
      </c>
      <c r="N1538" s="21"/>
    </row>
    <row r="1539" spans="1:14" ht="64.05" customHeight="1">
      <c r="A1539" s="20" t="s">
        <v>4217</v>
      </c>
      <c r="B1539" s="20" t="s">
        <v>20</v>
      </c>
      <c r="C1539" s="20" t="s">
        <v>65</v>
      </c>
      <c r="D1539" s="20" t="s">
        <v>66</v>
      </c>
      <c r="E1539" s="20" t="s">
        <v>4223</v>
      </c>
      <c r="F1539" s="20">
        <v>1</v>
      </c>
      <c r="G1539" s="20"/>
      <c r="H1539" s="20"/>
      <c r="I1539" s="21" t="s">
        <v>4221</v>
      </c>
      <c r="J1539" s="21" t="s">
        <v>245</v>
      </c>
      <c r="K1539" s="21"/>
      <c r="L1539" s="21" t="s">
        <v>4222</v>
      </c>
      <c r="M1539" s="21" t="s">
        <v>73</v>
      </c>
      <c r="N1539" s="21"/>
    </row>
    <row r="1540" spans="1:14" ht="64.05" customHeight="1">
      <c r="A1540" s="20" t="s">
        <v>4217</v>
      </c>
      <c r="B1540" s="20" t="s">
        <v>20</v>
      </c>
      <c r="C1540" s="20" t="s">
        <v>65</v>
      </c>
      <c r="D1540" s="20" t="s">
        <v>66</v>
      </c>
      <c r="E1540" s="20" t="s">
        <v>4224</v>
      </c>
      <c r="F1540" s="20">
        <v>1</v>
      </c>
      <c r="G1540" s="20"/>
      <c r="H1540" s="20"/>
      <c r="I1540" s="21" t="s">
        <v>4221</v>
      </c>
      <c r="J1540" s="21" t="s">
        <v>245</v>
      </c>
      <c r="K1540" s="21"/>
      <c r="L1540" s="21" t="s">
        <v>4222</v>
      </c>
      <c r="M1540" s="21" t="s">
        <v>73</v>
      </c>
      <c r="N1540" s="21"/>
    </row>
    <row r="1541" spans="1:14" ht="64.05" customHeight="1">
      <c r="A1541" s="20" t="s">
        <v>4217</v>
      </c>
      <c r="B1541" s="20" t="s">
        <v>20</v>
      </c>
      <c r="C1541" s="20" t="s">
        <v>65</v>
      </c>
      <c r="D1541" s="20" t="s">
        <v>66</v>
      </c>
      <c r="E1541" s="20" t="s">
        <v>4225</v>
      </c>
      <c r="F1541" s="20">
        <v>1</v>
      </c>
      <c r="G1541" s="20"/>
      <c r="H1541" s="20"/>
      <c r="I1541" s="21" t="s">
        <v>4221</v>
      </c>
      <c r="J1541" s="21" t="s">
        <v>245</v>
      </c>
      <c r="K1541" s="21"/>
      <c r="L1541" s="21" t="s">
        <v>4222</v>
      </c>
      <c r="M1541" s="21" t="s">
        <v>73</v>
      </c>
      <c r="N1541" s="21"/>
    </row>
    <row r="1542" spans="1:14" ht="64.05" customHeight="1">
      <c r="A1542" s="20" t="s">
        <v>4217</v>
      </c>
      <c r="B1542" s="20" t="s">
        <v>20</v>
      </c>
      <c r="C1542" s="20" t="s">
        <v>65</v>
      </c>
      <c r="D1542" s="20" t="s">
        <v>66</v>
      </c>
      <c r="E1542" s="20" t="s">
        <v>4226</v>
      </c>
      <c r="F1542" s="20">
        <v>1</v>
      </c>
      <c r="G1542" s="20"/>
      <c r="H1542" s="20"/>
      <c r="I1542" s="21" t="s">
        <v>4221</v>
      </c>
      <c r="J1542" s="21" t="s">
        <v>245</v>
      </c>
      <c r="K1542" s="21"/>
      <c r="L1542" s="21" t="s">
        <v>4222</v>
      </c>
      <c r="M1542" s="21" t="s">
        <v>73</v>
      </c>
      <c r="N1542" s="21"/>
    </row>
    <row r="1543" spans="1:14" ht="64.05" customHeight="1">
      <c r="A1543" s="20" t="s">
        <v>4217</v>
      </c>
      <c r="B1543" s="20" t="s">
        <v>20</v>
      </c>
      <c r="C1543" s="20" t="s">
        <v>65</v>
      </c>
      <c r="D1543" s="20" t="s">
        <v>66</v>
      </c>
      <c r="E1543" s="20" t="s">
        <v>4227</v>
      </c>
      <c r="F1543" s="20">
        <v>1</v>
      </c>
      <c r="G1543" s="20"/>
      <c r="H1543" s="20"/>
      <c r="I1543" s="21" t="s">
        <v>4221</v>
      </c>
      <c r="J1543" s="21" t="s">
        <v>245</v>
      </c>
      <c r="K1543" s="21"/>
      <c r="L1543" s="21" t="s">
        <v>4222</v>
      </c>
      <c r="M1543" s="21" t="s">
        <v>73</v>
      </c>
      <c r="N1543" s="21"/>
    </row>
    <row r="1544" spans="1:14" ht="64.05" customHeight="1">
      <c r="A1544" s="20" t="s">
        <v>4217</v>
      </c>
      <c r="B1544" s="20" t="s">
        <v>20</v>
      </c>
      <c r="C1544" s="20" t="s">
        <v>65</v>
      </c>
      <c r="D1544" s="20" t="s">
        <v>66</v>
      </c>
      <c r="E1544" s="20" t="s">
        <v>4228</v>
      </c>
      <c r="F1544" s="20">
        <v>1</v>
      </c>
      <c r="G1544" s="20"/>
      <c r="H1544" s="20"/>
      <c r="I1544" s="21" t="s">
        <v>4221</v>
      </c>
      <c r="J1544" s="21" t="s">
        <v>245</v>
      </c>
      <c r="K1544" s="21"/>
      <c r="L1544" s="21" t="s">
        <v>4222</v>
      </c>
      <c r="M1544" s="21" t="s">
        <v>73</v>
      </c>
      <c r="N1544" s="21"/>
    </row>
    <row r="1545" spans="1:14" ht="64.05" customHeight="1">
      <c r="A1545" s="20" t="s">
        <v>4217</v>
      </c>
      <c r="B1545" s="20" t="s">
        <v>22</v>
      </c>
      <c r="C1545" s="20" t="s">
        <v>370</v>
      </c>
      <c r="D1545" s="20" t="s">
        <v>371</v>
      </c>
      <c r="E1545" s="20" t="s">
        <v>4229</v>
      </c>
      <c r="F1545" s="20">
        <v>1</v>
      </c>
      <c r="G1545" s="20" t="s">
        <v>92</v>
      </c>
      <c r="H1545" s="20"/>
      <c r="I1545" s="21" t="s">
        <v>4230</v>
      </c>
      <c r="J1545" s="21"/>
      <c r="K1545" s="21"/>
      <c r="L1545" s="21" t="s">
        <v>4231</v>
      </c>
      <c r="M1545" s="21" t="s">
        <v>102</v>
      </c>
      <c r="N1545" s="21"/>
    </row>
    <row r="1546" spans="1:14" ht="64.05" customHeight="1">
      <c r="A1546" s="20" t="s">
        <v>4217</v>
      </c>
      <c r="B1546" s="20" t="s">
        <v>22</v>
      </c>
      <c r="C1546" s="20" t="s">
        <v>370</v>
      </c>
      <c r="D1546" s="20" t="s">
        <v>371</v>
      </c>
      <c r="E1546" s="20" t="s">
        <v>4232</v>
      </c>
      <c r="F1546" s="20">
        <v>1</v>
      </c>
      <c r="G1546" s="20" t="s">
        <v>92</v>
      </c>
      <c r="H1546" s="20"/>
      <c r="I1546" s="21" t="s">
        <v>4230</v>
      </c>
      <c r="J1546" s="21"/>
      <c r="K1546" s="21"/>
      <c r="L1546" s="21" t="s">
        <v>4233</v>
      </c>
      <c r="M1546" s="21" t="s">
        <v>102</v>
      </c>
      <c r="N1546" s="21"/>
    </row>
    <row r="1547" spans="1:14" ht="64.05" customHeight="1">
      <c r="A1547" s="20" t="s">
        <v>4217</v>
      </c>
      <c r="B1547" s="20" t="s">
        <v>22</v>
      </c>
      <c r="C1547" s="20" t="s">
        <v>370</v>
      </c>
      <c r="D1547" s="20" t="s">
        <v>371</v>
      </c>
      <c r="E1547" s="20" t="s">
        <v>4234</v>
      </c>
      <c r="F1547" s="20">
        <v>1</v>
      </c>
      <c r="G1547" s="20" t="s">
        <v>92</v>
      </c>
      <c r="H1547" s="20"/>
      <c r="I1547" s="21" t="s">
        <v>733</v>
      </c>
      <c r="J1547" s="21"/>
      <c r="K1547" s="21"/>
      <c r="L1547" s="21" t="s">
        <v>4235</v>
      </c>
      <c r="M1547" s="21" t="s">
        <v>102</v>
      </c>
      <c r="N1547" s="21"/>
    </row>
    <row r="1548" spans="1:14" ht="64.05" customHeight="1">
      <c r="A1548" s="20" t="s">
        <v>4217</v>
      </c>
      <c r="B1548" s="20" t="s">
        <v>23</v>
      </c>
      <c r="C1548" s="20" t="s">
        <v>103</v>
      </c>
      <c r="D1548" s="20" t="s">
        <v>104</v>
      </c>
      <c r="E1548" s="20" t="s">
        <v>4236</v>
      </c>
      <c r="F1548" s="20">
        <v>1</v>
      </c>
      <c r="G1548" s="20" t="s">
        <v>4237</v>
      </c>
      <c r="H1548" s="20" t="s">
        <v>4238</v>
      </c>
      <c r="I1548" s="21" t="s">
        <v>406</v>
      </c>
      <c r="J1548" s="21"/>
      <c r="K1548" s="21" t="s">
        <v>406</v>
      </c>
      <c r="L1548" s="21" t="s">
        <v>4239</v>
      </c>
      <c r="M1548" s="21" t="s">
        <v>62</v>
      </c>
      <c r="N1548" s="21" t="s">
        <v>712</v>
      </c>
    </row>
    <row r="1549" spans="1:14" ht="64.05" customHeight="1">
      <c r="A1549" s="20" t="s">
        <v>4217</v>
      </c>
      <c r="B1549" s="20" t="s">
        <v>23</v>
      </c>
      <c r="C1549" s="20" t="s">
        <v>103</v>
      </c>
      <c r="D1549" s="20" t="s">
        <v>104</v>
      </c>
      <c r="E1549" s="20" t="s">
        <v>4240</v>
      </c>
      <c r="F1549" s="20">
        <v>1</v>
      </c>
      <c r="G1549" s="20" t="s">
        <v>1592</v>
      </c>
      <c r="H1549" s="20" t="s">
        <v>4241</v>
      </c>
      <c r="I1549" s="21" t="s">
        <v>406</v>
      </c>
      <c r="J1549" s="21"/>
      <c r="K1549" s="21" t="s">
        <v>406</v>
      </c>
      <c r="L1549" s="21" t="s">
        <v>4242</v>
      </c>
      <c r="M1549" s="21" t="s">
        <v>73</v>
      </c>
      <c r="N1549" s="21"/>
    </row>
    <row r="1550" spans="1:14" ht="64.05" customHeight="1">
      <c r="A1550" s="20" t="s">
        <v>4217</v>
      </c>
      <c r="B1550" s="20" t="s">
        <v>23</v>
      </c>
      <c r="C1550" s="20" t="s">
        <v>103</v>
      </c>
      <c r="D1550" s="20" t="s">
        <v>104</v>
      </c>
      <c r="E1550" s="20" t="s">
        <v>4243</v>
      </c>
      <c r="F1550" s="20">
        <v>1</v>
      </c>
      <c r="G1550" s="20" t="s">
        <v>1592</v>
      </c>
      <c r="H1550" s="20" t="s">
        <v>4241</v>
      </c>
      <c r="I1550" s="21" t="s">
        <v>406</v>
      </c>
      <c r="J1550" s="21"/>
      <c r="K1550" s="21" t="s">
        <v>406</v>
      </c>
      <c r="L1550" s="21" t="s">
        <v>4242</v>
      </c>
      <c r="M1550" s="21" t="s">
        <v>73</v>
      </c>
      <c r="N1550" s="21"/>
    </row>
    <row r="1551" spans="1:14" ht="64.05" customHeight="1">
      <c r="A1551" s="20" t="s">
        <v>4217</v>
      </c>
      <c r="B1551" s="20" t="s">
        <v>25</v>
      </c>
      <c r="C1551" s="20" t="s">
        <v>115</v>
      </c>
      <c r="D1551" s="20" t="s">
        <v>116</v>
      </c>
      <c r="E1551" s="20" t="s">
        <v>4244</v>
      </c>
      <c r="F1551" s="20">
        <v>1</v>
      </c>
      <c r="G1551" s="20" t="s">
        <v>411</v>
      </c>
      <c r="H1551" s="20" t="s">
        <v>409</v>
      </c>
      <c r="I1551" s="21" t="s">
        <v>415</v>
      </c>
      <c r="J1551" s="21"/>
      <c r="K1551" s="21" t="s">
        <v>109</v>
      </c>
      <c r="L1551" s="21" t="s">
        <v>4245</v>
      </c>
      <c r="M1551" s="21" t="s">
        <v>73</v>
      </c>
      <c r="N1551" s="21"/>
    </row>
    <row r="1552" spans="1:14" ht="64.05" customHeight="1">
      <c r="A1552" s="20" t="s">
        <v>4217</v>
      </c>
      <c r="B1552" s="20" t="s">
        <v>24</v>
      </c>
      <c r="C1552" s="20" t="s">
        <v>426</v>
      </c>
      <c r="D1552" s="20" t="s">
        <v>427</v>
      </c>
      <c r="E1552" s="20" t="s">
        <v>4246</v>
      </c>
      <c r="F1552" s="20">
        <v>1</v>
      </c>
      <c r="G1552" s="20" t="s">
        <v>92</v>
      </c>
      <c r="H1552" s="20"/>
      <c r="I1552" s="21" t="s">
        <v>2240</v>
      </c>
      <c r="J1552" s="21"/>
      <c r="K1552" s="21" t="s">
        <v>109</v>
      </c>
      <c r="L1552" s="21" t="s">
        <v>4247</v>
      </c>
      <c r="M1552" s="21" t="s">
        <v>62</v>
      </c>
      <c r="N1552" s="21" t="s">
        <v>63</v>
      </c>
    </row>
    <row r="1553" spans="1:14" ht="64.05" customHeight="1">
      <c r="A1553" s="20" t="s">
        <v>4217</v>
      </c>
      <c r="B1553" s="20" t="s">
        <v>24</v>
      </c>
      <c r="C1553" s="20" t="s">
        <v>426</v>
      </c>
      <c r="D1553" s="20" t="s">
        <v>427</v>
      </c>
      <c r="E1553" s="20" t="s">
        <v>4248</v>
      </c>
      <c r="F1553" s="20">
        <v>1</v>
      </c>
      <c r="G1553" s="20" t="s">
        <v>92</v>
      </c>
      <c r="H1553" s="20"/>
      <c r="I1553" s="21" t="s">
        <v>2240</v>
      </c>
      <c r="J1553" s="21"/>
      <c r="K1553" s="21" t="s">
        <v>109</v>
      </c>
      <c r="L1553" s="21" t="s">
        <v>4249</v>
      </c>
      <c r="M1553" s="21" t="s">
        <v>62</v>
      </c>
      <c r="N1553" s="21" t="s">
        <v>63</v>
      </c>
    </row>
    <row r="1554" spans="1:14" ht="64.05" customHeight="1">
      <c r="A1554" s="20" t="s">
        <v>4217</v>
      </c>
      <c r="B1554" s="20" t="s">
        <v>24</v>
      </c>
      <c r="C1554" s="20" t="s">
        <v>436</v>
      </c>
      <c r="D1554" s="20" t="s">
        <v>437</v>
      </c>
      <c r="E1554" s="20" t="s">
        <v>4250</v>
      </c>
      <c r="F1554" s="20">
        <v>1</v>
      </c>
      <c r="G1554" s="20" t="s">
        <v>92</v>
      </c>
      <c r="H1554" s="20"/>
      <c r="I1554" s="21" t="s">
        <v>4251</v>
      </c>
      <c r="J1554" s="21"/>
      <c r="K1554" s="21" t="s">
        <v>1371</v>
      </c>
      <c r="L1554" s="21" t="s">
        <v>4252</v>
      </c>
      <c r="M1554" s="21" t="s">
        <v>62</v>
      </c>
      <c r="N1554" s="21" t="s">
        <v>624</v>
      </c>
    </row>
    <row r="1555" spans="1:14" ht="64.05" customHeight="1">
      <c r="A1555" s="20" t="s">
        <v>4217</v>
      </c>
      <c r="B1555" s="20" t="s">
        <v>24</v>
      </c>
      <c r="C1555" s="20" t="s">
        <v>436</v>
      </c>
      <c r="D1555" s="20" t="s">
        <v>437</v>
      </c>
      <c r="E1555" s="20" t="s">
        <v>4253</v>
      </c>
      <c r="F1555" s="20">
        <v>1</v>
      </c>
      <c r="G1555" s="20" t="s">
        <v>92</v>
      </c>
      <c r="H1555" s="20"/>
      <c r="I1555" s="21" t="s">
        <v>4254</v>
      </c>
      <c r="J1555" s="21"/>
      <c r="K1555" s="21" t="s">
        <v>1371</v>
      </c>
      <c r="L1555" s="21" t="s">
        <v>4255</v>
      </c>
      <c r="M1555" s="21" t="s">
        <v>62</v>
      </c>
      <c r="N1555" s="21" t="s">
        <v>63</v>
      </c>
    </row>
    <row r="1556" spans="1:14" ht="64.05" customHeight="1">
      <c r="A1556" s="20" t="s">
        <v>4217</v>
      </c>
      <c r="B1556" s="20" t="s">
        <v>24</v>
      </c>
      <c r="C1556" s="20" t="s">
        <v>436</v>
      </c>
      <c r="D1556" s="20" t="s">
        <v>437</v>
      </c>
      <c r="E1556" s="20" t="s">
        <v>4256</v>
      </c>
      <c r="F1556" s="20">
        <v>1</v>
      </c>
      <c r="G1556" s="20" t="s">
        <v>92</v>
      </c>
      <c r="H1556" s="20"/>
      <c r="I1556" s="21" t="s">
        <v>141</v>
      </c>
      <c r="J1556" s="21"/>
      <c r="K1556" s="21" t="s">
        <v>406</v>
      </c>
      <c r="L1556" s="21" t="s">
        <v>4257</v>
      </c>
      <c r="M1556" s="21" t="s">
        <v>102</v>
      </c>
      <c r="N1556" s="21"/>
    </row>
    <row r="1557" spans="1:14" ht="64.05" customHeight="1">
      <c r="A1557" s="20" t="s">
        <v>4217</v>
      </c>
      <c r="B1557" s="20" t="s">
        <v>24</v>
      </c>
      <c r="C1557" s="20" t="s">
        <v>443</v>
      </c>
      <c r="D1557" s="20" t="s">
        <v>444</v>
      </c>
      <c r="E1557" s="20" t="s">
        <v>4258</v>
      </c>
      <c r="F1557" s="20">
        <v>1</v>
      </c>
      <c r="G1557" s="20"/>
      <c r="H1557" s="20"/>
      <c r="I1557" s="21"/>
      <c r="J1557" s="21"/>
      <c r="K1557" s="21"/>
      <c r="L1557" s="21" t="s">
        <v>4259</v>
      </c>
      <c r="M1557" s="21" t="s">
        <v>102</v>
      </c>
      <c r="N1557" s="21"/>
    </row>
    <row r="1558" spans="1:14" ht="64.05" customHeight="1">
      <c r="A1558" s="20" t="s">
        <v>4217</v>
      </c>
      <c r="B1558" s="20" t="s">
        <v>28</v>
      </c>
      <c r="C1558" s="20" t="s">
        <v>146</v>
      </c>
      <c r="D1558" s="20" t="s">
        <v>147</v>
      </c>
      <c r="E1558" s="20" t="s">
        <v>4260</v>
      </c>
      <c r="F1558" s="20">
        <v>1</v>
      </c>
      <c r="G1558" s="20" t="s">
        <v>4261</v>
      </c>
      <c r="H1558" s="20" t="s">
        <v>753</v>
      </c>
      <c r="I1558" s="21" t="s">
        <v>141</v>
      </c>
      <c r="J1558" s="21"/>
      <c r="K1558" s="21" t="s">
        <v>78</v>
      </c>
      <c r="L1558" s="21" t="s">
        <v>4262</v>
      </c>
      <c r="M1558" s="21" t="s">
        <v>73</v>
      </c>
      <c r="N1558" s="21"/>
    </row>
    <row r="1559" spans="1:14" ht="64.05" customHeight="1">
      <c r="A1559" s="20" t="s">
        <v>4217</v>
      </c>
      <c r="B1559" s="20" t="s">
        <v>28</v>
      </c>
      <c r="C1559" s="20" t="s">
        <v>146</v>
      </c>
      <c r="D1559" s="20" t="s">
        <v>147</v>
      </c>
      <c r="E1559" s="20" t="s">
        <v>4263</v>
      </c>
      <c r="F1559" s="20">
        <v>1</v>
      </c>
      <c r="G1559" s="20" t="s">
        <v>4264</v>
      </c>
      <c r="H1559" s="20" t="s">
        <v>4265</v>
      </c>
      <c r="I1559" s="21" t="s">
        <v>4266</v>
      </c>
      <c r="J1559" s="21"/>
      <c r="K1559" s="21" t="s">
        <v>4137</v>
      </c>
      <c r="L1559" s="21" t="s">
        <v>4267</v>
      </c>
      <c r="M1559" s="21" t="s">
        <v>73</v>
      </c>
      <c r="N1559" s="21"/>
    </row>
    <row r="1560" spans="1:14" ht="64.05" customHeight="1">
      <c r="A1560" s="20" t="s">
        <v>4217</v>
      </c>
      <c r="B1560" s="20" t="s">
        <v>28</v>
      </c>
      <c r="C1560" s="20" t="s">
        <v>146</v>
      </c>
      <c r="D1560" s="20" t="s">
        <v>147</v>
      </c>
      <c r="E1560" s="20" t="s">
        <v>4268</v>
      </c>
      <c r="F1560" s="20">
        <v>1</v>
      </c>
      <c r="G1560" s="20" t="s">
        <v>527</v>
      </c>
      <c r="H1560" s="20" t="s">
        <v>1217</v>
      </c>
      <c r="I1560" s="21" t="s">
        <v>4269</v>
      </c>
      <c r="J1560" s="21"/>
      <c r="K1560" s="21" t="s">
        <v>960</v>
      </c>
      <c r="L1560" s="21" t="s">
        <v>4270</v>
      </c>
      <c r="M1560" s="21" t="s">
        <v>62</v>
      </c>
      <c r="N1560" s="21" t="s">
        <v>811</v>
      </c>
    </row>
    <row r="1561" spans="1:14" ht="64.05" customHeight="1">
      <c r="A1561" s="20" t="s">
        <v>4217</v>
      </c>
      <c r="B1561" s="20" t="s">
        <v>28</v>
      </c>
      <c r="C1561" s="20" t="s">
        <v>146</v>
      </c>
      <c r="D1561" s="20" t="s">
        <v>147</v>
      </c>
      <c r="E1561" s="20" t="s">
        <v>4271</v>
      </c>
      <c r="F1561" s="20">
        <v>1</v>
      </c>
      <c r="G1561" s="20" t="s">
        <v>527</v>
      </c>
      <c r="H1561" s="20" t="s">
        <v>1217</v>
      </c>
      <c r="I1561" s="21" t="s">
        <v>4269</v>
      </c>
      <c r="J1561" s="21"/>
      <c r="K1561" s="21" t="s">
        <v>960</v>
      </c>
      <c r="L1561" s="21" t="s">
        <v>4270</v>
      </c>
      <c r="M1561" s="21" t="s">
        <v>62</v>
      </c>
      <c r="N1561" s="21" t="s">
        <v>811</v>
      </c>
    </row>
    <row r="1562" spans="1:14" ht="64.05" customHeight="1">
      <c r="A1562" s="20" t="s">
        <v>4217</v>
      </c>
      <c r="B1562" s="20" t="s">
        <v>28</v>
      </c>
      <c r="C1562" s="20" t="s">
        <v>146</v>
      </c>
      <c r="D1562" s="20" t="s">
        <v>147</v>
      </c>
      <c r="E1562" s="20" t="s">
        <v>4272</v>
      </c>
      <c r="F1562" s="20">
        <v>1</v>
      </c>
      <c r="G1562" s="20" t="s">
        <v>4273</v>
      </c>
      <c r="H1562" s="20" t="s">
        <v>4274</v>
      </c>
      <c r="I1562" s="21" t="s">
        <v>4269</v>
      </c>
      <c r="J1562" s="21"/>
      <c r="K1562" s="21" t="s">
        <v>960</v>
      </c>
      <c r="L1562" s="21" t="s">
        <v>4275</v>
      </c>
      <c r="M1562" s="21" t="s">
        <v>62</v>
      </c>
      <c r="N1562" s="21" t="s">
        <v>811</v>
      </c>
    </row>
    <row r="1563" spans="1:14" ht="64.05" customHeight="1">
      <c r="A1563" s="20" t="s">
        <v>4217</v>
      </c>
      <c r="B1563" s="20" t="s">
        <v>28</v>
      </c>
      <c r="C1563" s="20" t="s">
        <v>146</v>
      </c>
      <c r="D1563" s="20" t="s">
        <v>147</v>
      </c>
      <c r="E1563" s="20" t="s">
        <v>4276</v>
      </c>
      <c r="F1563" s="20">
        <v>1</v>
      </c>
      <c r="G1563" s="20" t="s">
        <v>4273</v>
      </c>
      <c r="H1563" s="20" t="s">
        <v>4274</v>
      </c>
      <c r="I1563" s="21" t="s">
        <v>4269</v>
      </c>
      <c r="J1563" s="21"/>
      <c r="K1563" s="21" t="s">
        <v>960</v>
      </c>
      <c r="L1563" s="21" t="s">
        <v>4275</v>
      </c>
      <c r="M1563" s="21" t="s">
        <v>62</v>
      </c>
      <c r="N1563" s="21" t="s">
        <v>811</v>
      </c>
    </row>
    <row r="1564" spans="1:14" ht="64.05" customHeight="1">
      <c r="A1564" s="20" t="s">
        <v>4217</v>
      </c>
      <c r="B1564" s="20" t="s">
        <v>28</v>
      </c>
      <c r="C1564" s="20" t="s">
        <v>167</v>
      </c>
      <c r="D1564" s="20" t="s">
        <v>147</v>
      </c>
      <c r="E1564" s="20" t="s">
        <v>4277</v>
      </c>
      <c r="F1564" s="20">
        <v>1</v>
      </c>
      <c r="G1564" s="20" t="s">
        <v>4278</v>
      </c>
      <c r="H1564" s="20" t="s">
        <v>4279</v>
      </c>
      <c r="I1564" s="21" t="s">
        <v>4280</v>
      </c>
      <c r="J1564" s="21"/>
      <c r="K1564" s="21"/>
      <c r="L1564" s="21" t="s">
        <v>4281</v>
      </c>
      <c r="M1564" s="21" t="s">
        <v>73</v>
      </c>
      <c r="N1564" s="21"/>
    </row>
    <row r="1565" spans="1:14" ht="64.05" customHeight="1">
      <c r="A1565" s="20" t="s">
        <v>4217</v>
      </c>
      <c r="B1565" s="20" t="s">
        <v>27</v>
      </c>
      <c r="C1565" s="20" t="s">
        <v>1069</v>
      </c>
      <c r="D1565" s="20" t="s">
        <v>104</v>
      </c>
      <c r="E1565" s="20" t="s">
        <v>4282</v>
      </c>
      <c r="F1565" s="20">
        <v>1</v>
      </c>
      <c r="G1565" s="20" t="s">
        <v>139</v>
      </c>
      <c r="H1565" s="20"/>
      <c r="I1565" s="21" t="s">
        <v>406</v>
      </c>
      <c r="J1565" s="21"/>
      <c r="K1565" s="21" t="s">
        <v>406</v>
      </c>
      <c r="L1565" s="21" t="s">
        <v>4283</v>
      </c>
      <c r="M1565" s="21" t="s">
        <v>102</v>
      </c>
      <c r="N1565" s="21"/>
    </row>
    <row r="1566" spans="1:14" ht="64.05" customHeight="1">
      <c r="A1566" s="20" t="s">
        <v>4217</v>
      </c>
      <c r="B1566" s="20" t="s">
        <v>30</v>
      </c>
      <c r="C1566" s="20" t="s">
        <v>180</v>
      </c>
      <c r="D1566" s="20" t="s">
        <v>181</v>
      </c>
      <c r="E1566" s="20" t="s">
        <v>4284</v>
      </c>
      <c r="F1566" s="20">
        <v>1</v>
      </c>
      <c r="G1566" s="20" t="s">
        <v>4285</v>
      </c>
      <c r="H1566" s="20" t="s">
        <v>1675</v>
      </c>
      <c r="I1566" s="21" t="s">
        <v>1302</v>
      </c>
      <c r="J1566" s="21"/>
      <c r="K1566" s="21" t="s">
        <v>960</v>
      </c>
      <c r="L1566" s="21" t="s">
        <v>4286</v>
      </c>
      <c r="M1566" s="21" t="s">
        <v>62</v>
      </c>
      <c r="N1566" s="21" t="s">
        <v>811</v>
      </c>
    </row>
    <row r="1567" spans="1:14" ht="64.05" customHeight="1">
      <c r="A1567" s="20" t="s">
        <v>4217</v>
      </c>
      <c r="B1567" s="20" t="s">
        <v>30</v>
      </c>
      <c r="C1567" s="20" t="s">
        <v>180</v>
      </c>
      <c r="D1567" s="20" t="s">
        <v>181</v>
      </c>
      <c r="E1567" s="20" t="s">
        <v>4287</v>
      </c>
      <c r="F1567" s="20">
        <v>1</v>
      </c>
      <c r="G1567" s="20" t="s">
        <v>4285</v>
      </c>
      <c r="H1567" s="20" t="s">
        <v>1675</v>
      </c>
      <c r="I1567" s="21" t="s">
        <v>1302</v>
      </c>
      <c r="J1567" s="21"/>
      <c r="K1567" s="21" t="s">
        <v>960</v>
      </c>
      <c r="L1567" s="21" t="s">
        <v>4288</v>
      </c>
      <c r="M1567" s="21" t="s">
        <v>62</v>
      </c>
      <c r="N1567" s="21" t="s">
        <v>811</v>
      </c>
    </row>
    <row r="1568" spans="1:14" ht="64.05" customHeight="1">
      <c r="A1568" s="20" t="s">
        <v>4217</v>
      </c>
      <c r="B1568" s="20" t="s">
        <v>26</v>
      </c>
      <c r="C1568" s="20" t="s">
        <v>196</v>
      </c>
      <c r="D1568" s="20" t="s">
        <v>197</v>
      </c>
      <c r="E1568" s="20" t="s">
        <v>4289</v>
      </c>
      <c r="F1568" s="20">
        <v>1</v>
      </c>
      <c r="G1568" s="20" t="s">
        <v>2470</v>
      </c>
      <c r="H1568" s="20" t="s">
        <v>3733</v>
      </c>
      <c r="I1568" s="21" t="s">
        <v>4290</v>
      </c>
      <c r="J1568" s="21"/>
      <c r="K1568" s="21" t="s">
        <v>849</v>
      </c>
      <c r="L1568" s="21" t="s">
        <v>4291</v>
      </c>
      <c r="M1568" s="21" t="s">
        <v>62</v>
      </c>
      <c r="N1568" s="21" t="s">
        <v>130</v>
      </c>
    </row>
    <row r="1569" spans="1:14" ht="64.05" customHeight="1">
      <c r="A1569" s="20" t="s">
        <v>4217</v>
      </c>
      <c r="B1569" s="20" t="s">
        <v>26</v>
      </c>
      <c r="C1569" s="20" t="s">
        <v>196</v>
      </c>
      <c r="D1569" s="20" t="s">
        <v>197</v>
      </c>
      <c r="E1569" s="20" t="s">
        <v>4292</v>
      </c>
      <c r="F1569" s="20">
        <v>1</v>
      </c>
      <c r="G1569" s="20" t="s">
        <v>4293</v>
      </c>
      <c r="H1569" s="20" t="s">
        <v>4294</v>
      </c>
      <c r="I1569" s="21" t="s">
        <v>4295</v>
      </c>
      <c r="J1569" s="21"/>
      <c r="K1569" s="21" t="s">
        <v>1371</v>
      </c>
      <c r="L1569" s="21" t="s">
        <v>4296</v>
      </c>
      <c r="M1569" s="21" t="s">
        <v>73</v>
      </c>
      <c r="N1569" s="21"/>
    </row>
    <row r="1570" spans="1:14" ht="64.05" customHeight="1">
      <c r="A1570" s="20" t="s">
        <v>4217</v>
      </c>
      <c r="B1570" s="20" t="s">
        <v>26</v>
      </c>
      <c r="C1570" s="20" t="s">
        <v>196</v>
      </c>
      <c r="D1570" s="20" t="s">
        <v>197</v>
      </c>
      <c r="E1570" s="20" t="s">
        <v>4297</v>
      </c>
      <c r="F1570" s="20">
        <v>1</v>
      </c>
      <c r="G1570" s="20" t="s">
        <v>494</v>
      </c>
      <c r="H1570" s="20" t="s">
        <v>225</v>
      </c>
      <c r="I1570" s="21" t="s">
        <v>4298</v>
      </c>
      <c r="J1570" s="21" t="s">
        <v>245</v>
      </c>
      <c r="K1570" s="21" t="s">
        <v>4299</v>
      </c>
      <c r="L1570" s="21" t="s">
        <v>4300</v>
      </c>
      <c r="M1570" s="21" t="s">
        <v>62</v>
      </c>
      <c r="N1570" s="21" t="s">
        <v>1435</v>
      </c>
    </row>
    <row r="1571" spans="1:14" ht="64.05" customHeight="1">
      <c r="A1571" s="20" t="s">
        <v>4217</v>
      </c>
      <c r="B1571" s="20" t="s">
        <v>26</v>
      </c>
      <c r="C1571" s="20" t="s">
        <v>196</v>
      </c>
      <c r="D1571" s="20" t="s">
        <v>197</v>
      </c>
      <c r="E1571" s="20" t="s">
        <v>4301</v>
      </c>
      <c r="F1571" s="20">
        <v>1</v>
      </c>
      <c r="G1571" s="20" t="s">
        <v>494</v>
      </c>
      <c r="H1571" s="20" t="s">
        <v>225</v>
      </c>
      <c r="I1571" s="21" t="s">
        <v>4302</v>
      </c>
      <c r="J1571" s="21" t="s">
        <v>245</v>
      </c>
      <c r="K1571" s="21" t="s">
        <v>4299</v>
      </c>
      <c r="L1571" s="21" t="s">
        <v>4303</v>
      </c>
      <c r="M1571" s="21" t="s">
        <v>62</v>
      </c>
      <c r="N1571" s="21" t="s">
        <v>1435</v>
      </c>
    </row>
    <row r="1572" spans="1:14" ht="64.05" customHeight="1">
      <c r="A1572" s="20" t="s">
        <v>4217</v>
      </c>
      <c r="B1572" s="20" t="s">
        <v>33</v>
      </c>
      <c r="C1572" s="20" t="s">
        <v>2314</v>
      </c>
      <c r="D1572" s="20" t="s">
        <v>2315</v>
      </c>
      <c r="E1572" s="20" t="s">
        <v>4304</v>
      </c>
      <c r="F1572" s="20">
        <v>1</v>
      </c>
      <c r="G1572" s="20" t="s">
        <v>92</v>
      </c>
      <c r="H1572" s="20"/>
      <c r="I1572" s="21" t="s">
        <v>4305</v>
      </c>
      <c r="J1572" s="21"/>
      <c r="K1572" s="21" t="s">
        <v>109</v>
      </c>
      <c r="L1572" s="21" t="s">
        <v>4306</v>
      </c>
      <c r="M1572" s="21" t="s">
        <v>102</v>
      </c>
      <c r="N1572" s="21"/>
    </row>
    <row r="1573" spans="1:14" ht="64.05" customHeight="1">
      <c r="A1573" s="20" t="s">
        <v>4217</v>
      </c>
      <c r="B1573" s="20" t="s">
        <v>33</v>
      </c>
      <c r="C1573" s="20" t="s">
        <v>2314</v>
      </c>
      <c r="D1573" s="20" t="s">
        <v>2315</v>
      </c>
      <c r="E1573" s="20" t="s">
        <v>4307</v>
      </c>
      <c r="F1573" s="20">
        <v>1</v>
      </c>
      <c r="G1573" s="20" t="s">
        <v>296</v>
      </c>
      <c r="H1573" s="20" t="s">
        <v>1397</v>
      </c>
      <c r="I1573" s="21" t="s">
        <v>3687</v>
      </c>
      <c r="J1573" s="21"/>
      <c r="K1573" s="21" t="s">
        <v>109</v>
      </c>
      <c r="L1573" s="21" t="s">
        <v>4308</v>
      </c>
      <c r="M1573" s="21" t="s">
        <v>102</v>
      </c>
      <c r="N1573" s="21"/>
    </row>
    <row r="1574" spans="1:14" ht="64.05" customHeight="1">
      <c r="A1574" s="20" t="s">
        <v>4217</v>
      </c>
      <c r="B1574" s="20" t="s">
        <v>31</v>
      </c>
      <c r="C1574" s="20" t="s">
        <v>491</v>
      </c>
      <c r="D1574" s="20" t="s">
        <v>492</v>
      </c>
      <c r="E1574" s="20" t="s">
        <v>4309</v>
      </c>
      <c r="F1574" s="20">
        <v>1</v>
      </c>
      <c r="G1574" s="20" t="s">
        <v>2192</v>
      </c>
      <c r="H1574" s="20" t="s">
        <v>4310</v>
      </c>
      <c r="I1574" s="21" t="s">
        <v>4311</v>
      </c>
      <c r="J1574" s="21"/>
      <c r="K1574" s="21" t="s">
        <v>109</v>
      </c>
      <c r="L1574" s="21" t="s">
        <v>4312</v>
      </c>
      <c r="M1574" s="21" t="s">
        <v>62</v>
      </c>
      <c r="N1574" s="21" t="s">
        <v>130</v>
      </c>
    </row>
    <row r="1575" spans="1:14" ht="64.05" customHeight="1">
      <c r="A1575" s="20" t="s">
        <v>4313</v>
      </c>
      <c r="B1575" s="20" t="s">
        <v>20</v>
      </c>
      <c r="C1575" s="20" t="s">
        <v>65</v>
      </c>
      <c r="D1575" s="20" t="s">
        <v>66</v>
      </c>
      <c r="E1575" s="20" t="s">
        <v>4314</v>
      </c>
      <c r="F1575" s="20">
        <v>1</v>
      </c>
      <c r="G1575" s="20" t="s">
        <v>58</v>
      </c>
      <c r="H1575" s="20" t="s">
        <v>1555</v>
      </c>
      <c r="I1575" s="21" t="s">
        <v>140</v>
      </c>
      <c r="J1575" s="21"/>
      <c r="K1575" s="21"/>
      <c r="L1575" s="21" t="s">
        <v>4315</v>
      </c>
      <c r="M1575" s="21" t="s">
        <v>62</v>
      </c>
      <c r="N1575" s="21" t="s">
        <v>63</v>
      </c>
    </row>
    <row r="1576" spans="1:14" ht="64.05" customHeight="1">
      <c r="A1576" s="20" t="s">
        <v>4313</v>
      </c>
      <c r="B1576" s="20" t="s">
        <v>20</v>
      </c>
      <c r="C1576" s="20" t="s">
        <v>65</v>
      </c>
      <c r="D1576" s="20" t="s">
        <v>66</v>
      </c>
      <c r="E1576" s="20" t="s">
        <v>4316</v>
      </c>
      <c r="F1576" s="20">
        <v>1</v>
      </c>
      <c r="G1576" s="20" t="s">
        <v>92</v>
      </c>
      <c r="H1576" s="20"/>
      <c r="I1576" s="21" t="s">
        <v>4317</v>
      </c>
      <c r="J1576" s="21"/>
      <c r="K1576" s="21" t="s">
        <v>4318</v>
      </c>
      <c r="L1576" s="21" t="s">
        <v>4319</v>
      </c>
      <c r="M1576" s="21" t="s">
        <v>73</v>
      </c>
      <c r="N1576" s="21"/>
    </row>
    <row r="1577" spans="1:14" ht="64.05" customHeight="1">
      <c r="A1577" s="20" t="s">
        <v>4313</v>
      </c>
      <c r="B1577" s="20" t="s">
        <v>20</v>
      </c>
      <c r="C1577" s="20" t="s">
        <v>65</v>
      </c>
      <c r="D1577" s="20" t="s">
        <v>66</v>
      </c>
      <c r="E1577" s="20" t="s">
        <v>4320</v>
      </c>
      <c r="F1577" s="20">
        <v>1</v>
      </c>
      <c r="G1577" s="20" t="s">
        <v>92</v>
      </c>
      <c r="H1577" s="20"/>
      <c r="I1577" s="21" t="s">
        <v>4321</v>
      </c>
      <c r="J1577" s="21"/>
      <c r="K1577" s="21" t="s">
        <v>4322</v>
      </c>
      <c r="L1577" s="21" t="s">
        <v>4323</v>
      </c>
      <c r="M1577" s="21" t="s">
        <v>73</v>
      </c>
      <c r="N1577" s="21"/>
    </row>
    <row r="1578" spans="1:14" ht="64.05" customHeight="1">
      <c r="A1578" s="20" t="s">
        <v>4313</v>
      </c>
      <c r="B1578" s="20" t="s">
        <v>20</v>
      </c>
      <c r="C1578" s="20" t="s">
        <v>65</v>
      </c>
      <c r="D1578" s="20" t="s">
        <v>66</v>
      </c>
      <c r="E1578" s="20" t="s">
        <v>4324</v>
      </c>
      <c r="F1578" s="20">
        <v>1</v>
      </c>
      <c r="G1578" s="20" t="s">
        <v>92</v>
      </c>
      <c r="H1578" s="20"/>
      <c r="I1578" s="21" t="s">
        <v>4325</v>
      </c>
      <c r="J1578" s="21"/>
      <c r="K1578" s="21" t="s">
        <v>4322</v>
      </c>
      <c r="L1578" s="21" t="s">
        <v>4323</v>
      </c>
      <c r="M1578" s="21" t="s">
        <v>73</v>
      </c>
      <c r="N1578" s="21"/>
    </row>
    <row r="1579" spans="1:14" ht="64.05" customHeight="1">
      <c r="A1579" s="20" t="s">
        <v>4313</v>
      </c>
      <c r="B1579" s="20" t="s">
        <v>20</v>
      </c>
      <c r="C1579" s="20" t="s">
        <v>65</v>
      </c>
      <c r="D1579" s="20" t="s">
        <v>66</v>
      </c>
      <c r="E1579" s="20" t="s">
        <v>4326</v>
      </c>
      <c r="F1579" s="20">
        <v>1</v>
      </c>
      <c r="G1579" s="20" t="s">
        <v>92</v>
      </c>
      <c r="H1579" s="20"/>
      <c r="I1579" s="21" t="s">
        <v>4327</v>
      </c>
      <c r="J1579" s="21"/>
      <c r="K1579" s="21" t="s">
        <v>4322</v>
      </c>
      <c r="L1579" s="21" t="s">
        <v>4323</v>
      </c>
      <c r="M1579" s="21" t="s">
        <v>73</v>
      </c>
      <c r="N1579" s="21"/>
    </row>
    <row r="1580" spans="1:14" ht="64.05" customHeight="1">
      <c r="A1580" s="20" t="s">
        <v>4313</v>
      </c>
      <c r="B1580" s="20" t="s">
        <v>20</v>
      </c>
      <c r="C1580" s="20" t="s">
        <v>65</v>
      </c>
      <c r="D1580" s="20" t="s">
        <v>66</v>
      </c>
      <c r="E1580" s="20" t="s">
        <v>4328</v>
      </c>
      <c r="F1580" s="20">
        <v>1</v>
      </c>
      <c r="G1580" s="20" t="s">
        <v>92</v>
      </c>
      <c r="H1580" s="20"/>
      <c r="I1580" s="21" t="s">
        <v>4329</v>
      </c>
      <c r="J1580" s="21"/>
      <c r="K1580" s="21" t="s">
        <v>4322</v>
      </c>
      <c r="L1580" s="21" t="s">
        <v>4323</v>
      </c>
      <c r="M1580" s="21" t="s">
        <v>73</v>
      </c>
      <c r="N1580" s="21"/>
    </row>
    <row r="1581" spans="1:14" ht="64.05" customHeight="1">
      <c r="A1581" s="20" t="s">
        <v>4313</v>
      </c>
      <c r="B1581" s="20" t="s">
        <v>20</v>
      </c>
      <c r="C1581" s="20" t="s">
        <v>65</v>
      </c>
      <c r="D1581" s="20" t="s">
        <v>66</v>
      </c>
      <c r="E1581" s="20" t="s">
        <v>4330</v>
      </c>
      <c r="F1581" s="20">
        <v>1</v>
      </c>
      <c r="G1581" s="20" t="s">
        <v>92</v>
      </c>
      <c r="H1581" s="20"/>
      <c r="I1581" s="21" t="s">
        <v>4331</v>
      </c>
      <c r="J1581" s="21"/>
      <c r="K1581" s="21" t="s">
        <v>4322</v>
      </c>
      <c r="L1581" s="21" t="s">
        <v>4323</v>
      </c>
      <c r="M1581" s="21" t="s">
        <v>73</v>
      </c>
      <c r="N1581" s="21"/>
    </row>
    <row r="1582" spans="1:14" ht="64.05" customHeight="1">
      <c r="A1582" s="20" t="s">
        <v>4313</v>
      </c>
      <c r="B1582" s="20" t="s">
        <v>20</v>
      </c>
      <c r="C1582" s="20" t="s">
        <v>65</v>
      </c>
      <c r="D1582" s="20" t="s">
        <v>66</v>
      </c>
      <c r="E1582" s="20" t="s">
        <v>4332</v>
      </c>
      <c r="F1582" s="20">
        <v>1</v>
      </c>
      <c r="G1582" s="20" t="s">
        <v>92</v>
      </c>
      <c r="H1582" s="20"/>
      <c r="I1582" s="21" t="s">
        <v>4333</v>
      </c>
      <c r="J1582" s="21"/>
      <c r="K1582" s="21" t="s">
        <v>4334</v>
      </c>
      <c r="L1582" s="21" t="s">
        <v>4323</v>
      </c>
      <c r="M1582" s="21" t="s">
        <v>73</v>
      </c>
      <c r="N1582" s="21"/>
    </row>
    <row r="1583" spans="1:14" ht="64.05" customHeight="1">
      <c r="A1583" s="20" t="s">
        <v>4313</v>
      </c>
      <c r="B1583" s="20" t="s">
        <v>22</v>
      </c>
      <c r="C1583" s="20" t="s">
        <v>779</v>
      </c>
      <c r="D1583" s="20" t="s">
        <v>780</v>
      </c>
      <c r="E1583" s="20" t="s">
        <v>4335</v>
      </c>
      <c r="F1583" s="20">
        <v>1</v>
      </c>
      <c r="G1583" s="20" t="s">
        <v>4336</v>
      </c>
      <c r="H1583" s="20" t="s">
        <v>4337</v>
      </c>
      <c r="I1583" s="21" t="s">
        <v>4338</v>
      </c>
      <c r="J1583" s="21" t="s">
        <v>245</v>
      </c>
      <c r="K1583" s="21" t="s">
        <v>4339</v>
      </c>
      <c r="L1583" s="21" t="s">
        <v>4340</v>
      </c>
      <c r="M1583" s="21" t="s">
        <v>73</v>
      </c>
      <c r="N1583" s="21"/>
    </row>
    <row r="1584" spans="1:14" ht="64.05" customHeight="1">
      <c r="A1584" s="20" t="s">
        <v>4313</v>
      </c>
      <c r="B1584" s="20" t="s">
        <v>22</v>
      </c>
      <c r="C1584" s="20" t="s">
        <v>779</v>
      </c>
      <c r="D1584" s="20" t="s">
        <v>780</v>
      </c>
      <c r="E1584" s="20" t="s">
        <v>4341</v>
      </c>
      <c r="F1584" s="20">
        <v>1</v>
      </c>
      <c r="G1584" s="20" t="s">
        <v>92</v>
      </c>
      <c r="H1584" s="20"/>
      <c r="I1584" s="21" t="s">
        <v>4342</v>
      </c>
      <c r="J1584" s="21"/>
      <c r="K1584" s="21" t="s">
        <v>4343</v>
      </c>
      <c r="L1584" s="21" t="s">
        <v>4344</v>
      </c>
      <c r="M1584" s="21" t="s">
        <v>73</v>
      </c>
      <c r="N1584" s="21"/>
    </row>
    <row r="1585" spans="1:14" ht="64.05" customHeight="1">
      <c r="A1585" s="20" t="s">
        <v>4313</v>
      </c>
      <c r="B1585" s="20" t="s">
        <v>22</v>
      </c>
      <c r="C1585" s="20" t="s">
        <v>779</v>
      </c>
      <c r="D1585" s="20" t="s">
        <v>780</v>
      </c>
      <c r="E1585" s="20" t="s">
        <v>4345</v>
      </c>
      <c r="F1585" s="20">
        <v>1</v>
      </c>
      <c r="G1585" s="20" t="s">
        <v>92</v>
      </c>
      <c r="H1585" s="20"/>
      <c r="I1585" s="21" t="s">
        <v>4346</v>
      </c>
      <c r="J1585" s="21"/>
      <c r="K1585" s="21" t="s">
        <v>4343</v>
      </c>
      <c r="L1585" s="21" t="s">
        <v>4344</v>
      </c>
      <c r="M1585" s="21" t="s">
        <v>73</v>
      </c>
      <c r="N1585" s="21"/>
    </row>
    <row r="1586" spans="1:14" ht="64.05" customHeight="1">
      <c r="A1586" s="20" t="s">
        <v>4313</v>
      </c>
      <c r="B1586" s="20" t="s">
        <v>22</v>
      </c>
      <c r="C1586" s="20" t="s">
        <v>779</v>
      </c>
      <c r="D1586" s="20" t="s">
        <v>780</v>
      </c>
      <c r="E1586" s="20" t="s">
        <v>4347</v>
      </c>
      <c r="F1586" s="20">
        <v>1</v>
      </c>
      <c r="G1586" s="20" t="s">
        <v>92</v>
      </c>
      <c r="H1586" s="20"/>
      <c r="I1586" s="21" t="s">
        <v>4346</v>
      </c>
      <c r="J1586" s="21"/>
      <c r="K1586" s="21" t="s">
        <v>4343</v>
      </c>
      <c r="L1586" s="21" t="s">
        <v>4344</v>
      </c>
      <c r="M1586" s="21" t="s">
        <v>73</v>
      </c>
      <c r="N1586" s="21"/>
    </row>
    <row r="1587" spans="1:14" ht="64.05" customHeight="1">
      <c r="A1587" s="20" t="s">
        <v>4313</v>
      </c>
      <c r="B1587" s="20" t="s">
        <v>22</v>
      </c>
      <c r="C1587" s="20" t="s">
        <v>779</v>
      </c>
      <c r="D1587" s="20" t="s">
        <v>780</v>
      </c>
      <c r="E1587" s="20" t="s">
        <v>4348</v>
      </c>
      <c r="F1587" s="20">
        <v>1</v>
      </c>
      <c r="G1587" s="20" t="s">
        <v>4349</v>
      </c>
      <c r="H1587" s="20" t="s">
        <v>4350</v>
      </c>
      <c r="I1587" s="21" t="s">
        <v>4351</v>
      </c>
      <c r="J1587" s="21"/>
      <c r="K1587" s="21" t="s">
        <v>4352</v>
      </c>
      <c r="L1587" s="21" t="s">
        <v>4353</v>
      </c>
      <c r="M1587" s="21" t="s">
        <v>62</v>
      </c>
      <c r="N1587" s="21" t="s">
        <v>811</v>
      </c>
    </row>
    <row r="1588" spans="1:14" ht="64.05" customHeight="1">
      <c r="A1588" s="20" t="s">
        <v>4313</v>
      </c>
      <c r="B1588" s="20" t="s">
        <v>22</v>
      </c>
      <c r="C1588" s="20" t="s">
        <v>89</v>
      </c>
      <c r="D1588" s="20" t="s">
        <v>2504</v>
      </c>
      <c r="E1588" s="20" t="s">
        <v>4354</v>
      </c>
      <c r="F1588" s="20">
        <v>1</v>
      </c>
      <c r="G1588" s="20" t="s">
        <v>1465</v>
      </c>
      <c r="H1588" s="20" t="s">
        <v>4355</v>
      </c>
      <c r="I1588" s="21" t="s">
        <v>154</v>
      </c>
      <c r="J1588" s="21"/>
      <c r="K1588" s="21" t="s">
        <v>109</v>
      </c>
      <c r="L1588" s="21" t="s">
        <v>4356</v>
      </c>
      <c r="M1588" s="21" t="s">
        <v>73</v>
      </c>
      <c r="N1588" s="21"/>
    </row>
    <row r="1589" spans="1:14" ht="64.05" customHeight="1">
      <c r="A1589" s="20" t="s">
        <v>4313</v>
      </c>
      <c r="B1589" s="20" t="s">
        <v>22</v>
      </c>
      <c r="C1589" s="20" t="s">
        <v>89</v>
      </c>
      <c r="D1589" s="20" t="s">
        <v>2504</v>
      </c>
      <c r="E1589" s="20" t="s">
        <v>4357</v>
      </c>
      <c r="F1589" s="20">
        <v>1</v>
      </c>
      <c r="G1589" s="20" t="s">
        <v>1465</v>
      </c>
      <c r="H1589" s="20" t="s">
        <v>4355</v>
      </c>
      <c r="I1589" s="21" t="s">
        <v>154</v>
      </c>
      <c r="J1589" s="21"/>
      <c r="K1589" s="21" t="s">
        <v>109</v>
      </c>
      <c r="L1589" s="21" t="s">
        <v>4356</v>
      </c>
      <c r="M1589" s="21" t="s">
        <v>73</v>
      </c>
      <c r="N1589" s="21"/>
    </row>
    <row r="1590" spans="1:14" ht="64.05" customHeight="1">
      <c r="A1590" s="20" t="s">
        <v>4313</v>
      </c>
      <c r="B1590" s="20" t="s">
        <v>22</v>
      </c>
      <c r="C1590" s="20" t="s">
        <v>89</v>
      </c>
      <c r="D1590" s="20" t="s">
        <v>2504</v>
      </c>
      <c r="E1590" s="20" t="s">
        <v>4358</v>
      </c>
      <c r="F1590" s="20">
        <v>1</v>
      </c>
      <c r="G1590" s="20" t="s">
        <v>1465</v>
      </c>
      <c r="H1590" s="20" t="s">
        <v>4355</v>
      </c>
      <c r="I1590" s="21" t="s">
        <v>154</v>
      </c>
      <c r="J1590" s="21"/>
      <c r="K1590" s="21" t="s">
        <v>109</v>
      </c>
      <c r="L1590" s="21" t="s">
        <v>4356</v>
      </c>
      <c r="M1590" s="21" t="s">
        <v>73</v>
      </c>
      <c r="N1590" s="21"/>
    </row>
    <row r="1591" spans="1:14" ht="64.05" customHeight="1">
      <c r="A1591" s="20" t="s">
        <v>4313</v>
      </c>
      <c r="B1591" s="20" t="s">
        <v>22</v>
      </c>
      <c r="C1591" s="20" t="s">
        <v>89</v>
      </c>
      <c r="D1591" s="20" t="s">
        <v>2504</v>
      </c>
      <c r="E1591" s="20" t="s">
        <v>4359</v>
      </c>
      <c r="F1591" s="20">
        <v>1</v>
      </c>
      <c r="G1591" s="20" t="s">
        <v>1465</v>
      </c>
      <c r="H1591" s="20" t="s">
        <v>4355</v>
      </c>
      <c r="I1591" s="21" t="s">
        <v>154</v>
      </c>
      <c r="J1591" s="21"/>
      <c r="K1591" s="21" t="s">
        <v>109</v>
      </c>
      <c r="L1591" s="21" t="s">
        <v>4356</v>
      </c>
      <c r="M1591" s="21" t="s">
        <v>73</v>
      </c>
      <c r="N1591" s="21"/>
    </row>
    <row r="1592" spans="1:14" ht="64.05" customHeight="1">
      <c r="A1592" s="20" t="s">
        <v>4313</v>
      </c>
      <c r="B1592" s="20" t="s">
        <v>22</v>
      </c>
      <c r="C1592" s="20" t="s">
        <v>370</v>
      </c>
      <c r="D1592" s="20" t="s">
        <v>371</v>
      </c>
      <c r="E1592" s="20" t="s">
        <v>4360</v>
      </c>
      <c r="F1592" s="20">
        <v>1</v>
      </c>
      <c r="G1592" s="20" t="s">
        <v>1345</v>
      </c>
      <c r="H1592" s="20" t="s">
        <v>4361</v>
      </c>
      <c r="I1592" s="21" t="s">
        <v>4362</v>
      </c>
      <c r="J1592" s="21"/>
      <c r="K1592" s="21" t="s">
        <v>4363</v>
      </c>
      <c r="L1592" s="21" t="s">
        <v>4364</v>
      </c>
      <c r="M1592" s="21" t="s">
        <v>73</v>
      </c>
      <c r="N1592" s="21"/>
    </row>
    <row r="1593" spans="1:14" ht="64.05" customHeight="1">
      <c r="A1593" s="20" t="s">
        <v>4313</v>
      </c>
      <c r="B1593" s="20" t="s">
        <v>22</v>
      </c>
      <c r="C1593" s="20" t="s">
        <v>370</v>
      </c>
      <c r="D1593" s="20" t="s">
        <v>371</v>
      </c>
      <c r="E1593" s="20" t="s">
        <v>4365</v>
      </c>
      <c r="F1593" s="20">
        <v>1</v>
      </c>
      <c r="G1593" s="20" t="s">
        <v>92</v>
      </c>
      <c r="H1593" s="20"/>
      <c r="I1593" s="21" t="s">
        <v>4366</v>
      </c>
      <c r="J1593" s="21"/>
      <c r="K1593" s="21" t="s">
        <v>866</v>
      </c>
      <c r="L1593" s="21" t="s">
        <v>4367</v>
      </c>
      <c r="M1593" s="21" t="s">
        <v>73</v>
      </c>
      <c r="N1593" s="21"/>
    </row>
    <row r="1594" spans="1:14" ht="64.05" customHeight="1">
      <c r="A1594" s="20" t="s">
        <v>4313</v>
      </c>
      <c r="B1594" s="20" t="s">
        <v>23</v>
      </c>
      <c r="C1594" s="20" t="s">
        <v>103</v>
      </c>
      <c r="D1594" s="20" t="s">
        <v>104</v>
      </c>
      <c r="E1594" s="20" t="s">
        <v>4368</v>
      </c>
      <c r="F1594" s="20">
        <v>1</v>
      </c>
      <c r="G1594" s="20" t="s">
        <v>4369</v>
      </c>
      <c r="H1594" s="20"/>
      <c r="I1594" s="21" t="s">
        <v>4370</v>
      </c>
      <c r="J1594" s="21"/>
      <c r="K1594" s="21" t="s">
        <v>4371</v>
      </c>
      <c r="L1594" s="21" t="s">
        <v>4372</v>
      </c>
      <c r="M1594" s="21" t="s">
        <v>102</v>
      </c>
      <c r="N1594" s="21"/>
    </row>
    <row r="1595" spans="1:14" ht="64.05" customHeight="1">
      <c r="A1595" s="20" t="s">
        <v>4313</v>
      </c>
      <c r="B1595" s="20" t="s">
        <v>23</v>
      </c>
      <c r="C1595" s="20" t="s">
        <v>103</v>
      </c>
      <c r="D1595" s="20" t="s">
        <v>104</v>
      </c>
      <c r="E1595" s="20" t="s">
        <v>4373</v>
      </c>
      <c r="F1595" s="20">
        <v>1</v>
      </c>
      <c r="G1595" s="20" t="s">
        <v>139</v>
      </c>
      <c r="H1595" s="20"/>
      <c r="I1595" s="21" t="s">
        <v>4374</v>
      </c>
      <c r="J1595" s="21"/>
      <c r="K1595" s="21" t="s">
        <v>4371</v>
      </c>
      <c r="L1595" s="21" t="s">
        <v>4375</v>
      </c>
      <c r="M1595" s="21" t="s">
        <v>102</v>
      </c>
      <c r="N1595" s="21"/>
    </row>
    <row r="1596" spans="1:14" ht="64.05" customHeight="1">
      <c r="A1596" s="20" t="s">
        <v>4313</v>
      </c>
      <c r="B1596" s="20" t="s">
        <v>25</v>
      </c>
      <c r="C1596" s="20" t="s">
        <v>4376</v>
      </c>
      <c r="D1596" s="20" t="s">
        <v>698</v>
      </c>
      <c r="E1596" s="20" t="s">
        <v>4377</v>
      </c>
      <c r="F1596" s="20">
        <v>1</v>
      </c>
      <c r="G1596" s="20" t="s">
        <v>92</v>
      </c>
      <c r="H1596" s="20"/>
      <c r="I1596" s="21" t="s">
        <v>733</v>
      </c>
      <c r="J1596" s="21"/>
      <c r="K1596" s="21" t="s">
        <v>1324</v>
      </c>
      <c r="L1596" s="21" t="s">
        <v>4378</v>
      </c>
      <c r="M1596" s="21" t="s">
        <v>62</v>
      </c>
      <c r="N1596" s="21" t="s">
        <v>624</v>
      </c>
    </row>
    <row r="1597" spans="1:14" ht="64.05" customHeight="1">
      <c r="A1597" s="20" t="s">
        <v>4313</v>
      </c>
      <c r="B1597" s="20" t="s">
        <v>25</v>
      </c>
      <c r="C1597" s="20" t="s">
        <v>115</v>
      </c>
      <c r="D1597" s="20" t="s">
        <v>116</v>
      </c>
      <c r="E1597" s="20" t="s">
        <v>4379</v>
      </c>
      <c r="F1597" s="20">
        <v>1</v>
      </c>
      <c r="G1597" s="20" t="s">
        <v>92</v>
      </c>
      <c r="H1597" s="20"/>
      <c r="I1597" s="21" t="s">
        <v>406</v>
      </c>
      <c r="J1597" s="21"/>
      <c r="K1597" s="21" t="s">
        <v>406</v>
      </c>
      <c r="L1597" s="21" t="s">
        <v>4380</v>
      </c>
      <c r="M1597" s="21" t="s">
        <v>102</v>
      </c>
      <c r="N1597" s="21"/>
    </row>
    <row r="1598" spans="1:14" ht="64.05" customHeight="1">
      <c r="A1598" s="20" t="s">
        <v>4313</v>
      </c>
      <c r="B1598" s="20" t="s">
        <v>25</v>
      </c>
      <c r="C1598" s="20" t="s">
        <v>131</v>
      </c>
      <c r="D1598" s="20" t="s">
        <v>132</v>
      </c>
      <c r="E1598" s="20" t="s">
        <v>4381</v>
      </c>
      <c r="F1598" s="20">
        <v>1</v>
      </c>
      <c r="G1598" s="20" t="s">
        <v>422</v>
      </c>
      <c r="H1598" s="20" t="s">
        <v>2033</v>
      </c>
      <c r="I1598" s="21" t="s">
        <v>164</v>
      </c>
      <c r="J1598" s="21"/>
      <c r="K1598" s="21" t="s">
        <v>109</v>
      </c>
      <c r="L1598" s="21" t="s">
        <v>4382</v>
      </c>
      <c r="M1598" s="21" t="s">
        <v>73</v>
      </c>
      <c r="N1598" s="21"/>
    </row>
    <row r="1599" spans="1:14" ht="64.05" customHeight="1">
      <c r="A1599" s="20" t="s">
        <v>4313</v>
      </c>
      <c r="B1599" s="20" t="s">
        <v>25</v>
      </c>
      <c r="C1599" s="20" t="s">
        <v>131</v>
      </c>
      <c r="D1599" s="20" t="s">
        <v>4383</v>
      </c>
      <c r="E1599" s="20" t="s">
        <v>4384</v>
      </c>
      <c r="F1599" s="20">
        <v>1</v>
      </c>
      <c r="G1599" s="20" t="s">
        <v>92</v>
      </c>
      <c r="H1599" s="20"/>
      <c r="I1599" s="21" t="s">
        <v>406</v>
      </c>
      <c r="J1599" s="21"/>
      <c r="K1599" s="21" t="s">
        <v>141</v>
      </c>
      <c r="L1599" s="21" t="s">
        <v>4385</v>
      </c>
      <c r="M1599" s="21" t="s">
        <v>73</v>
      </c>
      <c r="N1599" s="21"/>
    </row>
    <row r="1600" spans="1:14" ht="64.05" customHeight="1">
      <c r="A1600" s="20" t="s">
        <v>4313</v>
      </c>
      <c r="B1600" s="20" t="s">
        <v>24</v>
      </c>
      <c r="C1600" s="20" t="s">
        <v>426</v>
      </c>
      <c r="D1600" s="20" t="s">
        <v>427</v>
      </c>
      <c r="E1600" s="20" t="s">
        <v>4386</v>
      </c>
      <c r="F1600" s="20">
        <v>1</v>
      </c>
      <c r="G1600" s="20" t="s">
        <v>2233</v>
      </c>
      <c r="H1600" s="20" t="s">
        <v>780</v>
      </c>
      <c r="I1600" s="21" t="s">
        <v>4387</v>
      </c>
      <c r="J1600" s="21"/>
      <c r="K1600" s="21" t="s">
        <v>4388</v>
      </c>
      <c r="L1600" s="21" t="s">
        <v>4389</v>
      </c>
      <c r="M1600" s="21" t="s">
        <v>62</v>
      </c>
      <c r="N1600" s="21" t="s">
        <v>130</v>
      </c>
    </row>
    <row r="1601" spans="1:14" ht="64.05" customHeight="1">
      <c r="A1601" s="20" t="s">
        <v>4313</v>
      </c>
      <c r="B1601" s="20" t="s">
        <v>24</v>
      </c>
      <c r="C1601" s="20" t="s">
        <v>426</v>
      </c>
      <c r="D1601" s="20" t="s">
        <v>427</v>
      </c>
      <c r="E1601" s="20" t="s">
        <v>4390</v>
      </c>
      <c r="F1601" s="20">
        <v>1</v>
      </c>
      <c r="G1601" s="20" t="s">
        <v>92</v>
      </c>
      <c r="H1601" s="20"/>
      <c r="I1601" s="21" t="s">
        <v>4391</v>
      </c>
      <c r="J1601" s="21"/>
      <c r="K1601" s="21" t="s">
        <v>4392</v>
      </c>
      <c r="L1601" s="21" t="s">
        <v>4393</v>
      </c>
      <c r="M1601" s="21" t="s">
        <v>62</v>
      </c>
      <c r="N1601" s="21" t="s">
        <v>161</v>
      </c>
    </row>
    <row r="1602" spans="1:14" ht="64.05" customHeight="1">
      <c r="A1602" s="20" t="s">
        <v>4313</v>
      </c>
      <c r="B1602" s="20" t="s">
        <v>24</v>
      </c>
      <c r="C1602" s="20" t="s">
        <v>426</v>
      </c>
      <c r="D1602" s="20" t="s">
        <v>427</v>
      </c>
      <c r="E1602" s="20" t="s">
        <v>4394</v>
      </c>
      <c r="F1602" s="20">
        <v>1</v>
      </c>
      <c r="G1602" s="20" t="s">
        <v>92</v>
      </c>
      <c r="H1602" s="20"/>
      <c r="I1602" s="21" t="s">
        <v>4395</v>
      </c>
      <c r="J1602" s="21"/>
      <c r="K1602" s="21" t="s">
        <v>406</v>
      </c>
      <c r="L1602" s="21" t="s">
        <v>4396</v>
      </c>
      <c r="M1602" s="21" t="s">
        <v>102</v>
      </c>
      <c r="N1602" s="21"/>
    </row>
    <row r="1603" spans="1:14" ht="64.05" customHeight="1">
      <c r="A1603" s="20" t="s">
        <v>4313</v>
      </c>
      <c r="B1603" s="20" t="s">
        <v>24</v>
      </c>
      <c r="C1603" s="20" t="s">
        <v>431</v>
      </c>
      <c r="D1603" s="20" t="s">
        <v>216</v>
      </c>
      <c r="E1603" s="20" t="s">
        <v>4397</v>
      </c>
      <c r="F1603" s="20">
        <v>1</v>
      </c>
      <c r="G1603" s="20" t="s">
        <v>92</v>
      </c>
      <c r="H1603" s="20"/>
      <c r="I1603" s="21" t="s">
        <v>4398</v>
      </c>
      <c r="J1603" s="21"/>
      <c r="K1603" s="21" t="s">
        <v>4399</v>
      </c>
      <c r="L1603" s="21" t="s">
        <v>4400</v>
      </c>
      <c r="M1603" s="21" t="s">
        <v>62</v>
      </c>
      <c r="N1603" s="21" t="s">
        <v>520</v>
      </c>
    </row>
    <row r="1604" spans="1:14" ht="64.05" customHeight="1">
      <c r="A1604" s="20" t="s">
        <v>4313</v>
      </c>
      <c r="B1604" s="20" t="s">
        <v>24</v>
      </c>
      <c r="C1604" s="20" t="s">
        <v>436</v>
      </c>
      <c r="D1604" s="20" t="s">
        <v>437</v>
      </c>
      <c r="E1604" s="20" t="s">
        <v>4401</v>
      </c>
      <c r="F1604" s="20">
        <v>1</v>
      </c>
      <c r="G1604" s="20" t="s">
        <v>92</v>
      </c>
      <c r="H1604" s="20"/>
      <c r="I1604" s="21" t="s">
        <v>4402</v>
      </c>
      <c r="J1604" s="21"/>
      <c r="K1604" s="21" t="s">
        <v>109</v>
      </c>
      <c r="L1604" s="21" t="s">
        <v>4403</v>
      </c>
      <c r="M1604" s="21" t="s">
        <v>102</v>
      </c>
      <c r="N1604" s="21"/>
    </row>
    <row r="1605" spans="1:14" ht="64.05" customHeight="1">
      <c r="A1605" s="20" t="s">
        <v>4313</v>
      </c>
      <c r="B1605" s="20" t="s">
        <v>24</v>
      </c>
      <c r="C1605" s="20" t="s">
        <v>436</v>
      </c>
      <c r="D1605" s="20" t="s">
        <v>437</v>
      </c>
      <c r="E1605" s="20" t="s">
        <v>4404</v>
      </c>
      <c r="F1605" s="20">
        <v>1</v>
      </c>
      <c r="G1605" s="20" t="s">
        <v>92</v>
      </c>
      <c r="H1605" s="20"/>
      <c r="I1605" s="21" t="s">
        <v>4402</v>
      </c>
      <c r="J1605" s="21"/>
      <c r="K1605" s="21" t="s">
        <v>109</v>
      </c>
      <c r="L1605" s="21" t="s">
        <v>4403</v>
      </c>
      <c r="M1605" s="21" t="s">
        <v>102</v>
      </c>
      <c r="N1605" s="21"/>
    </row>
    <row r="1606" spans="1:14" ht="64.05" customHeight="1">
      <c r="A1606" s="20" t="s">
        <v>4313</v>
      </c>
      <c r="B1606" s="20" t="s">
        <v>24</v>
      </c>
      <c r="C1606" s="20" t="s">
        <v>436</v>
      </c>
      <c r="D1606" s="20" t="s">
        <v>437</v>
      </c>
      <c r="E1606" s="20" t="s">
        <v>4405</v>
      </c>
      <c r="F1606" s="20">
        <v>1</v>
      </c>
      <c r="G1606" s="20" t="s">
        <v>92</v>
      </c>
      <c r="H1606" s="20"/>
      <c r="I1606" s="21" t="s">
        <v>4406</v>
      </c>
      <c r="J1606" s="21"/>
      <c r="K1606" s="21" t="s">
        <v>109</v>
      </c>
      <c r="L1606" s="21" t="s">
        <v>4407</v>
      </c>
      <c r="M1606" s="21" t="s">
        <v>102</v>
      </c>
      <c r="N1606" s="21"/>
    </row>
    <row r="1607" spans="1:14" ht="64.05" customHeight="1">
      <c r="A1607" s="20" t="s">
        <v>4313</v>
      </c>
      <c r="B1607" s="20" t="s">
        <v>24</v>
      </c>
      <c r="C1607" s="20" t="s">
        <v>136</v>
      </c>
      <c r="D1607" s="20" t="s">
        <v>674</v>
      </c>
      <c r="E1607" s="20" t="s">
        <v>4408</v>
      </c>
      <c r="F1607" s="20">
        <v>1</v>
      </c>
      <c r="G1607" s="20" t="s">
        <v>92</v>
      </c>
      <c r="H1607" s="20"/>
      <c r="I1607" s="21" t="s">
        <v>4409</v>
      </c>
      <c r="J1607" s="21" t="s">
        <v>582</v>
      </c>
      <c r="K1607" s="21" t="s">
        <v>4410</v>
      </c>
      <c r="L1607" s="21" t="s">
        <v>4411</v>
      </c>
      <c r="M1607" s="21" t="s">
        <v>62</v>
      </c>
      <c r="N1607" s="21" t="s">
        <v>520</v>
      </c>
    </row>
    <row r="1608" spans="1:14" ht="64.05" customHeight="1">
      <c r="A1608" s="20" t="s">
        <v>4313</v>
      </c>
      <c r="B1608" s="20" t="s">
        <v>28</v>
      </c>
      <c r="C1608" s="20" t="s">
        <v>167</v>
      </c>
      <c r="D1608" s="20" t="s">
        <v>168</v>
      </c>
      <c r="E1608" s="20" t="s">
        <v>4412</v>
      </c>
      <c r="F1608" s="20">
        <v>1</v>
      </c>
      <c r="G1608" s="20" t="s">
        <v>4413</v>
      </c>
      <c r="H1608" s="20" t="s">
        <v>437</v>
      </c>
      <c r="I1608" s="21" t="s">
        <v>4414</v>
      </c>
      <c r="J1608" s="21"/>
      <c r="K1608" s="21" t="s">
        <v>4415</v>
      </c>
      <c r="L1608" s="21" t="s">
        <v>4416</v>
      </c>
      <c r="M1608" s="21" t="s">
        <v>73</v>
      </c>
      <c r="N1608" s="21"/>
    </row>
    <row r="1609" spans="1:14" ht="64.05" customHeight="1">
      <c r="A1609" s="20" t="s">
        <v>4313</v>
      </c>
      <c r="B1609" s="20" t="s">
        <v>28</v>
      </c>
      <c r="C1609" s="20" t="s">
        <v>167</v>
      </c>
      <c r="D1609" s="20" t="s">
        <v>168</v>
      </c>
      <c r="E1609" s="20" t="s">
        <v>4417</v>
      </c>
      <c r="F1609" s="20">
        <v>1</v>
      </c>
      <c r="G1609" s="20" t="s">
        <v>92</v>
      </c>
      <c r="H1609" s="20"/>
      <c r="I1609" s="21" t="s">
        <v>4418</v>
      </c>
      <c r="J1609" s="21"/>
      <c r="K1609" s="21" t="s">
        <v>4419</v>
      </c>
      <c r="L1609" s="21" t="s">
        <v>4420</v>
      </c>
      <c r="M1609" s="21" t="s">
        <v>62</v>
      </c>
      <c r="N1609" s="21" t="s">
        <v>624</v>
      </c>
    </row>
    <row r="1610" spans="1:14" ht="64.05" customHeight="1">
      <c r="A1610" s="20" t="s">
        <v>4313</v>
      </c>
      <c r="B1610" s="20" t="s">
        <v>30</v>
      </c>
      <c r="C1610" s="20" t="s">
        <v>180</v>
      </c>
      <c r="D1610" s="20" t="s">
        <v>181</v>
      </c>
      <c r="E1610" s="20" t="s">
        <v>4421</v>
      </c>
      <c r="F1610" s="20">
        <v>1</v>
      </c>
      <c r="G1610" s="20" t="s">
        <v>4422</v>
      </c>
      <c r="H1610" s="20" t="s">
        <v>4423</v>
      </c>
      <c r="I1610" s="21" t="s">
        <v>4424</v>
      </c>
      <c r="J1610" s="21"/>
      <c r="K1610" s="21" t="s">
        <v>4425</v>
      </c>
      <c r="L1610" s="21" t="s">
        <v>4426</v>
      </c>
      <c r="M1610" s="21" t="s">
        <v>73</v>
      </c>
      <c r="N1610" s="21"/>
    </row>
    <row r="1611" spans="1:14" ht="64.05" customHeight="1">
      <c r="A1611" s="20" t="s">
        <v>4313</v>
      </c>
      <c r="B1611" s="20" t="s">
        <v>30</v>
      </c>
      <c r="C1611" s="20" t="s">
        <v>180</v>
      </c>
      <c r="D1611" s="20" t="s">
        <v>181</v>
      </c>
      <c r="E1611" s="20" t="s">
        <v>4427</v>
      </c>
      <c r="F1611" s="20">
        <v>1</v>
      </c>
      <c r="G1611" s="20" t="s">
        <v>4428</v>
      </c>
      <c r="H1611" s="20" t="s">
        <v>4429</v>
      </c>
      <c r="I1611" s="21" t="s">
        <v>4430</v>
      </c>
      <c r="J1611" s="21"/>
      <c r="K1611" s="21" t="s">
        <v>4431</v>
      </c>
      <c r="L1611" s="21" t="s">
        <v>4432</v>
      </c>
      <c r="M1611" s="21" t="s">
        <v>102</v>
      </c>
      <c r="N1611" s="21"/>
    </row>
    <row r="1612" spans="1:14" ht="64.05" customHeight="1">
      <c r="A1612" s="20" t="s">
        <v>4313</v>
      </c>
      <c r="B1612" s="20" t="s">
        <v>30</v>
      </c>
      <c r="C1612" s="20" t="s">
        <v>188</v>
      </c>
      <c r="D1612" s="20" t="s">
        <v>189</v>
      </c>
      <c r="E1612" s="20" t="s">
        <v>4433</v>
      </c>
      <c r="F1612" s="20">
        <v>1</v>
      </c>
      <c r="G1612" s="20"/>
      <c r="H1612" s="20" t="s">
        <v>4434</v>
      </c>
      <c r="I1612" s="21" t="s">
        <v>3247</v>
      </c>
      <c r="J1612" s="21" t="s">
        <v>245</v>
      </c>
      <c r="K1612" s="21" t="s">
        <v>4435</v>
      </c>
      <c r="L1612" s="21" t="s">
        <v>4436</v>
      </c>
      <c r="M1612" s="21" t="s">
        <v>73</v>
      </c>
      <c r="N1612" s="21"/>
    </row>
    <row r="1613" spans="1:14" ht="64.05" customHeight="1">
      <c r="A1613" s="20" t="s">
        <v>4313</v>
      </c>
      <c r="B1613" s="20" t="s">
        <v>30</v>
      </c>
      <c r="C1613" s="20" t="s">
        <v>188</v>
      </c>
      <c r="D1613" s="20" t="s">
        <v>189</v>
      </c>
      <c r="E1613" s="20" t="s">
        <v>4437</v>
      </c>
      <c r="F1613" s="20">
        <v>1</v>
      </c>
      <c r="G1613" s="20" t="s">
        <v>481</v>
      </c>
      <c r="H1613" s="20" t="s">
        <v>4434</v>
      </c>
      <c r="I1613" s="21" t="s">
        <v>4438</v>
      </c>
      <c r="J1613" s="21"/>
      <c r="K1613" s="21" t="s">
        <v>78</v>
      </c>
      <c r="L1613" s="21" t="s">
        <v>4439</v>
      </c>
      <c r="M1613" s="21" t="s">
        <v>73</v>
      </c>
      <c r="N1613" s="21"/>
    </row>
    <row r="1614" spans="1:14" ht="64.05" customHeight="1">
      <c r="A1614" s="20" t="s">
        <v>4313</v>
      </c>
      <c r="B1614" s="20" t="s">
        <v>30</v>
      </c>
      <c r="C1614" s="20" t="s">
        <v>188</v>
      </c>
      <c r="D1614" s="20" t="s">
        <v>189</v>
      </c>
      <c r="E1614" s="20" t="s">
        <v>4440</v>
      </c>
      <c r="F1614" s="20">
        <v>1</v>
      </c>
      <c r="G1614" s="20" t="s">
        <v>481</v>
      </c>
      <c r="H1614" s="20" t="s">
        <v>4434</v>
      </c>
      <c r="I1614" s="21" t="s">
        <v>4441</v>
      </c>
      <c r="J1614" s="21"/>
      <c r="K1614" s="21" t="s">
        <v>78</v>
      </c>
      <c r="L1614" s="21" t="s">
        <v>4439</v>
      </c>
      <c r="M1614" s="21" t="s">
        <v>73</v>
      </c>
      <c r="N1614" s="21"/>
    </row>
    <row r="1615" spans="1:14" ht="64.05" customHeight="1">
      <c r="A1615" s="20" t="s">
        <v>4313</v>
      </c>
      <c r="B1615" s="20" t="s">
        <v>26</v>
      </c>
      <c r="C1615" s="20" t="s">
        <v>196</v>
      </c>
      <c r="D1615" s="20" t="s">
        <v>197</v>
      </c>
      <c r="E1615" s="20" t="s">
        <v>4442</v>
      </c>
      <c r="F1615" s="20">
        <v>1</v>
      </c>
      <c r="G1615" s="20" t="s">
        <v>2297</v>
      </c>
      <c r="H1615" s="20" t="s">
        <v>509</v>
      </c>
      <c r="I1615" s="21" t="s">
        <v>406</v>
      </c>
      <c r="J1615" s="21"/>
      <c r="K1615" s="21" t="s">
        <v>406</v>
      </c>
      <c r="L1615" s="21" t="s">
        <v>4443</v>
      </c>
      <c r="M1615" s="21" t="s">
        <v>102</v>
      </c>
      <c r="N1615" s="21"/>
    </row>
    <row r="1616" spans="1:14" ht="64.05" customHeight="1">
      <c r="A1616" s="20" t="s">
        <v>4313</v>
      </c>
      <c r="B1616" s="20" t="s">
        <v>33</v>
      </c>
      <c r="C1616" s="20" t="s">
        <v>2103</v>
      </c>
      <c r="D1616" s="20" t="s">
        <v>2104</v>
      </c>
      <c r="E1616" s="20" t="s">
        <v>4444</v>
      </c>
      <c r="F1616" s="20">
        <v>1</v>
      </c>
      <c r="G1616" s="20" t="s">
        <v>92</v>
      </c>
      <c r="H1616" s="20"/>
      <c r="I1616" s="21" t="s">
        <v>2327</v>
      </c>
      <c r="J1616" s="21"/>
      <c r="K1616" s="21" t="s">
        <v>109</v>
      </c>
      <c r="L1616" s="21" t="s">
        <v>4445</v>
      </c>
      <c r="M1616" s="21" t="s">
        <v>73</v>
      </c>
      <c r="N1616" s="21"/>
    </row>
    <row r="1617" spans="1:14" ht="64.05" customHeight="1">
      <c r="A1617" s="20" t="s">
        <v>4313</v>
      </c>
      <c r="B1617" s="20" t="s">
        <v>32</v>
      </c>
      <c r="C1617" s="20" t="s">
        <v>200</v>
      </c>
      <c r="D1617" s="20" t="s">
        <v>201</v>
      </c>
      <c r="E1617" s="20" t="s">
        <v>4446</v>
      </c>
      <c r="F1617" s="20">
        <v>1</v>
      </c>
      <c r="G1617" s="20" t="s">
        <v>92</v>
      </c>
      <c r="H1617" s="20"/>
      <c r="I1617" s="21" t="s">
        <v>4447</v>
      </c>
      <c r="J1617" s="21"/>
      <c r="K1617" s="21"/>
      <c r="L1617" s="21" t="s">
        <v>4448</v>
      </c>
      <c r="M1617" s="21" t="s">
        <v>73</v>
      </c>
      <c r="N1617" s="21"/>
    </row>
    <row r="1618" spans="1:14" ht="64.05" customHeight="1">
      <c r="A1618" s="20" t="s">
        <v>4313</v>
      </c>
      <c r="B1618" s="20" t="s">
        <v>32</v>
      </c>
      <c r="C1618" s="20" t="s">
        <v>200</v>
      </c>
      <c r="D1618" s="20" t="s">
        <v>201</v>
      </c>
      <c r="E1618" s="20" t="s">
        <v>4449</v>
      </c>
      <c r="F1618" s="20">
        <v>1</v>
      </c>
      <c r="G1618" s="20" t="s">
        <v>92</v>
      </c>
      <c r="H1618" s="20"/>
      <c r="I1618" s="21" t="s">
        <v>4311</v>
      </c>
      <c r="J1618" s="21"/>
      <c r="K1618" s="21"/>
      <c r="L1618" s="21" t="s">
        <v>4448</v>
      </c>
      <c r="M1618" s="21" t="s">
        <v>73</v>
      </c>
      <c r="N1618" s="21"/>
    </row>
    <row r="1619" spans="1:14" ht="64.05" customHeight="1">
      <c r="A1619" s="20" t="s">
        <v>4313</v>
      </c>
      <c r="B1619" s="20" t="s">
        <v>32</v>
      </c>
      <c r="C1619" s="20" t="s">
        <v>200</v>
      </c>
      <c r="D1619" s="20" t="s">
        <v>201</v>
      </c>
      <c r="E1619" s="20" t="s">
        <v>4450</v>
      </c>
      <c r="F1619" s="20">
        <v>1</v>
      </c>
      <c r="G1619" s="20" t="s">
        <v>92</v>
      </c>
      <c r="H1619" s="20"/>
      <c r="I1619" s="21" t="s">
        <v>4311</v>
      </c>
      <c r="J1619" s="21"/>
      <c r="K1619" s="21"/>
      <c r="L1619" s="21" t="s">
        <v>4448</v>
      </c>
      <c r="M1619" s="21" t="s">
        <v>73</v>
      </c>
      <c r="N1619" s="21"/>
    </row>
    <row r="1620" spans="1:14" ht="64.05" customHeight="1">
      <c r="A1620" s="20" t="s">
        <v>4313</v>
      </c>
      <c r="B1620" s="20" t="s">
        <v>32</v>
      </c>
      <c r="C1620" s="20" t="s">
        <v>200</v>
      </c>
      <c r="D1620" s="20" t="s">
        <v>201</v>
      </c>
      <c r="E1620" s="20" t="s">
        <v>4451</v>
      </c>
      <c r="F1620" s="20">
        <v>1</v>
      </c>
      <c r="G1620" s="20" t="s">
        <v>92</v>
      </c>
      <c r="H1620" s="20"/>
      <c r="I1620" s="21" t="s">
        <v>3700</v>
      </c>
      <c r="J1620" s="21"/>
      <c r="K1620" s="21"/>
      <c r="L1620" s="21" t="s">
        <v>4452</v>
      </c>
      <c r="M1620" s="21" t="s">
        <v>73</v>
      </c>
      <c r="N1620" s="21"/>
    </row>
    <row r="1621" spans="1:14" ht="64.05" customHeight="1">
      <c r="A1621" s="20" t="s">
        <v>4313</v>
      </c>
      <c r="B1621" s="20" t="s">
        <v>32</v>
      </c>
      <c r="C1621" s="20" t="s">
        <v>200</v>
      </c>
      <c r="D1621" s="20" t="s">
        <v>201</v>
      </c>
      <c r="E1621" s="20" t="s">
        <v>4453</v>
      </c>
      <c r="F1621" s="20">
        <v>1</v>
      </c>
      <c r="G1621" s="20" t="s">
        <v>92</v>
      </c>
      <c r="H1621" s="20"/>
      <c r="I1621" s="21" t="s">
        <v>406</v>
      </c>
      <c r="J1621" s="21"/>
      <c r="K1621" s="21" t="s">
        <v>406</v>
      </c>
      <c r="L1621" s="21" t="s">
        <v>4454</v>
      </c>
      <c r="M1621" s="21" t="s">
        <v>62</v>
      </c>
      <c r="N1621" s="21" t="s">
        <v>712</v>
      </c>
    </row>
    <row r="1622" spans="1:14" ht="64.05" customHeight="1">
      <c r="A1622" s="20" t="s">
        <v>4313</v>
      </c>
      <c r="B1622" s="20" t="s">
        <v>32</v>
      </c>
      <c r="C1622" s="20" t="s">
        <v>200</v>
      </c>
      <c r="D1622" s="20" t="s">
        <v>201</v>
      </c>
      <c r="E1622" s="20" t="s">
        <v>4455</v>
      </c>
      <c r="F1622" s="20">
        <v>1</v>
      </c>
      <c r="G1622" s="20" t="s">
        <v>92</v>
      </c>
      <c r="H1622" s="20"/>
      <c r="I1622" s="21" t="s">
        <v>406</v>
      </c>
      <c r="J1622" s="21"/>
      <c r="K1622" s="21" t="s">
        <v>406</v>
      </c>
      <c r="L1622" s="21" t="s">
        <v>4456</v>
      </c>
      <c r="M1622" s="21" t="s">
        <v>62</v>
      </c>
      <c r="N1622" s="21" t="s">
        <v>712</v>
      </c>
    </row>
    <row r="1623" spans="1:14" ht="64.05" customHeight="1">
      <c r="A1623" s="20" t="s">
        <v>4313</v>
      </c>
      <c r="B1623" s="20" t="s">
        <v>29</v>
      </c>
      <c r="C1623" s="20" t="s">
        <v>1084</v>
      </c>
      <c r="D1623" s="20" t="s">
        <v>1085</v>
      </c>
      <c r="E1623" s="20" t="s">
        <v>4457</v>
      </c>
      <c r="F1623" s="20">
        <v>1</v>
      </c>
      <c r="G1623" s="20" t="s">
        <v>752</v>
      </c>
      <c r="H1623" s="20" t="s">
        <v>1560</v>
      </c>
      <c r="I1623" s="21" t="s">
        <v>4458</v>
      </c>
      <c r="J1623" s="21"/>
      <c r="K1623" s="21" t="s">
        <v>4459</v>
      </c>
      <c r="L1623" s="21" t="s">
        <v>4460</v>
      </c>
      <c r="M1623" s="21" t="s">
        <v>73</v>
      </c>
      <c r="N1623" s="21"/>
    </row>
    <row r="1624" spans="1:14" ht="64.05" customHeight="1">
      <c r="A1624" s="20" t="s">
        <v>4313</v>
      </c>
      <c r="B1624" s="20" t="s">
        <v>29</v>
      </c>
      <c r="C1624" s="20" t="s">
        <v>1084</v>
      </c>
      <c r="D1624" s="20" t="s">
        <v>1085</v>
      </c>
      <c r="E1624" s="20" t="s">
        <v>4461</v>
      </c>
      <c r="F1624" s="20">
        <v>1</v>
      </c>
      <c r="G1624" s="20" t="s">
        <v>752</v>
      </c>
      <c r="H1624" s="20" t="s">
        <v>1560</v>
      </c>
      <c r="I1624" s="21" t="s">
        <v>4458</v>
      </c>
      <c r="J1624" s="21"/>
      <c r="K1624" s="21" t="s">
        <v>4459</v>
      </c>
      <c r="L1624" s="21" t="s">
        <v>4460</v>
      </c>
      <c r="M1624" s="21" t="s">
        <v>73</v>
      </c>
      <c r="N1624" s="21"/>
    </row>
    <row r="1625" spans="1:14" ht="64.05" customHeight="1">
      <c r="A1625" s="20" t="s">
        <v>4313</v>
      </c>
      <c r="B1625" s="20" t="s">
        <v>29</v>
      </c>
      <c r="C1625" s="20" t="s">
        <v>1084</v>
      </c>
      <c r="D1625" s="20" t="s">
        <v>1085</v>
      </c>
      <c r="E1625" s="20" t="s">
        <v>4462</v>
      </c>
      <c r="F1625" s="20">
        <v>1</v>
      </c>
      <c r="G1625" s="20" t="s">
        <v>92</v>
      </c>
      <c r="H1625" s="20"/>
      <c r="I1625" s="21" t="s">
        <v>4463</v>
      </c>
      <c r="J1625" s="21"/>
      <c r="K1625" s="21" t="s">
        <v>109</v>
      </c>
      <c r="L1625" s="21" t="s">
        <v>4464</v>
      </c>
      <c r="M1625" s="21" t="s">
        <v>73</v>
      </c>
      <c r="N1625" s="21"/>
    </row>
    <row r="1626" spans="1:14" ht="64.05" customHeight="1">
      <c r="A1626" s="20" t="s">
        <v>4313</v>
      </c>
      <c r="B1626" s="20" t="s">
        <v>29</v>
      </c>
      <c r="C1626" s="20" t="s">
        <v>1084</v>
      </c>
      <c r="D1626" s="20" t="s">
        <v>1085</v>
      </c>
      <c r="E1626" s="20" t="s">
        <v>4465</v>
      </c>
      <c r="F1626" s="20">
        <v>1</v>
      </c>
      <c r="G1626" s="20" t="s">
        <v>92</v>
      </c>
      <c r="H1626" s="20"/>
      <c r="I1626" s="21" t="s">
        <v>4466</v>
      </c>
      <c r="J1626" s="21"/>
      <c r="K1626" s="21" t="s">
        <v>109</v>
      </c>
      <c r="L1626" s="21" t="s">
        <v>4467</v>
      </c>
      <c r="M1626" s="21" t="s">
        <v>102</v>
      </c>
      <c r="N1626" s="21"/>
    </row>
    <row r="1627" spans="1:14" ht="64.05" customHeight="1">
      <c r="A1627" s="20" t="s">
        <v>4313</v>
      </c>
      <c r="B1627" s="20" t="s">
        <v>29</v>
      </c>
      <c r="C1627" s="20" t="s">
        <v>1084</v>
      </c>
      <c r="D1627" s="20" t="s">
        <v>1085</v>
      </c>
      <c r="E1627" s="20" t="s">
        <v>4468</v>
      </c>
      <c r="F1627" s="20">
        <v>1</v>
      </c>
      <c r="G1627" s="20" t="s">
        <v>92</v>
      </c>
      <c r="H1627" s="20"/>
      <c r="I1627" s="21" t="s">
        <v>4469</v>
      </c>
      <c r="J1627" s="21"/>
      <c r="K1627" s="21" t="s">
        <v>109</v>
      </c>
      <c r="L1627" s="21" t="s">
        <v>4470</v>
      </c>
      <c r="M1627" s="21" t="s">
        <v>73</v>
      </c>
      <c r="N1627" s="21"/>
    </row>
    <row r="1628" spans="1:14" ht="64.05" customHeight="1">
      <c r="A1628" s="20" t="s">
        <v>4313</v>
      </c>
      <c r="B1628" s="20" t="s">
        <v>29</v>
      </c>
      <c r="C1628" s="20" t="s">
        <v>1084</v>
      </c>
      <c r="D1628" s="20" t="s">
        <v>1085</v>
      </c>
      <c r="E1628" s="20" t="s">
        <v>4471</v>
      </c>
      <c r="F1628" s="20">
        <v>1</v>
      </c>
      <c r="G1628" s="20" t="s">
        <v>752</v>
      </c>
      <c r="H1628" s="20" t="s">
        <v>1560</v>
      </c>
      <c r="I1628" s="21" t="s">
        <v>4472</v>
      </c>
      <c r="J1628" s="21" t="s">
        <v>245</v>
      </c>
      <c r="K1628" s="21" t="s">
        <v>4473</v>
      </c>
      <c r="L1628" s="21" t="s">
        <v>4474</v>
      </c>
      <c r="M1628" s="21" t="s">
        <v>73</v>
      </c>
      <c r="N1628" s="21"/>
    </row>
    <row r="1629" spans="1:14" ht="64.05" customHeight="1">
      <c r="A1629" s="20" t="s">
        <v>4313</v>
      </c>
      <c r="B1629" s="20" t="s">
        <v>29</v>
      </c>
      <c r="C1629" s="20" t="s">
        <v>1084</v>
      </c>
      <c r="D1629" s="20" t="s">
        <v>1085</v>
      </c>
      <c r="E1629" s="20" t="s">
        <v>4475</v>
      </c>
      <c r="F1629" s="20">
        <v>1</v>
      </c>
      <c r="G1629" s="20" t="s">
        <v>752</v>
      </c>
      <c r="H1629" s="20" t="s">
        <v>1560</v>
      </c>
      <c r="I1629" s="21" t="s">
        <v>4476</v>
      </c>
      <c r="J1629" s="21" t="s">
        <v>245</v>
      </c>
      <c r="K1629" s="21" t="s">
        <v>4473</v>
      </c>
      <c r="L1629" s="21" t="s">
        <v>4474</v>
      </c>
      <c r="M1629" s="21" t="s">
        <v>73</v>
      </c>
      <c r="N1629" s="21"/>
    </row>
    <row r="1630" spans="1:14" ht="64.05" customHeight="1">
      <c r="A1630" s="20" t="s">
        <v>4477</v>
      </c>
      <c r="B1630" s="20" t="s">
        <v>20</v>
      </c>
      <c r="C1630" s="20" t="s">
        <v>65</v>
      </c>
      <c r="D1630" s="20" t="s">
        <v>66</v>
      </c>
      <c r="E1630" s="20" t="s">
        <v>4478</v>
      </c>
      <c r="F1630" s="20">
        <v>1</v>
      </c>
      <c r="G1630" s="20" t="s">
        <v>311</v>
      </c>
      <c r="H1630" s="20" t="s">
        <v>2285</v>
      </c>
      <c r="I1630" s="21" t="s">
        <v>140</v>
      </c>
      <c r="J1630" s="21"/>
      <c r="K1630" s="21" t="s">
        <v>141</v>
      </c>
      <c r="L1630" s="21" t="s">
        <v>4479</v>
      </c>
      <c r="M1630" s="21" t="s">
        <v>62</v>
      </c>
      <c r="N1630" s="21" t="s">
        <v>63</v>
      </c>
    </row>
    <row r="1631" spans="1:14" ht="64.05" customHeight="1">
      <c r="A1631" s="20" t="s">
        <v>4477</v>
      </c>
      <c r="B1631" s="20" t="s">
        <v>20</v>
      </c>
      <c r="C1631" s="20" t="s">
        <v>65</v>
      </c>
      <c r="D1631" s="20" t="s">
        <v>66</v>
      </c>
      <c r="E1631" s="20" t="s">
        <v>4480</v>
      </c>
      <c r="F1631" s="20">
        <v>1</v>
      </c>
      <c r="G1631" s="20" t="s">
        <v>311</v>
      </c>
      <c r="H1631" s="20" t="s">
        <v>2285</v>
      </c>
      <c r="I1631" s="21" t="s">
        <v>140</v>
      </c>
      <c r="J1631" s="21"/>
      <c r="K1631" s="21" t="s">
        <v>141</v>
      </c>
      <c r="L1631" s="21" t="s">
        <v>4479</v>
      </c>
      <c r="M1631" s="21" t="s">
        <v>62</v>
      </c>
      <c r="N1631" s="21" t="s">
        <v>63</v>
      </c>
    </row>
    <row r="1632" spans="1:14" ht="64.05" customHeight="1">
      <c r="A1632" s="20" t="s">
        <v>4477</v>
      </c>
      <c r="B1632" s="20" t="s">
        <v>20</v>
      </c>
      <c r="C1632" s="20" t="s">
        <v>65</v>
      </c>
      <c r="D1632" s="20" t="s">
        <v>66</v>
      </c>
      <c r="E1632" s="20" t="s">
        <v>4481</v>
      </c>
      <c r="F1632" s="20">
        <v>1</v>
      </c>
      <c r="G1632" s="20" t="s">
        <v>4482</v>
      </c>
      <c r="H1632" s="20" t="s">
        <v>4483</v>
      </c>
      <c r="I1632" s="21" t="s">
        <v>4484</v>
      </c>
      <c r="J1632" s="21" t="s">
        <v>245</v>
      </c>
      <c r="K1632" s="21" t="s">
        <v>4485</v>
      </c>
      <c r="L1632" s="21" t="s">
        <v>4486</v>
      </c>
      <c r="M1632" s="21" t="s">
        <v>73</v>
      </c>
      <c r="N1632" s="21"/>
    </row>
    <row r="1633" spans="1:14" ht="64.05" customHeight="1">
      <c r="A1633" s="20" t="s">
        <v>4477</v>
      </c>
      <c r="B1633" s="20" t="s">
        <v>20</v>
      </c>
      <c r="C1633" s="20" t="s">
        <v>65</v>
      </c>
      <c r="D1633" s="20" t="s">
        <v>66</v>
      </c>
      <c r="E1633" s="20" t="s">
        <v>4487</v>
      </c>
      <c r="F1633" s="20">
        <v>1</v>
      </c>
      <c r="G1633" s="20" t="s">
        <v>4482</v>
      </c>
      <c r="H1633" s="20" t="s">
        <v>4483</v>
      </c>
      <c r="I1633" s="21" t="s">
        <v>4488</v>
      </c>
      <c r="J1633" s="21" t="s">
        <v>245</v>
      </c>
      <c r="K1633" s="21" t="s">
        <v>4485</v>
      </c>
      <c r="L1633" s="21" t="s">
        <v>4486</v>
      </c>
      <c r="M1633" s="21" t="s">
        <v>73</v>
      </c>
      <c r="N1633" s="21"/>
    </row>
    <row r="1634" spans="1:14" ht="64.05" customHeight="1">
      <c r="A1634" s="20" t="s">
        <v>4477</v>
      </c>
      <c r="B1634" s="20" t="s">
        <v>20</v>
      </c>
      <c r="C1634" s="20" t="s">
        <v>65</v>
      </c>
      <c r="D1634" s="20" t="s">
        <v>66</v>
      </c>
      <c r="E1634" s="20" t="s">
        <v>4489</v>
      </c>
      <c r="F1634" s="20">
        <v>1</v>
      </c>
      <c r="G1634" s="20" t="s">
        <v>4482</v>
      </c>
      <c r="H1634" s="20" t="s">
        <v>4483</v>
      </c>
      <c r="I1634" s="21" t="s">
        <v>4484</v>
      </c>
      <c r="J1634" s="21" t="s">
        <v>245</v>
      </c>
      <c r="K1634" s="21" t="s">
        <v>4485</v>
      </c>
      <c r="L1634" s="21" t="s">
        <v>4486</v>
      </c>
      <c r="M1634" s="21" t="s">
        <v>73</v>
      </c>
      <c r="N1634" s="21"/>
    </row>
    <row r="1635" spans="1:14" ht="64.05" customHeight="1">
      <c r="A1635" s="20" t="s">
        <v>4477</v>
      </c>
      <c r="B1635" s="20" t="s">
        <v>20</v>
      </c>
      <c r="C1635" s="20" t="s">
        <v>65</v>
      </c>
      <c r="D1635" s="20" t="s">
        <v>66</v>
      </c>
      <c r="E1635" s="20" t="s">
        <v>4490</v>
      </c>
      <c r="F1635" s="20">
        <v>1</v>
      </c>
      <c r="G1635" s="20" t="s">
        <v>4482</v>
      </c>
      <c r="H1635" s="20" t="s">
        <v>4483</v>
      </c>
      <c r="I1635" s="21" t="s">
        <v>4491</v>
      </c>
      <c r="J1635" s="21" t="s">
        <v>245</v>
      </c>
      <c r="K1635" s="21" t="s">
        <v>4485</v>
      </c>
      <c r="L1635" s="21" t="s">
        <v>4486</v>
      </c>
      <c r="M1635" s="21" t="s">
        <v>73</v>
      </c>
      <c r="N1635" s="21"/>
    </row>
    <row r="1636" spans="1:14" ht="64.05" customHeight="1">
      <c r="A1636" s="20" t="s">
        <v>4477</v>
      </c>
      <c r="B1636" s="20" t="s">
        <v>20</v>
      </c>
      <c r="C1636" s="20" t="s">
        <v>65</v>
      </c>
      <c r="D1636" s="20" t="s">
        <v>66</v>
      </c>
      <c r="E1636" s="20" t="s">
        <v>4492</v>
      </c>
      <c r="F1636" s="20">
        <v>1</v>
      </c>
      <c r="G1636" s="20" t="s">
        <v>4493</v>
      </c>
      <c r="H1636" s="20" t="s">
        <v>488</v>
      </c>
      <c r="I1636" s="21" t="s">
        <v>4494</v>
      </c>
      <c r="J1636" s="21"/>
      <c r="K1636" s="21" t="s">
        <v>4495</v>
      </c>
      <c r="L1636" s="21" t="s">
        <v>4496</v>
      </c>
      <c r="M1636" s="21" t="s">
        <v>73</v>
      </c>
      <c r="N1636" s="21"/>
    </row>
    <row r="1637" spans="1:14" ht="64.05" customHeight="1">
      <c r="A1637" s="20" t="s">
        <v>4477</v>
      </c>
      <c r="B1637" s="20" t="s">
        <v>20</v>
      </c>
      <c r="C1637" s="20" t="s">
        <v>65</v>
      </c>
      <c r="D1637" s="20" t="s">
        <v>66</v>
      </c>
      <c r="E1637" s="20" t="s">
        <v>4497</v>
      </c>
      <c r="F1637" s="20">
        <v>1</v>
      </c>
      <c r="G1637" s="20" t="s">
        <v>4482</v>
      </c>
      <c r="H1637" s="20" t="s">
        <v>4483</v>
      </c>
      <c r="I1637" s="21" t="s">
        <v>4498</v>
      </c>
      <c r="J1637" s="21" t="s">
        <v>245</v>
      </c>
      <c r="K1637" s="21" t="s">
        <v>4485</v>
      </c>
      <c r="L1637" s="21" t="s">
        <v>4499</v>
      </c>
      <c r="M1637" s="21" t="s">
        <v>73</v>
      </c>
      <c r="N1637" s="21"/>
    </row>
    <row r="1638" spans="1:14" ht="64.05" customHeight="1">
      <c r="A1638" s="20" t="s">
        <v>4477</v>
      </c>
      <c r="B1638" s="20" t="s">
        <v>20</v>
      </c>
      <c r="C1638" s="20" t="s">
        <v>65</v>
      </c>
      <c r="D1638" s="20" t="s">
        <v>66</v>
      </c>
      <c r="E1638" s="20" t="s">
        <v>4500</v>
      </c>
      <c r="F1638" s="20">
        <v>1</v>
      </c>
      <c r="G1638" s="20" t="s">
        <v>4482</v>
      </c>
      <c r="H1638" s="20" t="s">
        <v>4483</v>
      </c>
      <c r="I1638" s="21" t="s">
        <v>4501</v>
      </c>
      <c r="J1638" s="21" t="s">
        <v>245</v>
      </c>
      <c r="K1638" s="21" t="s">
        <v>4485</v>
      </c>
      <c r="L1638" s="21" t="s">
        <v>4499</v>
      </c>
      <c r="M1638" s="21" t="s">
        <v>73</v>
      </c>
      <c r="N1638" s="21"/>
    </row>
    <row r="1639" spans="1:14" ht="64.05" customHeight="1">
      <c r="A1639" s="20" t="s">
        <v>4477</v>
      </c>
      <c r="B1639" s="20" t="s">
        <v>20</v>
      </c>
      <c r="C1639" s="20" t="s">
        <v>65</v>
      </c>
      <c r="D1639" s="20" t="s">
        <v>66</v>
      </c>
      <c r="E1639" s="20" t="s">
        <v>4502</v>
      </c>
      <c r="F1639" s="20">
        <v>1</v>
      </c>
      <c r="G1639" s="20" t="s">
        <v>4482</v>
      </c>
      <c r="H1639" s="20" t="s">
        <v>4483</v>
      </c>
      <c r="I1639" s="21" t="s">
        <v>4503</v>
      </c>
      <c r="J1639" s="21" t="s">
        <v>245</v>
      </c>
      <c r="K1639" s="21" t="s">
        <v>4485</v>
      </c>
      <c r="L1639" s="21" t="s">
        <v>4499</v>
      </c>
      <c r="M1639" s="21" t="s">
        <v>73</v>
      </c>
      <c r="N1639" s="21"/>
    </row>
    <row r="1640" spans="1:14" ht="64.05" customHeight="1">
      <c r="A1640" s="20" t="s">
        <v>4477</v>
      </c>
      <c r="B1640" s="20" t="s">
        <v>20</v>
      </c>
      <c r="C1640" s="20" t="s">
        <v>65</v>
      </c>
      <c r="D1640" s="20" t="s">
        <v>66</v>
      </c>
      <c r="E1640" s="20" t="s">
        <v>4504</v>
      </c>
      <c r="F1640" s="20">
        <v>1</v>
      </c>
      <c r="G1640" s="20" t="s">
        <v>92</v>
      </c>
      <c r="H1640" s="20"/>
      <c r="I1640" s="21" t="s">
        <v>4505</v>
      </c>
      <c r="J1640" s="21"/>
      <c r="K1640" s="21" t="s">
        <v>4506</v>
      </c>
      <c r="L1640" s="21" t="s">
        <v>4507</v>
      </c>
      <c r="M1640" s="21" t="s">
        <v>73</v>
      </c>
      <c r="N1640" s="21"/>
    </row>
    <row r="1641" spans="1:14" ht="64.05" customHeight="1">
      <c r="A1641" s="20" t="s">
        <v>4477</v>
      </c>
      <c r="B1641" s="20" t="s">
        <v>22</v>
      </c>
      <c r="C1641" s="20" t="s">
        <v>370</v>
      </c>
      <c r="D1641" s="20" t="s">
        <v>371</v>
      </c>
      <c r="E1641" s="20" t="s">
        <v>4508</v>
      </c>
      <c r="F1641" s="20">
        <v>1</v>
      </c>
      <c r="G1641" s="20" t="s">
        <v>139</v>
      </c>
      <c r="H1641" s="20"/>
      <c r="I1641" s="21" t="s">
        <v>4509</v>
      </c>
      <c r="J1641" s="21"/>
      <c r="K1641" s="21" t="s">
        <v>4510</v>
      </c>
      <c r="L1641" s="21" t="s">
        <v>4511</v>
      </c>
      <c r="M1641" s="21" t="s">
        <v>73</v>
      </c>
      <c r="N1641" s="21"/>
    </row>
    <row r="1642" spans="1:14" ht="64.05" customHeight="1">
      <c r="A1642" s="20" t="s">
        <v>4477</v>
      </c>
      <c r="B1642" s="20" t="s">
        <v>23</v>
      </c>
      <c r="C1642" s="20" t="s">
        <v>103</v>
      </c>
      <c r="D1642" s="20" t="s">
        <v>104</v>
      </c>
      <c r="E1642" s="20" t="s">
        <v>4512</v>
      </c>
      <c r="F1642" s="20">
        <v>1</v>
      </c>
      <c r="G1642" s="20" t="s">
        <v>4513</v>
      </c>
      <c r="H1642" s="20" t="s">
        <v>4514</v>
      </c>
      <c r="I1642" s="21" t="s">
        <v>4515</v>
      </c>
      <c r="J1642" s="21"/>
      <c r="K1642" s="21" t="s">
        <v>4516</v>
      </c>
      <c r="L1642" s="21" t="s">
        <v>4517</v>
      </c>
      <c r="M1642" s="21" t="s">
        <v>73</v>
      </c>
      <c r="N1642" s="21"/>
    </row>
    <row r="1643" spans="1:14" ht="64.05" customHeight="1">
      <c r="A1643" s="20" t="s">
        <v>4477</v>
      </c>
      <c r="B1643" s="20" t="s">
        <v>23</v>
      </c>
      <c r="C1643" s="20" t="s">
        <v>103</v>
      </c>
      <c r="D1643" s="20" t="s">
        <v>104</v>
      </c>
      <c r="E1643" s="20" t="s">
        <v>4518</v>
      </c>
      <c r="F1643" s="20">
        <v>1</v>
      </c>
      <c r="G1643" s="20" t="s">
        <v>4519</v>
      </c>
      <c r="H1643" s="20" t="s">
        <v>4520</v>
      </c>
      <c r="I1643" s="21" t="s">
        <v>4521</v>
      </c>
      <c r="J1643" s="21"/>
      <c r="K1643" s="21"/>
      <c r="L1643" s="21" t="s">
        <v>4522</v>
      </c>
      <c r="M1643" s="21" t="s">
        <v>62</v>
      </c>
      <c r="N1643" s="21" t="s">
        <v>299</v>
      </c>
    </row>
    <row r="1644" spans="1:14" ht="64.05" customHeight="1">
      <c r="A1644" s="20" t="s">
        <v>4477</v>
      </c>
      <c r="B1644" s="20" t="s">
        <v>23</v>
      </c>
      <c r="C1644" s="20" t="s">
        <v>103</v>
      </c>
      <c r="D1644" s="20" t="s">
        <v>104</v>
      </c>
      <c r="E1644" s="20" t="s">
        <v>4523</v>
      </c>
      <c r="F1644" s="20">
        <v>1</v>
      </c>
      <c r="G1644" s="20" t="s">
        <v>92</v>
      </c>
      <c r="H1644" s="20"/>
      <c r="I1644" s="21" t="s">
        <v>2240</v>
      </c>
      <c r="J1644" s="21"/>
      <c r="K1644" s="21" t="s">
        <v>4524</v>
      </c>
      <c r="L1644" s="21" t="s">
        <v>4525</v>
      </c>
      <c r="M1644" s="21" t="s">
        <v>62</v>
      </c>
      <c r="N1644" s="21" t="s">
        <v>161</v>
      </c>
    </row>
    <row r="1645" spans="1:14" ht="64.05" customHeight="1">
      <c r="A1645" s="20" t="s">
        <v>4477</v>
      </c>
      <c r="B1645" s="20" t="s">
        <v>23</v>
      </c>
      <c r="C1645" s="20" t="s">
        <v>103</v>
      </c>
      <c r="D1645" s="20" t="s">
        <v>104</v>
      </c>
      <c r="E1645" s="20" t="s">
        <v>4526</v>
      </c>
      <c r="F1645" s="20">
        <v>1</v>
      </c>
      <c r="G1645" s="20" t="s">
        <v>92</v>
      </c>
      <c r="H1645" s="20"/>
      <c r="I1645" s="21" t="s">
        <v>2240</v>
      </c>
      <c r="J1645" s="21"/>
      <c r="K1645" s="21" t="s">
        <v>4524</v>
      </c>
      <c r="L1645" s="21" t="s">
        <v>4527</v>
      </c>
      <c r="M1645" s="21" t="s">
        <v>62</v>
      </c>
      <c r="N1645" s="21" t="s">
        <v>161</v>
      </c>
    </row>
    <row r="1646" spans="1:14" ht="64.05" customHeight="1">
      <c r="A1646" s="20" t="s">
        <v>4477</v>
      </c>
      <c r="B1646" s="20" t="s">
        <v>23</v>
      </c>
      <c r="C1646" s="20" t="s">
        <v>103</v>
      </c>
      <c r="D1646" s="20" t="s">
        <v>104</v>
      </c>
      <c r="E1646" s="20" t="s">
        <v>4528</v>
      </c>
      <c r="F1646" s="20">
        <v>1</v>
      </c>
      <c r="G1646" s="20" t="s">
        <v>92</v>
      </c>
      <c r="H1646" s="20"/>
      <c r="I1646" s="21" t="s">
        <v>2240</v>
      </c>
      <c r="J1646" s="21"/>
      <c r="K1646" s="21" t="s">
        <v>4524</v>
      </c>
      <c r="L1646" s="21" t="s">
        <v>4529</v>
      </c>
      <c r="M1646" s="21" t="s">
        <v>62</v>
      </c>
      <c r="N1646" s="21" t="s">
        <v>161</v>
      </c>
    </row>
    <row r="1647" spans="1:14" ht="64.05" customHeight="1">
      <c r="A1647" s="20" t="s">
        <v>4477</v>
      </c>
      <c r="B1647" s="20" t="s">
        <v>23</v>
      </c>
      <c r="C1647" s="20" t="s">
        <v>103</v>
      </c>
      <c r="D1647" s="20" t="s">
        <v>104</v>
      </c>
      <c r="E1647" s="20" t="s">
        <v>4530</v>
      </c>
      <c r="F1647" s="20">
        <v>1</v>
      </c>
      <c r="G1647" s="20" t="s">
        <v>92</v>
      </c>
      <c r="H1647" s="20"/>
      <c r="I1647" s="21" t="s">
        <v>2240</v>
      </c>
      <c r="J1647" s="21"/>
      <c r="K1647" s="21" t="s">
        <v>4524</v>
      </c>
      <c r="L1647" s="21" t="s">
        <v>4531</v>
      </c>
      <c r="M1647" s="21" t="s">
        <v>62</v>
      </c>
      <c r="N1647" s="21" t="s">
        <v>161</v>
      </c>
    </row>
    <row r="1648" spans="1:14" ht="64.05" customHeight="1">
      <c r="A1648" s="20" t="s">
        <v>4477</v>
      </c>
      <c r="B1648" s="20" t="s">
        <v>23</v>
      </c>
      <c r="C1648" s="20" t="s">
        <v>103</v>
      </c>
      <c r="D1648" s="20" t="s">
        <v>104</v>
      </c>
      <c r="E1648" s="20" t="s">
        <v>4532</v>
      </c>
      <c r="F1648" s="20">
        <v>1</v>
      </c>
      <c r="G1648" s="20" t="s">
        <v>92</v>
      </c>
      <c r="H1648" s="20"/>
      <c r="I1648" s="21" t="s">
        <v>2240</v>
      </c>
      <c r="J1648" s="21"/>
      <c r="K1648" s="21" t="s">
        <v>4524</v>
      </c>
      <c r="L1648" s="21" t="s">
        <v>4533</v>
      </c>
      <c r="M1648" s="21" t="s">
        <v>62</v>
      </c>
      <c r="N1648" s="21" t="s">
        <v>161</v>
      </c>
    </row>
    <row r="1649" spans="1:14" ht="64.05" customHeight="1">
      <c r="A1649" s="20" t="s">
        <v>4477</v>
      </c>
      <c r="B1649" s="20" t="s">
        <v>25</v>
      </c>
      <c r="C1649" s="20" t="s">
        <v>3299</v>
      </c>
      <c r="D1649" s="20" t="s">
        <v>698</v>
      </c>
      <c r="E1649" s="20" t="s">
        <v>4534</v>
      </c>
      <c r="F1649" s="20">
        <v>1</v>
      </c>
      <c r="G1649" s="20" t="s">
        <v>4369</v>
      </c>
      <c r="H1649" s="20"/>
      <c r="I1649" s="21" t="s">
        <v>112</v>
      </c>
      <c r="J1649" s="21"/>
      <c r="K1649" s="21" t="s">
        <v>406</v>
      </c>
      <c r="L1649" s="21" t="s">
        <v>4535</v>
      </c>
      <c r="M1649" s="21" t="s">
        <v>102</v>
      </c>
      <c r="N1649" s="21"/>
    </row>
    <row r="1650" spans="1:14" ht="64.05" customHeight="1">
      <c r="A1650" s="20" t="s">
        <v>4477</v>
      </c>
      <c r="B1650" s="20" t="s">
        <v>25</v>
      </c>
      <c r="C1650" s="20" t="s">
        <v>3299</v>
      </c>
      <c r="D1650" s="20" t="s">
        <v>698</v>
      </c>
      <c r="E1650" s="20" t="s">
        <v>4536</v>
      </c>
      <c r="F1650" s="20">
        <v>1</v>
      </c>
      <c r="G1650" s="20" t="s">
        <v>4369</v>
      </c>
      <c r="H1650" s="20"/>
      <c r="I1650" s="21" t="s">
        <v>134</v>
      </c>
      <c r="J1650" s="21"/>
      <c r="K1650" s="21" t="s">
        <v>109</v>
      </c>
      <c r="L1650" s="21" t="s">
        <v>4537</v>
      </c>
      <c r="M1650" s="21" t="s">
        <v>102</v>
      </c>
      <c r="N1650" s="21"/>
    </row>
    <row r="1651" spans="1:14" ht="64.05" customHeight="1">
      <c r="A1651" s="20" t="s">
        <v>4477</v>
      </c>
      <c r="B1651" s="20" t="s">
        <v>25</v>
      </c>
      <c r="C1651" s="20" t="s">
        <v>3299</v>
      </c>
      <c r="D1651" s="20" t="s">
        <v>698</v>
      </c>
      <c r="E1651" s="20" t="s">
        <v>4538</v>
      </c>
      <c r="F1651" s="20">
        <v>1</v>
      </c>
      <c r="G1651" s="20" t="s">
        <v>4369</v>
      </c>
      <c r="H1651" s="20"/>
      <c r="I1651" s="21" t="s">
        <v>112</v>
      </c>
      <c r="J1651" s="21"/>
      <c r="K1651" s="21" t="s">
        <v>406</v>
      </c>
      <c r="L1651" s="21" t="s">
        <v>4535</v>
      </c>
      <c r="M1651" s="21" t="s">
        <v>102</v>
      </c>
      <c r="N1651" s="21"/>
    </row>
    <row r="1652" spans="1:14" ht="64.05" customHeight="1">
      <c r="A1652" s="20" t="s">
        <v>4477</v>
      </c>
      <c r="B1652" s="20" t="s">
        <v>25</v>
      </c>
      <c r="C1652" s="20" t="s">
        <v>3299</v>
      </c>
      <c r="D1652" s="20" t="s">
        <v>698</v>
      </c>
      <c r="E1652" s="20" t="s">
        <v>4539</v>
      </c>
      <c r="F1652" s="20">
        <v>1</v>
      </c>
      <c r="G1652" s="20" t="s">
        <v>4369</v>
      </c>
      <c r="H1652" s="20"/>
      <c r="I1652" s="21" t="s">
        <v>112</v>
      </c>
      <c r="J1652" s="21"/>
      <c r="K1652" s="21" t="s">
        <v>406</v>
      </c>
      <c r="L1652" s="21" t="s">
        <v>4535</v>
      </c>
      <c r="M1652" s="21" t="s">
        <v>102</v>
      </c>
      <c r="N1652" s="21"/>
    </row>
    <row r="1653" spans="1:14" ht="64.05" customHeight="1">
      <c r="A1653" s="20" t="s">
        <v>4477</v>
      </c>
      <c r="B1653" s="20" t="s">
        <v>25</v>
      </c>
      <c r="C1653" s="20" t="s">
        <v>3299</v>
      </c>
      <c r="D1653" s="20" t="s">
        <v>698</v>
      </c>
      <c r="E1653" s="20" t="s">
        <v>4540</v>
      </c>
      <c r="F1653" s="20">
        <v>1</v>
      </c>
      <c r="G1653" s="20" t="s">
        <v>4369</v>
      </c>
      <c r="H1653" s="20"/>
      <c r="I1653" s="21" t="s">
        <v>112</v>
      </c>
      <c r="J1653" s="21"/>
      <c r="K1653" s="21" t="s">
        <v>406</v>
      </c>
      <c r="L1653" s="21" t="s">
        <v>4535</v>
      </c>
      <c r="M1653" s="21" t="s">
        <v>102</v>
      </c>
      <c r="N1653" s="21"/>
    </row>
    <row r="1654" spans="1:14" ht="64.05" customHeight="1">
      <c r="A1654" s="20" t="s">
        <v>4477</v>
      </c>
      <c r="B1654" s="20" t="s">
        <v>25</v>
      </c>
      <c r="C1654" s="20" t="s">
        <v>3299</v>
      </c>
      <c r="D1654" s="20" t="s">
        <v>698</v>
      </c>
      <c r="E1654" s="20" t="s">
        <v>4541</v>
      </c>
      <c r="F1654" s="20">
        <v>1</v>
      </c>
      <c r="G1654" s="20" t="s">
        <v>4369</v>
      </c>
      <c r="H1654" s="20"/>
      <c r="I1654" s="21" t="s">
        <v>112</v>
      </c>
      <c r="J1654" s="21"/>
      <c r="K1654" s="21" t="s">
        <v>406</v>
      </c>
      <c r="L1654" s="21" t="s">
        <v>4535</v>
      </c>
      <c r="M1654" s="21" t="s">
        <v>102</v>
      </c>
      <c r="N1654" s="21"/>
    </row>
    <row r="1655" spans="1:14" ht="64.05" customHeight="1">
      <c r="A1655" s="20" t="s">
        <v>4477</v>
      </c>
      <c r="B1655" s="20" t="s">
        <v>25</v>
      </c>
      <c r="C1655" s="20" t="s">
        <v>3299</v>
      </c>
      <c r="D1655" s="20" t="s">
        <v>698</v>
      </c>
      <c r="E1655" s="20" t="s">
        <v>4542</v>
      </c>
      <c r="F1655" s="20">
        <v>1</v>
      </c>
      <c r="G1655" s="20" t="s">
        <v>4369</v>
      </c>
      <c r="H1655" s="20"/>
      <c r="I1655" s="21" t="s">
        <v>134</v>
      </c>
      <c r="J1655" s="21"/>
      <c r="K1655" s="21" t="s">
        <v>109</v>
      </c>
      <c r="L1655" s="21" t="s">
        <v>4535</v>
      </c>
      <c r="M1655" s="21" t="s">
        <v>102</v>
      </c>
      <c r="N1655" s="21"/>
    </row>
    <row r="1656" spans="1:14" ht="64.05" customHeight="1">
      <c r="A1656" s="20" t="s">
        <v>4477</v>
      </c>
      <c r="B1656" s="20" t="s">
        <v>25</v>
      </c>
      <c r="C1656" s="20" t="s">
        <v>115</v>
      </c>
      <c r="D1656" s="20" t="s">
        <v>116</v>
      </c>
      <c r="E1656" s="20" t="s">
        <v>4543</v>
      </c>
      <c r="F1656" s="20">
        <v>1</v>
      </c>
      <c r="G1656" s="20" t="s">
        <v>92</v>
      </c>
      <c r="H1656" s="20"/>
      <c r="I1656" s="21" t="s">
        <v>4544</v>
      </c>
      <c r="J1656" s="21"/>
      <c r="K1656" s="21" t="s">
        <v>1324</v>
      </c>
      <c r="L1656" s="21" t="s">
        <v>4545</v>
      </c>
      <c r="M1656" s="21" t="s">
        <v>62</v>
      </c>
      <c r="N1656" s="21" t="s">
        <v>63</v>
      </c>
    </row>
    <row r="1657" spans="1:14" ht="64.05" customHeight="1">
      <c r="A1657" s="20" t="s">
        <v>4477</v>
      </c>
      <c r="B1657" s="20" t="s">
        <v>24</v>
      </c>
      <c r="C1657" s="20" t="s">
        <v>426</v>
      </c>
      <c r="D1657" s="20" t="s">
        <v>427</v>
      </c>
      <c r="E1657" s="20" t="s">
        <v>4546</v>
      </c>
      <c r="F1657" s="20">
        <v>1</v>
      </c>
      <c r="G1657" s="20" t="s">
        <v>1863</v>
      </c>
      <c r="H1657" s="20" t="s">
        <v>4547</v>
      </c>
      <c r="I1657" s="21" t="s">
        <v>4548</v>
      </c>
      <c r="J1657" s="21"/>
      <c r="K1657" s="21" t="s">
        <v>4549</v>
      </c>
      <c r="L1657" s="21" t="s">
        <v>4550</v>
      </c>
      <c r="M1657" s="21" t="s">
        <v>62</v>
      </c>
      <c r="N1657" s="21" t="s">
        <v>1752</v>
      </c>
    </row>
    <row r="1658" spans="1:14" ht="64.05" customHeight="1">
      <c r="A1658" s="20" t="s">
        <v>4477</v>
      </c>
      <c r="B1658" s="20" t="s">
        <v>24</v>
      </c>
      <c r="C1658" s="20" t="s">
        <v>426</v>
      </c>
      <c r="D1658" s="20" t="s">
        <v>427</v>
      </c>
      <c r="E1658" s="20" t="s">
        <v>4551</v>
      </c>
      <c r="F1658" s="20">
        <v>1</v>
      </c>
      <c r="G1658" s="20" t="s">
        <v>92</v>
      </c>
      <c r="H1658" s="20"/>
      <c r="I1658" s="21" t="s">
        <v>4552</v>
      </c>
      <c r="J1658" s="21"/>
      <c r="K1658" s="21" t="s">
        <v>4553</v>
      </c>
      <c r="L1658" s="21" t="s">
        <v>4554</v>
      </c>
      <c r="M1658" s="21" t="s">
        <v>62</v>
      </c>
      <c r="N1658" s="21" t="s">
        <v>957</v>
      </c>
    </row>
    <row r="1659" spans="1:14" ht="64.05" customHeight="1">
      <c r="A1659" s="20" t="s">
        <v>4477</v>
      </c>
      <c r="B1659" s="20" t="s">
        <v>24</v>
      </c>
      <c r="C1659" s="20" t="s">
        <v>431</v>
      </c>
      <c r="D1659" s="20" t="s">
        <v>216</v>
      </c>
      <c r="E1659" s="20" t="s">
        <v>4555</v>
      </c>
      <c r="F1659" s="20">
        <v>1</v>
      </c>
      <c r="G1659" s="20" t="s">
        <v>4555</v>
      </c>
      <c r="H1659" s="20" t="s">
        <v>1686</v>
      </c>
      <c r="I1659" s="21" t="s">
        <v>4556</v>
      </c>
      <c r="J1659" s="21"/>
      <c r="K1659" s="21" t="s">
        <v>4549</v>
      </c>
      <c r="L1659" s="21" t="s">
        <v>4557</v>
      </c>
      <c r="M1659" s="21" t="s">
        <v>62</v>
      </c>
      <c r="N1659" s="21" t="s">
        <v>1752</v>
      </c>
    </row>
    <row r="1660" spans="1:14" ht="64.05" customHeight="1">
      <c r="A1660" s="20" t="s">
        <v>4477</v>
      </c>
      <c r="B1660" s="20" t="s">
        <v>24</v>
      </c>
      <c r="C1660" s="20" t="s">
        <v>431</v>
      </c>
      <c r="D1660" s="20" t="s">
        <v>216</v>
      </c>
      <c r="E1660" s="20" t="s">
        <v>4558</v>
      </c>
      <c r="F1660" s="20">
        <v>1</v>
      </c>
      <c r="G1660" s="20" t="s">
        <v>92</v>
      </c>
      <c r="H1660" s="20"/>
      <c r="I1660" s="21" t="s">
        <v>4559</v>
      </c>
      <c r="J1660" s="21"/>
      <c r="K1660" s="21" t="s">
        <v>4560</v>
      </c>
      <c r="L1660" s="21" t="s">
        <v>4561</v>
      </c>
      <c r="M1660" s="21" t="s">
        <v>62</v>
      </c>
      <c r="N1660" s="21" t="s">
        <v>187</v>
      </c>
    </row>
    <row r="1661" spans="1:14" ht="64.05" customHeight="1">
      <c r="A1661" s="20" t="s">
        <v>4477</v>
      </c>
      <c r="B1661" s="20" t="s">
        <v>24</v>
      </c>
      <c r="C1661" s="20" t="s">
        <v>436</v>
      </c>
      <c r="D1661" s="20" t="s">
        <v>437</v>
      </c>
      <c r="E1661" s="20" t="s">
        <v>4562</v>
      </c>
      <c r="F1661" s="20">
        <v>1</v>
      </c>
      <c r="G1661" s="20" t="s">
        <v>92</v>
      </c>
      <c r="H1661" s="20"/>
      <c r="I1661" s="21" t="s">
        <v>4563</v>
      </c>
      <c r="J1661" s="21"/>
      <c r="K1661" s="21" t="s">
        <v>1714</v>
      </c>
      <c r="L1661" s="21" t="s">
        <v>4564</v>
      </c>
      <c r="M1661" s="21" t="s">
        <v>102</v>
      </c>
      <c r="N1661" s="21"/>
    </row>
    <row r="1662" spans="1:14" ht="64.05" customHeight="1">
      <c r="A1662" s="20" t="s">
        <v>4477</v>
      </c>
      <c r="B1662" s="20" t="s">
        <v>24</v>
      </c>
      <c r="C1662" s="20" t="s">
        <v>436</v>
      </c>
      <c r="D1662" s="20" t="s">
        <v>437</v>
      </c>
      <c r="E1662" s="20" t="s">
        <v>4565</v>
      </c>
      <c r="F1662" s="20">
        <v>1</v>
      </c>
      <c r="G1662" s="20" t="s">
        <v>92</v>
      </c>
      <c r="H1662" s="20"/>
      <c r="I1662" s="21" t="s">
        <v>4566</v>
      </c>
      <c r="J1662" s="21" t="s">
        <v>672</v>
      </c>
      <c r="K1662" s="21"/>
      <c r="L1662" s="21" t="s">
        <v>4567</v>
      </c>
      <c r="M1662" s="21" t="s">
        <v>102</v>
      </c>
      <c r="N1662" s="21"/>
    </row>
    <row r="1663" spans="1:14" ht="64.05" customHeight="1">
      <c r="A1663" s="20" t="s">
        <v>4477</v>
      </c>
      <c r="B1663" s="20" t="s">
        <v>24</v>
      </c>
      <c r="C1663" s="20" t="s">
        <v>136</v>
      </c>
      <c r="D1663" s="20" t="s">
        <v>137</v>
      </c>
      <c r="E1663" s="20" t="s">
        <v>4568</v>
      </c>
      <c r="F1663" s="20">
        <v>1</v>
      </c>
      <c r="G1663" s="20" t="s">
        <v>139</v>
      </c>
      <c r="H1663" s="20"/>
      <c r="I1663" s="21" t="s">
        <v>4569</v>
      </c>
      <c r="J1663" s="21"/>
      <c r="K1663" s="21" t="s">
        <v>109</v>
      </c>
      <c r="L1663" s="21" t="s">
        <v>4570</v>
      </c>
      <c r="M1663" s="21" t="s">
        <v>62</v>
      </c>
      <c r="N1663" s="21" t="s">
        <v>63</v>
      </c>
    </row>
    <row r="1664" spans="1:14" ht="64.05" customHeight="1">
      <c r="A1664" s="20" t="s">
        <v>4477</v>
      </c>
      <c r="B1664" s="20" t="s">
        <v>24</v>
      </c>
      <c r="C1664" s="20" t="s">
        <v>443</v>
      </c>
      <c r="D1664" s="20" t="s">
        <v>444</v>
      </c>
      <c r="E1664" s="20" t="s">
        <v>4571</v>
      </c>
      <c r="F1664" s="20">
        <v>1</v>
      </c>
      <c r="G1664" s="20" t="s">
        <v>92</v>
      </c>
      <c r="H1664" s="20"/>
      <c r="I1664" s="21" t="s">
        <v>140</v>
      </c>
      <c r="J1664" s="21" t="s">
        <v>99</v>
      </c>
      <c r="K1664" s="21" t="s">
        <v>141</v>
      </c>
      <c r="L1664" s="21" t="s">
        <v>4572</v>
      </c>
      <c r="M1664" s="21" t="s">
        <v>102</v>
      </c>
      <c r="N1664" s="21"/>
    </row>
    <row r="1665" spans="1:14" ht="64.05" customHeight="1">
      <c r="A1665" s="20" t="s">
        <v>4477</v>
      </c>
      <c r="B1665" s="20" t="s">
        <v>28</v>
      </c>
      <c r="C1665" s="20" t="s">
        <v>146</v>
      </c>
      <c r="D1665" s="20" t="s">
        <v>147</v>
      </c>
      <c r="E1665" s="20" t="s">
        <v>4573</v>
      </c>
      <c r="F1665" s="20">
        <v>1</v>
      </c>
      <c r="G1665" s="20" t="s">
        <v>92</v>
      </c>
      <c r="H1665" s="20"/>
      <c r="I1665" s="21" t="s">
        <v>806</v>
      </c>
      <c r="J1665" s="21"/>
      <c r="K1665" s="21" t="s">
        <v>109</v>
      </c>
      <c r="L1665" s="21" t="s">
        <v>4574</v>
      </c>
      <c r="M1665" s="21" t="s">
        <v>73</v>
      </c>
      <c r="N1665" s="21"/>
    </row>
    <row r="1666" spans="1:14" ht="64.05" customHeight="1">
      <c r="A1666" s="20" t="s">
        <v>4477</v>
      </c>
      <c r="B1666" s="20" t="s">
        <v>28</v>
      </c>
      <c r="C1666" s="20" t="s">
        <v>146</v>
      </c>
      <c r="D1666" s="20" t="s">
        <v>147</v>
      </c>
      <c r="E1666" s="20" t="s">
        <v>4575</v>
      </c>
      <c r="F1666" s="20">
        <v>1</v>
      </c>
      <c r="G1666" s="20" t="s">
        <v>92</v>
      </c>
      <c r="H1666" s="20"/>
      <c r="I1666" s="21" t="s">
        <v>806</v>
      </c>
      <c r="J1666" s="21"/>
      <c r="K1666" s="21" t="s">
        <v>109</v>
      </c>
      <c r="L1666" s="21" t="s">
        <v>4574</v>
      </c>
      <c r="M1666" s="21" t="s">
        <v>73</v>
      </c>
      <c r="N1666" s="21"/>
    </row>
    <row r="1667" spans="1:14" ht="64.05" customHeight="1">
      <c r="A1667" s="20" t="s">
        <v>4477</v>
      </c>
      <c r="B1667" s="20" t="s">
        <v>28</v>
      </c>
      <c r="C1667" s="20" t="s">
        <v>167</v>
      </c>
      <c r="D1667" s="20" t="s">
        <v>168</v>
      </c>
      <c r="E1667" s="20" t="s">
        <v>4576</v>
      </c>
      <c r="F1667" s="20">
        <v>1</v>
      </c>
      <c r="G1667" s="20" t="s">
        <v>92</v>
      </c>
      <c r="H1667" s="20"/>
      <c r="I1667" s="21" t="s">
        <v>4577</v>
      </c>
      <c r="J1667" s="21"/>
      <c r="K1667" s="21" t="s">
        <v>4578</v>
      </c>
      <c r="L1667" s="21" t="s">
        <v>4579</v>
      </c>
      <c r="M1667" s="21" t="s">
        <v>73</v>
      </c>
      <c r="N1667" s="21"/>
    </row>
    <row r="1668" spans="1:14" ht="64.05" customHeight="1">
      <c r="A1668" s="20" t="s">
        <v>4477</v>
      </c>
      <c r="B1668" s="20" t="s">
        <v>28</v>
      </c>
      <c r="C1668" s="20" t="s">
        <v>167</v>
      </c>
      <c r="D1668" s="20" t="s">
        <v>168</v>
      </c>
      <c r="E1668" s="20" t="s">
        <v>4580</v>
      </c>
      <c r="F1668" s="20">
        <v>1</v>
      </c>
      <c r="G1668" s="20" t="s">
        <v>92</v>
      </c>
      <c r="H1668" s="20"/>
      <c r="I1668" s="21" t="s">
        <v>4581</v>
      </c>
      <c r="J1668" s="21"/>
      <c r="K1668" s="21" t="s">
        <v>109</v>
      </c>
      <c r="L1668" s="21" t="s">
        <v>4582</v>
      </c>
      <c r="M1668" s="21" t="s">
        <v>102</v>
      </c>
      <c r="N1668" s="21"/>
    </row>
    <row r="1669" spans="1:14" ht="64.05" customHeight="1">
      <c r="A1669" s="20" t="s">
        <v>4477</v>
      </c>
      <c r="B1669" s="20" t="s">
        <v>30</v>
      </c>
      <c r="C1669" s="20" t="s">
        <v>180</v>
      </c>
      <c r="D1669" s="20" t="s">
        <v>181</v>
      </c>
      <c r="E1669" s="20" t="s">
        <v>4583</v>
      </c>
      <c r="F1669" s="20">
        <v>1</v>
      </c>
      <c r="G1669" s="20" t="s">
        <v>139</v>
      </c>
      <c r="H1669" s="20"/>
      <c r="I1669" s="21" t="s">
        <v>4584</v>
      </c>
      <c r="J1669" s="21"/>
      <c r="K1669" s="21" t="s">
        <v>406</v>
      </c>
      <c r="L1669" s="21" t="s">
        <v>4585</v>
      </c>
      <c r="M1669" s="21" t="s">
        <v>62</v>
      </c>
      <c r="N1669" s="21" t="s">
        <v>63</v>
      </c>
    </row>
    <row r="1670" spans="1:14" ht="64.05" customHeight="1">
      <c r="A1670" s="20" t="s">
        <v>4477</v>
      </c>
      <c r="B1670" s="20" t="s">
        <v>30</v>
      </c>
      <c r="C1670" s="20" t="s">
        <v>180</v>
      </c>
      <c r="D1670" s="20" t="s">
        <v>181</v>
      </c>
      <c r="E1670" s="20" t="s">
        <v>4586</v>
      </c>
      <c r="F1670" s="20">
        <v>1</v>
      </c>
      <c r="G1670" s="20" t="s">
        <v>4587</v>
      </c>
      <c r="H1670" s="20" t="s">
        <v>3599</v>
      </c>
      <c r="I1670" s="21" t="s">
        <v>4588</v>
      </c>
      <c r="J1670" s="21"/>
      <c r="K1670" s="21" t="s">
        <v>4516</v>
      </c>
      <c r="L1670" s="21" t="s">
        <v>4589</v>
      </c>
      <c r="M1670" s="21" t="s">
        <v>73</v>
      </c>
      <c r="N1670" s="21"/>
    </row>
    <row r="1671" spans="1:14" ht="64.05" customHeight="1">
      <c r="A1671" s="20" t="s">
        <v>4477</v>
      </c>
      <c r="B1671" s="20" t="s">
        <v>30</v>
      </c>
      <c r="C1671" s="20" t="s">
        <v>180</v>
      </c>
      <c r="D1671" s="20" t="s">
        <v>181</v>
      </c>
      <c r="E1671" s="20" t="s">
        <v>4590</v>
      </c>
      <c r="F1671" s="20">
        <v>1</v>
      </c>
      <c r="G1671" s="20" t="s">
        <v>4587</v>
      </c>
      <c r="H1671" s="20" t="s">
        <v>3599</v>
      </c>
      <c r="I1671" s="21" t="s">
        <v>4591</v>
      </c>
      <c r="J1671" s="21"/>
      <c r="K1671" s="21" t="s">
        <v>406</v>
      </c>
      <c r="L1671" s="21" t="s">
        <v>4592</v>
      </c>
      <c r="M1671" s="21" t="s">
        <v>62</v>
      </c>
      <c r="N1671" s="21" t="s">
        <v>1752</v>
      </c>
    </row>
    <row r="1672" spans="1:14" ht="64.05" customHeight="1">
      <c r="A1672" s="20" t="s">
        <v>4477</v>
      </c>
      <c r="B1672" s="20" t="s">
        <v>30</v>
      </c>
      <c r="C1672" s="20" t="s">
        <v>180</v>
      </c>
      <c r="D1672" s="20" t="s">
        <v>181</v>
      </c>
      <c r="E1672" s="20" t="s">
        <v>4593</v>
      </c>
      <c r="F1672" s="20">
        <v>1</v>
      </c>
      <c r="G1672" s="20" t="s">
        <v>3391</v>
      </c>
      <c r="H1672" s="20" t="s">
        <v>4594</v>
      </c>
      <c r="I1672" s="21" t="s">
        <v>4595</v>
      </c>
      <c r="J1672" s="21"/>
      <c r="K1672" s="21" t="s">
        <v>78</v>
      </c>
      <c r="L1672" s="21" t="s">
        <v>4596</v>
      </c>
      <c r="M1672" s="21" t="s">
        <v>102</v>
      </c>
      <c r="N1672" s="21"/>
    </row>
    <row r="1673" spans="1:14" ht="64.05" customHeight="1">
      <c r="A1673" s="20" t="s">
        <v>4477</v>
      </c>
      <c r="B1673" s="20" t="s">
        <v>30</v>
      </c>
      <c r="C1673" s="20" t="s">
        <v>188</v>
      </c>
      <c r="D1673" s="20" t="s">
        <v>189</v>
      </c>
      <c r="E1673" s="20" t="s">
        <v>4597</v>
      </c>
      <c r="F1673" s="20">
        <v>1</v>
      </c>
      <c r="G1673" s="20" t="s">
        <v>4598</v>
      </c>
      <c r="H1673" s="20" t="s">
        <v>4599</v>
      </c>
      <c r="I1673" s="21" t="s">
        <v>4600</v>
      </c>
      <c r="J1673" s="21" t="s">
        <v>245</v>
      </c>
      <c r="K1673" s="21"/>
      <c r="L1673" s="21" t="s">
        <v>4601</v>
      </c>
      <c r="M1673" s="21" t="s">
        <v>73</v>
      </c>
      <c r="N1673" s="21"/>
    </row>
    <row r="1674" spans="1:14" ht="64.05" customHeight="1">
      <c r="A1674" s="20" t="s">
        <v>4477</v>
      </c>
      <c r="B1674" s="20" t="s">
        <v>30</v>
      </c>
      <c r="C1674" s="20" t="s">
        <v>188</v>
      </c>
      <c r="D1674" s="20" t="s">
        <v>189</v>
      </c>
      <c r="E1674" s="20" t="s">
        <v>4602</v>
      </c>
      <c r="F1674" s="20">
        <v>1</v>
      </c>
      <c r="G1674" s="20" t="s">
        <v>139</v>
      </c>
      <c r="H1674" s="20"/>
      <c r="I1674" s="21" t="s">
        <v>140</v>
      </c>
      <c r="J1674" s="21"/>
      <c r="K1674" s="21" t="s">
        <v>141</v>
      </c>
      <c r="L1674" s="21" t="s">
        <v>4603</v>
      </c>
      <c r="M1674" s="21" t="s">
        <v>73</v>
      </c>
      <c r="N1674" s="21"/>
    </row>
    <row r="1675" spans="1:14" ht="64.05" customHeight="1">
      <c r="A1675" s="20" t="s">
        <v>4477</v>
      </c>
      <c r="B1675" s="20" t="s">
        <v>26</v>
      </c>
      <c r="C1675" s="20" t="s">
        <v>196</v>
      </c>
      <c r="D1675" s="20" t="s">
        <v>197</v>
      </c>
      <c r="E1675" s="20" t="s">
        <v>4604</v>
      </c>
      <c r="F1675" s="20">
        <v>1</v>
      </c>
      <c r="G1675" s="20" t="s">
        <v>2470</v>
      </c>
      <c r="H1675" s="20" t="s">
        <v>4605</v>
      </c>
      <c r="I1675" s="21" t="s">
        <v>406</v>
      </c>
      <c r="J1675" s="21"/>
      <c r="K1675" s="21"/>
      <c r="L1675" s="21" t="s">
        <v>4606</v>
      </c>
      <c r="M1675" s="21" t="s">
        <v>102</v>
      </c>
      <c r="N1675" s="21"/>
    </row>
    <row r="1676" spans="1:14" ht="64.05" customHeight="1">
      <c r="A1676" s="20" t="s">
        <v>4477</v>
      </c>
      <c r="B1676" s="20" t="s">
        <v>33</v>
      </c>
      <c r="C1676" s="20" t="s">
        <v>2103</v>
      </c>
      <c r="D1676" s="20" t="s">
        <v>2104</v>
      </c>
      <c r="E1676" s="20" t="s">
        <v>4607</v>
      </c>
      <c r="F1676" s="20">
        <v>1</v>
      </c>
      <c r="G1676" s="20" t="s">
        <v>92</v>
      </c>
      <c r="H1676" s="20"/>
      <c r="I1676" s="21" t="s">
        <v>4608</v>
      </c>
      <c r="J1676" s="21"/>
      <c r="K1676" s="21" t="s">
        <v>4609</v>
      </c>
      <c r="L1676" s="21" t="s">
        <v>4610</v>
      </c>
      <c r="M1676" s="21" t="s">
        <v>73</v>
      </c>
      <c r="N1676" s="21"/>
    </row>
    <row r="1677" spans="1:14" ht="64.05" customHeight="1">
      <c r="A1677" s="20" t="s">
        <v>4477</v>
      </c>
      <c r="B1677" s="20" t="s">
        <v>33</v>
      </c>
      <c r="C1677" s="20" t="s">
        <v>2103</v>
      </c>
      <c r="D1677" s="20" t="s">
        <v>2104</v>
      </c>
      <c r="E1677" s="20" t="s">
        <v>4611</v>
      </c>
      <c r="F1677" s="20">
        <v>1</v>
      </c>
      <c r="G1677" s="20" t="s">
        <v>92</v>
      </c>
      <c r="H1677" s="20"/>
      <c r="I1677" s="21" t="s">
        <v>4612</v>
      </c>
      <c r="J1677" s="21"/>
      <c r="K1677" s="21" t="s">
        <v>4609</v>
      </c>
      <c r="L1677" s="21" t="s">
        <v>4610</v>
      </c>
      <c r="M1677" s="21" t="s">
        <v>73</v>
      </c>
      <c r="N1677" s="21"/>
    </row>
    <row r="1678" spans="1:14" ht="64.05" customHeight="1">
      <c r="A1678" s="20" t="s">
        <v>4477</v>
      </c>
      <c r="B1678" s="20" t="s">
        <v>33</v>
      </c>
      <c r="C1678" s="20" t="s">
        <v>2103</v>
      </c>
      <c r="D1678" s="20" t="s">
        <v>2104</v>
      </c>
      <c r="E1678" s="20" t="s">
        <v>4613</v>
      </c>
      <c r="F1678" s="20">
        <v>1</v>
      </c>
      <c r="G1678" s="20" t="s">
        <v>92</v>
      </c>
      <c r="H1678" s="20"/>
      <c r="I1678" s="21" t="s">
        <v>4614</v>
      </c>
      <c r="J1678" s="21"/>
      <c r="K1678" s="21" t="s">
        <v>4609</v>
      </c>
      <c r="L1678" s="21" t="s">
        <v>4610</v>
      </c>
      <c r="M1678" s="21" t="s">
        <v>73</v>
      </c>
      <c r="N1678" s="21"/>
    </row>
    <row r="1679" spans="1:14" ht="64.05" customHeight="1">
      <c r="A1679" s="20" t="s">
        <v>4477</v>
      </c>
      <c r="B1679" s="20" t="s">
        <v>31</v>
      </c>
      <c r="C1679" s="20" t="s">
        <v>491</v>
      </c>
      <c r="D1679" s="20" t="s">
        <v>492</v>
      </c>
      <c r="E1679" s="20" t="s">
        <v>4615</v>
      </c>
      <c r="F1679" s="20">
        <v>1</v>
      </c>
      <c r="G1679" s="20" t="s">
        <v>4616</v>
      </c>
      <c r="H1679" s="20" t="s">
        <v>3225</v>
      </c>
      <c r="I1679" s="21"/>
      <c r="J1679" s="21"/>
      <c r="K1679" s="21" t="s">
        <v>803</v>
      </c>
      <c r="L1679" s="21" t="s">
        <v>4617</v>
      </c>
      <c r="M1679" s="21" t="s">
        <v>73</v>
      </c>
      <c r="N1679" s="21"/>
    </row>
    <row r="1680" spans="1:14" ht="64.05" customHeight="1">
      <c r="A1680" s="20" t="s">
        <v>4477</v>
      </c>
      <c r="B1680" s="20" t="s">
        <v>31</v>
      </c>
      <c r="C1680" s="20" t="s">
        <v>491</v>
      </c>
      <c r="D1680" s="20" t="s">
        <v>492</v>
      </c>
      <c r="E1680" s="20" t="s">
        <v>4618</v>
      </c>
      <c r="F1680" s="20">
        <v>1</v>
      </c>
      <c r="G1680" s="20" t="s">
        <v>4616</v>
      </c>
      <c r="H1680" s="20" t="s">
        <v>4619</v>
      </c>
      <c r="I1680" s="21"/>
      <c r="J1680" s="21"/>
      <c r="K1680" s="21" t="s">
        <v>803</v>
      </c>
      <c r="L1680" s="21" t="s">
        <v>4617</v>
      </c>
      <c r="M1680" s="21" t="s">
        <v>73</v>
      </c>
      <c r="N1680" s="21"/>
    </row>
    <row r="1681" spans="1:14" ht="64.05" customHeight="1">
      <c r="A1681" s="20" t="s">
        <v>4477</v>
      </c>
      <c r="B1681" s="20" t="s">
        <v>31</v>
      </c>
      <c r="C1681" s="20" t="s">
        <v>491</v>
      </c>
      <c r="D1681" s="20" t="s">
        <v>492</v>
      </c>
      <c r="E1681" s="20" t="s">
        <v>4620</v>
      </c>
      <c r="F1681" s="20">
        <v>1</v>
      </c>
      <c r="G1681" s="20" t="s">
        <v>4616</v>
      </c>
      <c r="H1681" s="20" t="s">
        <v>4619</v>
      </c>
      <c r="I1681" s="21"/>
      <c r="J1681" s="21"/>
      <c r="K1681" s="21" t="s">
        <v>803</v>
      </c>
      <c r="L1681" s="21" t="s">
        <v>4617</v>
      </c>
      <c r="M1681" s="21" t="s">
        <v>73</v>
      </c>
      <c r="N1681" s="21"/>
    </row>
    <row r="1682" spans="1:14" ht="64.05" customHeight="1">
      <c r="A1682" s="20" t="s">
        <v>4477</v>
      </c>
      <c r="B1682" s="20" t="s">
        <v>31</v>
      </c>
      <c r="C1682" s="20" t="s">
        <v>491</v>
      </c>
      <c r="D1682" s="20" t="s">
        <v>492</v>
      </c>
      <c r="E1682" s="20" t="s">
        <v>4621</v>
      </c>
      <c r="F1682" s="20">
        <v>1</v>
      </c>
      <c r="G1682" s="20" t="s">
        <v>4616</v>
      </c>
      <c r="H1682" s="20" t="s">
        <v>4619</v>
      </c>
      <c r="I1682" s="21"/>
      <c r="J1682" s="21"/>
      <c r="K1682" s="21" t="s">
        <v>803</v>
      </c>
      <c r="L1682" s="21" t="s">
        <v>4617</v>
      </c>
      <c r="M1682" s="21" t="s">
        <v>73</v>
      </c>
      <c r="N1682" s="21"/>
    </row>
    <row r="1683" spans="1:14" ht="64.05" customHeight="1">
      <c r="A1683" s="20" t="s">
        <v>4477</v>
      </c>
      <c r="B1683" s="20" t="s">
        <v>31</v>
      </c>
      <c r="C1683" s="20" t="s">
        <v>491</v>
      </c>
      <c r="D1683" s="20" t="s">
        <v>492</v>
      </c>
      <c r="E1683" s="20" t="s">
        <v>4622</v>
      </c>
      <c r="F1683" s="20">
        <v>1</v>
      </c>
      <c r="G1683" s="20" t="s">
        <v>2192</v>
      </c>
      <c r="H1683" s="20" t="s">
        <v>1507</v>
      </c>
      <c r="I1683" s="21"/>
      <c r="J1683" s="21"/>
      <c r="K1683" s="21" t="s">
        <v>803</v>
      </c>
      <c r="L1683" s="21" t="s">
        <v>4617</v>
      </c>
      <c r="M1683" s="21" t="s">
        <v>73</v>
      </c>
      <c r="N1683" s="21"/>
    </row>
    <row r="1684" spans="1:14" ht="64.05" customHeight="1">
      <c r="A1684" s="20" t="s">
        <v>4477</v>
      </c>
      <c r="B1684" s="20" t="s">
        <v>32</v>
      </c>
      <c r="C1684" s="20" t="s">
        <v>200</v>
      </c>
      <c r="D1684" s="20" t="s">
        <v>201</v>
      </c>
      <c r="E1684" s="20" t="s">
        <v>4623</v>
      </c>
      <c r="F1684" s="20">
        <v>1</v>
      </c>
      <c r="G1684" s="20" t="s">
        <v>4624</v>
      </c>
      <c r="H1684" s="20" t="s">
        <v>2590</v>
      </c>
      <c r="I1684" s="21" t="s">
        <v>4625</v>
      </c>
      <c r="J1684" s="21"/>
      <c r="K1684" s="21" t="s">
        <v>4626</v>
      </c>
      <c r="L1684" s="21" t="s">
        <v>4627</v>
      </c>
      <c r="M1684" s="21" t="s">
        <v>62</v>
      </c>
      <c r="N1684" s="21" t="s">
        <v>1490</v>
      </c>
    </row>
    <row r="1685" spans="1:14" ht="64.05" customHeight="1">
      <c r="A1685" s="20" t="s">
        <v>4477</v>
      </c>
      <c r="B1685" s="20" t="s">
        <v>32</v>
      </c>
      <c r="C1685" s="20" t="s">
        <v>200</v>
      </c>
      <c r="D1685" s="20" t="s">
        <v>201</v>
      </c>
      <c r="E1685" s="20" t="s">
        <v>4628</v>
      </c>
      <c r="F1685" s="20">
        <v>1</v>
      </c>
      <c r="G1685" s="20" t="s">
        <v>4624</v>
      </c>
      <c r="H1685" s="20" t="s">
        <v>2590</v>
      </c>
      <c r="I1685" s="21"/>
      <c r="J1685" s="21"/>
      <c r="K1685" s="21"/>
      <c r="L1685" s="21" t="s">
        <v>4629</v>
      </c>
      <c r="M1685" s="21" t="s">
        <v>62</v>
      </c>
      <c r="N1685" s="21" t="s">
        <v>1752</v>
      </c>
    </row>
    <row r="1686" spans="1:14" ht="64.05" customHeight="1">
      <c r="A1686" s="20" t="s">
        <v>4630</v>
      </c>
      <c r="B1686" s="20" t="s">
        <v>20</v>
      </c>
      <c r="C1686" s="20" t="s">
        <v>55</v>
      </c>
      <c r="D1686" s="20" t="s">
        <v>56</v>
      </c>
      <c r="E1686" s="20" t="s">
        <v>4631</v>
      </c>
      <c r="F1686" s="20">
        <v>1</v>
      </c>
      <c r="G1686" s="20" t="s">
        <v>296</v>
      </c>
      <c r="H1686" s="20" t="s">
        <v>1222</v>
      </c>
      <c r="I1686" s="21" t="s">
        <v>3672</v>
      </c>
      <c r="J1686" s="21"/>
      <c r="K1686" s="21" t="s">
        <v>4632</v>
      </c>
      <c r="L1686" s="21" t="s">
        <v>4633</v>
      </c>
      <c r="M1686" s="21" t="s">
        <v>73</v>
      </c>
      <c r="N1686" s="21"/>
    </row>
    <row r="1687" spans="1:14" ht="64.05" customHeight="1">
      <c r="A1687" s="20" t="s">
        <v>4630</v>
      </c>
      <c r="B1687" s="20" t="s">
        <v>20</v>
      </c>
      <c r="C1687" s="20" t="s">
        <v>55</v>
      </c>
      <c r="D1687" s="20" t="s">
        <v>56</v>
      </c>
      <c r="E1687" s="20" t="s">
        <v>4634</v>
      </c>
      <c r="F1687" s="20">
        <v>1</v>
      </c>
      <c r="G1687" s="20" t="s">
        <v>4635</v>
      </c>
      <c r="H1687" s="20" t="s">
        <v>1222</v>
      </c>
      <c r="I1687" s="21" t="s">
        <v>3672</v>
      </c>
      <c r="J1687" s="21"/>
      <c r="K1687" s="21" t="s">
        <v>4632</v>
      </c>
      <c r="L1687" s="21" t="s">
        <v>4633</v>
      </c>
      <c r="M1687" s="21" t="s">
        <v>73</v>
      </c>
      <c r="N1687" s="21"/>
    </row>
    <row r="1688" spans="1:14" ht="64.05" customHeight="1">
      <c r="A1688" s="20" t="s">
        <v>4630</v>
      </c>
      <c r="B1688" s="20" t="s">
        <v>20</v>
      </c>
      <c r="C1688" s="20" t="s">
        <v>55</v>
      </c>
      <c r="D1688" s="20" t="s">
        <v>56</v>
      </c>
      <c r="E1688" s="20" t="s">
        <v>4636</v>
      </c>
      <c r="F1688" s="20">
        <v>1</v>
      </c>
      <c r="G1688" s="20" t="s">
        <v>4637</v>
      </c>
      <c r="H1688" s="20" t="s">
        <v>1222</v>
      </c>
      <c r="I1688" s="21" t="s">
        <v>3672</v>
      </c>
      <c r="J1688" s="21"/>
      <c r="K1688" s="21" t="s">
        <v>4632</v>
      </c>
      <c r="L1688" s="21" t="s">
        <v>4633</v>
      </c>
      <c r="M1688" s="21" t="s">
        <v>73</v>
      </c>
      <c r="N1688" s="21"/>
    </row>
    <row r="1689" spans="1:14" ht="64.05" customHeight="1">
      <c r="A1689" s="20" t="s">
        <v>4630</v>
      </c>
      <c r="B1689" s="20" t="s">
        <v>20</v>
      </c>
      <c r="C1689" s="20" t="s">
        <v>55</v>
      </c>
      <c r="D1689" s="20" t="s">
        <v>56</v>
      </c>
      <c r="E1689" s="20" t="s">
        <v>4638</v>
      </c>
      <c r="F1689" s="20">
        <v>1</v>
      </c>
      <c r="G1689" s="20" t="s">
        <v>4639</v>
      </c>
      <c r="H1689" s="20" t="s">
        <v>1222</v>
      </c>
      <c r="I1689" s="21" t="s">
        <v>3672</v>
      </c>
      <c r="J1689" s="21"/>
      <c r="K1689" s="21" t="s">
        <v>4632</v>
      </c>
      <c r="L1689" s="21" t="s">
        <v>4633</v>
      </c>
      <c r="M1689" s="21" t="s">
        <v>73</v>
      </c>
      <c r="N1689" s="21"/>
    </row>
    <row r="1690" spans="1:14" ht="64.05" customHeight="1">
      <c r="A1690" s="20" t="s">
        <v>4630</v>
      </c>
      <c r="B1690" s="20" t="s">
        <v>20</v>
      </c>
      <c r="C1690" s="20" t="s">
        <v>55</v>
      </c>
      <c r="D1690" s="20" t="s">
        <v>56</v>
      </c>
      <c r="E1690" s="20" t="s">
        <v>4640</v>
      </c>
      <c r="F1690" s="20">
        <v>1</v>
      </c>
      <c r="G1690" s="20" t="s">
        <v>4641</v>
      </c>
      <c r="H1690" s="20" t="s">
        <v>1222</v>
      </c>
      <c r="I1690" s="21" t="s">
        <v>3672</v>
      </c>
      <c r="J1690" s="21"/>
      <c r="K1690" s="21" t="s">
        <v>4632</v>
      </c>
      <c r="L1690" s="21" t="s">
        <v>4633</v>
      </c>
      <c r="M1690" s="21" t="s">
        <v>73</v>
      </c>
      <c r="N1690" s="21"/>
    </row>
    <row r="1691" spans="1:14" ht="64.05" customHeight="1">
      <c r="A1691" s="20" t="s">
        <v>4630</v>
      </c>
      <c r="B1691" s="20" t="s">
        <v>20</v>
      </c>
      <c r="C1691" s="20" t="s">
        <v>55</v>
      </c>
      <c r="D1691" s="20" t="s">
        <v>56</v>
      </c>
      <c r="E1691" s="20" t="s">
        <v>4642</v>
      </c>
      <c r="F1691" s="20">
        <v>1</v>
      </c>
      <c r="G1691" s="20" t="s">
        <v>4643</v>
      </c>
      <c r="H1691" s="20" t="s">
        <v>1222</v>
      </c>
      <c r="I1691" s="21" t="s">
        <v>3672</v>
      </c>
      <c r="J1691" s="21"/>
      <c r="K1691" s="21" t="s">
        <v>4632</v>
      </c>
      <c r="L1691" s="21" t="s">
        <v>4633</v>
      </c>
      <c r="M1691" s="21" t="s">
        <v>73</v>
      </c>
      <c r="N1691" s="21"/>
    </row>
    <row r="1692" spans="1:14" ht="64.05" customHeight="1">
      <c r="A1692" s="20" t="s">
        <v>4630</v>
      </c>
      <c r="B1692" s="20" t="s">
        <v>20</v>
      </c>
      <c r="C1692" s="20" t="s">
        <v>55</v>
      </c>
      <c r="D1692" s="20" t="s">
        <v>56</v>
      </c>
      <c r="E1692" s="20" t="s">
        <v>4644</v>
      </c>
      <c r="F1692" s="20">
        <v>1</v>
      </c>
      <c r="G1692" s="20" t="s">
        <v>4645</v>
      </c>
      <c r="H1692" s="20" t="s">
        <v>1222</v>
      </c>
      <c r="I1692" s="21" t="s">
        <v>3672</v>
      </c>
      <c r="J1692" s="21"/>
      <c r="K1692" s="21" t="s">
        <v>4632</v>
      </c>
      <c r="L1692" s="21" t="s">
        <v>4633</v>
      </c>
      <c r="M1692" s="21" t="s">
        <v>73</v>
      </c>
      <c r="N1692" s="21"/>
    </row>
    <row r="1693" spans="1:14" ht="64.05" customHeight="1">
      <c r="A1693" s="20" t="s">
        <v>4630</v>
      </c>
      <c r="B1693" s="20" t="s">
        <v>20</v>
      </c>
      <c r="C1693" s="20" t="s">
        <v>55</v>
      </c>
      <c r="D1693" s="20" t="s">
        <v>56</v>
      </c>
      <c r="E1693" s="20" t="s">
        <v>4646</v>
      </c>
      <c r="F1693" s="20">
        <v>1</v>
      </c>
      <c r="G1693" s="20" t="s">
        <v>4647</v>
      </c>
      <c r="H1693" s="20" t="s">
        <v>1222</v>
      </c>
      <c r="I1693" s="21" t="s">
        <v>3672</v>
      </c>
      <c r="J1693" s="21"/>
      <c r="K1693" s="21" t="s">
        <v>4632</v>
      </c>
      <c r="L1693" s="21" t="s">
        <v>4633</v>
      </c>
      <c r="M1693" s="21" t="s">
        <v>73</v>
      </c>
      <c r="N1693" s="21"/>
    </row>
    <row r="1694" spans="1:14" ht="64.05" customHeight="1">
      <c r="A1694" s="20" t="s">
        <v>4630</v>
      </c>
      <c r="B1694" s="20" t="s">
        <v>20</v>
      </c>
      <c r="C1694" s="20" t="s">
        <v>65</v>
      </c>
      <c r="D1694" s="20" t="s">
        <v>66</v>
      </c>
      <c r="E1694" s="20" t="s">
        <v>4648</v>
      </c>
      <c r="F1694" s="20">
        <v>1</v>
      </c>
      <c r="G1694" s="20" t="s">
        <v>4649</v>
      </c>
      <c r="H1694" s="20" t="s">
        <v>4650</v>
      </c>
      <c r="I1694" s="21" t="s">
        <v>4651</v>
      </c>
      <c r="J1694" s="21"/>
      <c r="K1694" s="21" t="s">
        <v>1371</v>
      </c>
      <c r="L1694" s="21" t="s">
        <v>4652</v>
      </c>
      <c r="M1694" s="21" t="s">
        <v>73</v>
      </c>
      <c r="N1694" s="21"/>
    </row>
    <row r="1695" spans="1:14" ht="64.05" customHeight="1">
      <c r="A1695" s="20" t="s">
        <v>4630</v>
      </c>
      <c r="B1695" s="20" t="s">
        <v>22</v>
      </c>
      <c r="C1695" s="20" t="s">
        <v>370</v>
      </c>
      <c r="D1695" s="20" t="s">
        <v>371</v>
      </c>
      <c r="E1695" s="20" t="s">
        <v>4653</v>
      </c>
      <c r="F1695" s="20">
        <v>1</v>
      </c>
      <c r="G1695" s="20" t="s">
        <v>92</v>
      </c>
      <c r="H1695" s="20"/>
      <c r="I1695" s="21" t="s">
        <v>2124</v>
      </c>
      <c r="J1695" s="21"/>
      <c r="K1695" s="21" t="s">
        <v>2475</v>
      </c>
      <c r="L1695" s="21" t="s">
        <v>4654</v>
      </c>
      <c r="M1695" s="21" t="s">
        <v>73</v>
      </c>
      <c r="N1695" s="21"/>
    </row>
    <row r="1696" spans="1:14" ht="64.05" customHeight="1">
      <c r="A1696" s="20" t="s">
        <v>4630</v>
      </c>
      <c r="B1696" s="20" t="s">
        <v>22</v>
      </c>
      <c r="C1696" s="20" t="s">
        <v>370</v>
      </c>
      <c r="D1696" s="20" t="s">
        <v>371</v>
      </c>
      <c r="E1696" s="20" t="s">
        <v>4655</v>
      </c>
      <c r="F1696" s="20">
        <v>1</v>
      </c>
      <c r="G1696" s="20" t="s">
        <v>92</v>
      </c>
      <c r="H1696" s="20"/>
      <c r="I1696" s="21" t="s">
        <v>140</v>
      </c>
      <c r="J1696" s="21" t="s">
        <v>672</v>
      </c>
      <c r="K1696" s="21" t="s">
        <v>4656</v>
      </c>
      <c r="L1696" s="21" t="s">
        <v>4657</v>
      </c>
      <c r="M1696" s="21" t="s">
        <v>102</v>
      </c>
      <c r="N1696" s="21"/>
    </row>
    <row r="1697" spans="1:14" ht="64.05" customHeight="1">
      <c r="A1697" s="20" t="s">
        <v>4630</v>
      </c>
      <c r="B1697" s="20" t="s">
        <v>23</v>
      </c>
      <c r="C1697" s="20" t="s">
        <v>103</v>
      </c>
      <c r="D1697" s="20" t="s">
        <v>104</v>
      </c>
      <c r="E1697" s="20" t="s">
        <v>4658</v>
      </c>
      <c r="F1697" s="20">
        <v>1</v>
      </c>
      <c r="G1697" s="20" t="s">
        <v>1592</v>
      </c>
      <c r="H1697" s="20" t="s">
        <v>4659</v>
      </c>
      <c r="I1697" s="21" t="s">
        <v>1749</v>
      </c>
      <c r="J1697" s="21"/>
      <c r="K1697" s="21" t="s">
        <v>4660</v>
      </c>
      <c r="L1697" s="21" t="s">
        <v>4661</v>
      </c>
      <c r="M1697" s="21" t="s">
        <v>73</v>
      </c>
      <c r="N1697" s="21"/>
    </row>
    <row r="1698" spans="1:14" ht="64.05" customHeight="1">
      <c r="A1698" s="20" t="s">
        <v>4630</v>
      </c>
      <c r="B1698" s="20" t="s">
        <v>23</v>
      </c>
      <c r="C1698" s="20" t="s">
        <v>103</v>
      </c>
      <c r="D1698" s="20" t="s">
        <v>104</v>
      </c>
      <c r="E1698" s="20" t="s">
        <v>4662</v>
      </c>
      <c r="F1698" s="20">
        <v>1</v>
      </c>
      <c r="G1698" s="20" t="s">
        <v>2662</v>
      </c>
      <c r="H1698" s="20" t="s">
        <v>4663</v>
      </c>
      <c r="I1698" s="21" t="s">
        <v>4664</v>
      </c>
      <c r="J1698" s="21"/>
      <c r="K1698" s="21" t="s">
        <v>2556</v>
      </c>
      <c r="L1698" s="21" t="s">
        <v>4665</v>
      </c>
      <c r="M1698" s="21" t="s">
        <v>62</v>
      </c>
      <c r="N1698" s="21" t="s">
        <v>130</v>
      </c>
    </row>
    <row r="1699" spans="1:14" ht="64.05" customHeight="1">
      <c r="A1699" s="20" t="s">
        <v>4630</v>
      </c>
      <c r="B1699" s="20" t="s">
        <v>23</v>
      </c>
      <c r="C1699" s="20" t="s">
        <v>103</v>
      </c>
      <c r="D1699" s="20" t="s">
        <v>104</v>
      </c>
      <c r="E1699" s="20" t="s">
        <v>4666</v>
      </c>
      <c r="F1699" s="20">
        <v>1</v>
      </c>
      <c r="G1699" s="20" t="s">
        <v>4039</v>
      </c>
      <c r="H1699" s="20" t="s">
        <v>4667</v>
      </c>
      <c r="I1699" s="21" t="s">
        <v>4664</v>
      </c>
      <c r="J1699" s="21" t="s">
        <v>99</v>
      </c>
      <c r="K1699" s="21" t="s">
        <v>2556</v>
      </c>
      <c r="L1699" s="21" t="s">
        <v>4668</v>
      </c>
      <c r="M1699" s="21" t="s">
        <v>102</v>
      </c>
      <c r="N1699" s="21"/>
    </row>
    <row r="1700" spans="1:14" ht="64.05" customHeight="1">
      <c r="A1700" s="20" t="s">
        <v>4630</v>
      </c>
      <c r="B1700" s="20" t="s">
        <v>23</v>
      </c>
      <c r="C1700" s="20" t="s">
        <v>103</v>
      </c>
      <c r="D1700" s="20" t="s">
        <v>104</v>
      </c>
      <c r="E1700" s="20" t="s">
        <v>4669</v>
      </c>
      <c r="F1700" s="20">
        <v>1</v>
      </c>
      <c r="G1700" s="20"/>
      <c r="H1700" s="20"/>
      <c r="I1700" s="21" t="s">
        <v>4670</v>
      </c>
      <c r="J1700" s="21"/>
      <c r="K1700" s="21" t="s">
        <v>4671</v>
      </c>
      <c r="L1700" s="21" t="s">
        <v>4672</v>
      </c>
      <c r="M1700" s="21" t="s">
        <v>62</v>
      </c>
      <c r="N1700" s="21" t="s">
        <v>951</v>
      </c>
    </row>
    <row r="1701" spans="1:14" ht="64.05" customHeight="1">
      <c r="A1701" s="20" t="s">
        <v>4630</v>
      </c>
      <c r="B1701" s="20" t="s">
        <v>23</v>
      </c>
      <c r="C1701" s="20" t="s">
        <v>103</v>
      </c>
      <c r="D1701" s="20" t="s">
        <v>104</v>
      </c>
      <c r="E1701" s="20" t="s">
        <v>4673</v>
      </c>
      <c r="F1701" s="20">
        <v>1</v>
      </c>
      <c r="G1701" s="20"/>
      <c r="H1701" s="20"/>
      <c r="I1701" s="21" t="s">
        <v>4674</v>
      </c>
      <c r="J1701" s="21"/>
      <c r="K1701" s="21" t="s">
        <v>4671</v>
      </c>
      <c r="L1701" s="21" t="s">
        <v>4672</v>
      </c>
      <c r="M1701" s="21" t="s">
        <v>62</v>
      </c>
      <c r="N1701" s="21" t="s">
        <v>951</v>
      </c>
    </row>
    <row r="1702" spans="1:14" ht="64.05" customHeight="1">
      <c r="A1702" s="20" t="s">
        <v>4630</v>
      </c>
      <c r="B1702" s="20" t="s">
        <v>23</v>
      </c>
      <c r="C1702" s="20" t="s">
        <v>103</v>
      </c>
      <c r="D1702" s="20" t="s">
        <v>104</v>
      </c>
      <c r="E1702" s="20" t="s">
        <v>4675</v>
      </c>
      <c r="F1702" s="20">
        <v>1</v>
      </c>
      <c r="G1702" s="20"/>
      <c r="H1702" s="20"/>
      <c r="I1702" s="21" t="s">
        <v>4676</v>
      </c>
      <c r="J1702" s="21"/>
      <c r="K1702" s="21" t="s">
        <v>4671</v>
      </c>
      <c r="L1702" s="21" t="s">
        <v>4672</v>
      </c>
      <c r="M1702" s="21" t="s">
        <v>62</v>
      </c>
      <c r="N1702" s="21" t="s">
        <v>951</v>
      </c>
    </row>
    <row r="1703" spans="1:14" ht="64.05" customHeight="1">
      <c r="A1703" s="20" t="s">
        <v>4630</v>
      </c>
      <c r="B1703" s="20" t="s">
        <v>23</v>
      </c>
      <c r="C1703" s="20" t="s">
        <v>103</v>
      </c>
      <c r="D1703" s="20" t="s">
        <v>104</v>
      </c>
      <c r="E1703" s="20" t="s">
        <v>4677</v>
      </c>
      <c r="F1703" s="20">
        <v>1</v>
      </c>
      <c r="G1703" s="20" t="s">
        <v>139</v>
      </c>
      <c r="H1703" s="20"/>
      <c r="I1703" s="21" t="s">
        <v>4678</v>
      </c>
      <c r="J1703" s="21"/>
      <c r="K1703" s="21" t="s">
        <v>4679</v>
      </c>
      <c r="L1703" s="21" t="s">
        <v>4680</v>
      </c>
      <c r="M1703" s="21" t="s">
        <v>73</v>
      </c>
      <c r="N1703" s="21"/>
    </row>
    <row r="1704" spans="1:14" ht="64.05" customHeight="1">
      <c r="A1704" s="20" t="s">
        <v>4630</v>
      </c>
      <c r="B1704" s="20" t="s">
        <v>24</v>
      </c>
      <c r="C1704" s="20" t="s">
        <v>426</v>
      </c>
      <c r="D1704" s="20" t="s">
        <v>427</v>
      </c>
      <c r="E1704" s="20" t="s">
        <v>4681</v>
      </c>
      <c r="F1704" s="20">
        <v>1</v>
      </c>
      <c r="G1704" s="20" t="s">
        <v>3395</v>
      </c>
      <c r="H1704" s="20" t="s">
        <v>4682</v>
      </c>
      <c r="I1704" s="21" t="s">
        <v>4683</v>
      </c>
      <c r="J1704" s="21"/>
      <c r="K1704" s="21" t="s">
        <v>4684</v>
      </c>
      <c r="L1704" s="21" t="s">
        <v>4685</v>
      </c>
      <c r="M1704" s="21" t="s">
        <v>73</v>
      </c>
      <c r="N1704" s="21"/>
    </row>
    <row r="1705" spans="1:14" ht="64.05" customHeight="1">
      <c r="A1705" s="20" t="s">
        <v>4630</v>
      </c>
      <c r="B1705" s="20" t="s">
        <v>24</v>
      </c>
      <c r="C1705" s="20" t="s">
        <v>426</v>
      </c>
      <c r="D1705" s="20" t="s">
        <v>427</v>
      </c>
      <c r="E1705" s="20" t="s">
        <v>4686</v>
      </c>
      <c r="F1705" s="20">
        <v>1</v>
      </c>
      <c r="G1705" s="20" t="s">
        <v>3395</v>
      </c>
      <c r="H1705" s="20" t="s">
        <v>4682</v>
      </c>
      <c r="I1705" s="21" t="s">
        <v>4683</v>
      </c>
      <c r="J1705" s="21"/>
      <c r="K1705" s="21" t="s">
        <v>4684</v>
      </c>
      <c r="L1705" s="21" t="s">
        <v>4685</v>
      </c>
      <c r="M1705" s="21" t="s">
        <v>73</v>
      </c>
      <c r="N1705" s="21"/>
    </row>
    <row r="1706" spans="1:14" ht="64.05" customHeight="1">
      <c r="A1706" s="20" t="s">
        <v>4630</v>
      </c>
      <c r="B1706" s="20" t="s">
        <v>24</v>
      </c>
      <c r="C1706" s="20" t="s">
        <v>431</v>
      </c>
      <c r="D1706" s="20" t="s">
        <v>216</v>
      </c>
      <c r="E1706" s="20" t="s">
        <v>4687</v>
      </c>
      <c r="F1706" s="20">
        <v>1</v>
      </c>
      <c r="G1706" s="20" t="s">
        <v>92</v>
      </c>
      <c r="H1706" s="20"/>
      <c r="I1706" s="21" t="s">
        <v>1394</v>
      </c>
      <c r="J1706" s="21"/>
      <c r="K1706" s="21" t="s">
        <v>4688</v>
      </c>
      <c r="L1706" s="21" t="s">
        <v>4689</v>
      </c>
      <c r="M1706" s="21" t="s">
        <v>62</v>
      </c>
      <c r="N1706" s="21" t="s">
        <v>957</v>
      </c>
    </row>
    <row r="1707" spans="1:14" ht="64.05" customHeight="1">
      <c r="A1707" s="20" t="s">
        <v>4630</v>
      </c>
      <c r="B1707" s="20" t="s">
        <v>24</v>
      </c>
      <c r="C1707" s="20" t="s">
        <v>431</v>
      </c>
      <c r="D1707" s="20" t="s">
        <v>216</v>
      </c>
      <c r="E1707" s="20" t="s">
        <v>4690</v>
      </c>
      <c r="F1707" s="20">
        <v>1</v>
      </c>
      <c r="G1707" s="20" t="s">
        <v>92</v>
      </c>
      <c r="H1707" s="20"/>
      <c r="I1707" s="21" t="s">
        <v>4691</v>
      </c>
      <c r="J1707" s="21"/>
      <c r="K1707" s="21"/>
      <c r="L1707" s="21" t="s">
        <v>4692</v>
      </c>
      <c r="M1707" s="21" t="s">
        <v>102</v>
      </c>
      <c r="N1707" s="21"/>
    </row>
    <row r="1708" spans="1:14" ht="64.05" customHeight="1">
      <c r="A1708" s="20" t="s">
        <v>4630</v>
      </c>
      <c r="B1708" s="20" t="s">
        <v>24</v>
      </c>
      <c r="C1708" s="20" t="s">
        <v>136</v>
      </c>
      <c r="D1708" s="20" t="s">
        <v>674</v>
      </c>
      <c r="E1708" s="20" t="s">
        <v>4693</v>
      </c>
      <c r="F1708" s="20">
        <v>1</v>
      </c>
      <c r="G1708" s="20" t="s">
        <v>92</v>
      </c>
      <c r="H1708" s="20"/>
      <c r="I1708" s="21" t="s">
        <v>140</v>
      </c>
      <c r="J1708" s="21" t="s">
        <v>672</v>
      </c>
      <c r="K1708" s="21" t="s">
        <v>141</v>
      </c>
      <c r="L1708" s="21" t="s">
        <v>4694</v>
      </c>
      <c r="M1708" s="21" t="s">
        <v>102</v>
      </c>
      <c r="N1708" s="21"/>
    </row>
    <row r="1709" spans="1:14" ht="64.05" customHeight="1">
      <c r="A1709" s="20" t="s">
        <v>4630</v>
      </c>
      <c r="B1709" s="20" t="s">
        <v>24</v>
      </c>
      <c r="C1709" s="20" t="s">
        <v>136</v>
      </c>
      <c r="D1709" s="20" t="s">
        <v>674</v>
      </c>
      <c r="E1709" s="20" t="s">
        <v>4695</v>
      </c>
      <c r="F1709" s="20">
        <v>1</v>
      </c>
      <c r="G1709" s="20" t="s">
        <v>92</v>
      </c>
      <c r="H1709" s="20"/>
      <c r="I1709" s="21" t="s">
        <v>140</v>
      </c>
      <c r="J1709" s="21" t="s">
        <v>672</v>
      </c>
      <c r="K1709" s="21" t="s">
        <v>141</v>
      </c>
      <c r="L1709" s="21" t="s">
        <v>4694</v>
      </c>
      <c r="M1709" s="21" t="s">
        <v>102</v>
      </c>
      <c r="N1709" s="21"/>
    </row>
    <row r="1710" spans="1:14" ht="64.05" customHeight="1">
      <c r="A1710" s="20" t="s">
        <v>4630</v>
      </c>
      <c r="B1710" s="20" t="s">
        <v>24</v>
      </c>
      <c r="C1710" s="20" t="s">
        <v>443</v>
      </c>
      <c r="D1710" s="20" t="s">
        <v>444</v>
      </c>
      <c r="E1710" s="20" t="s">
        <v>4696</v>
      </c>
      <c r="F1710" s="20">
        <v>1</v>
      </c>
      <c r="G1710" s="20" t="s">
        <v>92</v>
      </c>
      <c r="H1710" s="20"/>
      <c r="I1710" s="21" t="s">
        <v>140</v>
      </c>
      <c r="J1710" s="21" t="s">
        <v>99</v>
      </c>
      <c r="K1710" s="21" t="s">
        <v>141</v>
      </c>
      <c r="L1710" s="21" t="s">
        <v>4697</v>
      </c>
      <c r="M1710" s="21" t="s">
        <v>102</v>
      </c>
      <c r="N1710" s="21"/>
    </row>
    <row r="1711" spans="1:14" ht="64.05" customHeight="1">
      <c r="A1711" s="20" t="s">
        <v>4630</v>
      </c>
      <c r="B1711" s="20" t="s">
        <v>24</v>
      </c>
      <c r="C1711" s="20" t="s">
        <v>443</v>
      </c>
      <c r="D1711" s="20" t="s">
        <v>444</v>
      </c>
      <c r="E1711" s="20" t="s">
        <v>4698</v>
      </c>
      <c r="F1711" s="20">
        <v>1</v>
      </c>
      <c r="G1711" s="20" t="s">
        <v>92</v>
      </c>
      <c r="H1711" s="20"/>
      <c r="I1711" s="21" t="s">
        <v>140</v>
      </c>
      <c r="J1711" s="21" t="s">
        <v>99</v>
      </c>
      <c r="K1711" s="21" t="s">
        <v>141</v>
      </c>
      <c r="L1711" s="21" t="s">
        <v>4699</v>
      </c>
      <c r="M1711" s="21" t="s">
        <v>102</v>
      </c>
      <c r="N1711" s="21"/>
    </row>
    <row r="1712" spans="1:14" ht="64.05" customHeight="1">
      <c r="A1712" s="20" t="s">
        <v>4630</v>
      </c>
      <c r="B1712" s="20" t="s">
        <v>28</v>
      </c>
      <c r="C1712" s="20" t="s">
        <v>146</v>
      </c>
      <c r="D1712" s="20" t="s">
        <v>147</v>
      </c>
      <c r="E1712" s="20" t="s">
        <v>4700</v>
      </c>
      <c r="F1712" s="20">
        <v>1</v>
      </c>
      <c r="G1712" s="20" t="s">
        <v>139</v>
      </c>
      <c r="H1712" s="20"/>
      <c r="I1712" s="21" t="s">
        <v>4701</v>
      </c>
      <c r="J1712" s="21" t="s">
        <v>99</v>
      </c>
      <c r="K1712" s="21" t="s">
        <v>109</v>
      </c>
      <c r="L1712" s="21" t="s">
        <v>4702</v>
      </c>
      <c r="M1712" s="21" t="s">
        <v>62</v>
      </c>
      <c r="N1712" s="21" t="s">
        <v>63</v>
      </c>
    </row>
    <row r="1713" spans="1:14" ht="64.05" customHeight="1">
      <c r="A1713" s="20" t="s">
        <v>4630</v>
      </c>
      <c r="B1713" s="20" t="s">
        <v>28</v>
      </c>
      <c r="C1713" s="20" t="s">
        <v>146</v>
      </c>
      <c r="D1713" s="20" t="s">
        <v>147</v>
      </c>
      <c r="E1713" s="20" t="s">
        <v>4703</v>
      </c>
      <c r="F1713" s="20">
        <v>1</v>
      </c>
      <c r="G1713" s="20" t="s">
        <v>92</v>
      </c>
      <c r="H1713" s="20"/>
      <c r="I1713" s="21" t="s">
        <v>4704</v>
      </c>
      <c r="J1713" s="21" t="s">
        <v>99</v>
      </c>
      <c r="K1713" s="21"/>
      <c r="L1713" s="21" t="s">
        <v>4705</v>
      </c>
      <c r="M1713" s="21" t="s">
        <v>102</v>
      </c>
      <c r="N1713" s="21"/>
    </row>
    <row r="1714" spans="1:14" ht="64.05" customHeight="1">
      <c r="A1714" s="20" t="s">
        <v>4630</v>
      </c>
      <c r="B1714" s="20" t="s">
        <v>28</v>
      </c>
      <c r="C1714" s="20" t="s">
        <v>167</v>
      </c>
      <c r="D1714" s="20" t="s">
        <v>168</v>
      </c>
      <c r="E1714" s="20" t="s">
        <v>4706</v>
      </c>
      <c r="F1714" s="20">
        <v>1</v>
      </c>
      <c r="G1714" s="20" t="s">
        <v>92</v>
      </c>
      <c r="H1714" s="20"/>
      <c r="I1714" s="21" t="s">
        <v>4707</v>
      </c>
      <c r="J1714" s="21" t="s">
        <v>99</v>
      </c>
      <c r="K1714" s="21" t="s">
        <v>4708</v>
      </c>
      <c r="L1714" s="21" t="s">
        <v>4709</v>
      </c>
      <c r="M1714" s="21" t="s">
        <v>102</v>
      </c>
      <c r="N1714" s="21"/>
    </row>
    <row r="1715" spans="1:14" ht="64.05" customHeight="1">
      <c r="A1715" s="20" t="s">
        <v>4630</v>
      </c>
      <c r="B1715" s="20" t="s">
        <v>28</v>
      </c>
      <c r="C1715" s="20" t="s">
        <v>167</v>
      </c>
      <c r="D1715" s="20" t="s">
        <v>168</v>
      </c>
      <c r="E1715" s="20" t="s">
        <v>4710</v>
      </c>
      <c r="F1715" s="20">
        <v>1</v>
      </c>
      <c r="G1715" s="20" t="s">
        <v>92</v>
      </c>
      <c r="H1715" s="20"/>
      <c r="I1715" s="21" t="s">
        <v>4711</v>
      </c>
      <c r="J1715" s="21"/>
      <c r="K1715" s="21" t="s">
        <v>4712</v>
      </c>
      <c r="L1715" s="21" t="s">
        <v>4713</v>
      </c>
      <c r="M1715" s="21" t="s">
        <v>73</v>
      </c>
      <c r="N1715" s="21"/>
    </row>
    <row r="1716" spans="1:14" ht="64.05" customHeight="1">
      <c r="A1716" s="20" t="s">
        <v>4630</v>
      </c>
      <c r="B1716" s="20" t="s">
        <v>30</v>
      </c>
      <c r="C1716" s="20" t="s">
        <v>180</v>
      </c>
      <c r="D1716" s="20" t="s">
        <v>181</v>
      </c>
      <c r="E1716" s="20" t="s">
        <v>4714</v>
      </c>
      <c r="F1716" s="20">
        <v>1</v>
      </c>
      <c r="G1716" s="20" t="s">
        <v>3391</v>
      </c>
      <c r="H1716" s="20" t="s">
        <v>4715</v>
      </c>
      <c r="I1716" s="21" t="s">
        <v>4716</v>
      </c>
      <c r="J1716" s="21"/>
      <c r="K1716" s="21" t="s">
        <v>1417</v>
      </c>
      <c r="L1716" s="21" t="s">
        <v>4717</v>
      </c>
      <c r="M1716" s="21" t="s">
        <v>73</v>
      </c>
      <c r="N1716" s="21"/>
    </row>
    <row r="1717" spans="1:14" ht="64.05" customHeight="1">
      <c r="A1717" s="20" t="s">
        <v>4630</v>
      </c>
      <c r="B1717" s="20" t="s">
        <v>30</v>
      </c>
      <c r="C1717" s="20" t="s">
        <v>180</v>
      </c>
      <c r="D1717" s="20" t="s">
        <v>181</v>
      </c>
      <c r="E1717" s="20" t="s">
        <v>4718</v>
      </c>
      <c r="F1717" s="20">
        <v>1</v>
      </c>
      <c r="G1717" s="20" t="s">
        <v>4719</v>
      </c>
      <c r="H1717" s="20" t="s">
        <v>4720</v>
      </c>
      <c r="I1717" s="21" t="s">
        <v>4721</v>
      </c>
      <c r="J1717" s="21"/>
      <c r="K1717" s="21" t="s">
        <v>1417</v>
      </c>
      <c r="L1717" s="21" t="s">
        <v>4722</v>
      </c>
      <c r="M1717" s="21" t="s">
        <v>73</v>
      </c>
      <c r="N1717" s="21"/>
    </row>
    <row r="1718" spans="1:14" ht="64.05" customHeight="1">
      <c r="A1718" s="20" t="s">
        <v>4630</v>
      </c>
      <c r="B1718" s="20" t="s">
        <v>30</v>
      </c>
      <c r="C1718" s="20" t="s">
        <v>180</v>
      </c>
      <c r="D1718" s="20" t="s">
        <v>181</v>
      </c>
      <c r="E1718" s="20" t="s">
        <v>4723</v>
      </c>
      <c r="F1718" s="20">
        <v>1</v>
      </c>
      <c r="G1718" s="20" t="s">
        <v>210</v>
      </c>
      <c r="H1718" s="20" t="s">
        <v>780</v>
      </c>
      <c r="I1718" s="21" t="s">
        <v>4724</v>
      </c>
      <c r="J1718" s="21"/>
      <c r="K1718" s="21" t="s">
        <v>1417</v>
      </c>
      <c r="L1718" s="21" t="s">
        <v>4725</v>
      </c>
      <c r="M1718" s="21" t="s">
        <v>73</v>
      </c>
      <c r="N1718" s="21"/>
    </row>
    <row r="1719" spans="1:14" ht="64.05" customHeight="1">
      <c r="A1719" s="20" t="s">
        <v>4630</v>
      </c>
      <c r="B1719" s="20" t="s">
        <v>30</v>
      </c>
      <c r="C1719" s="20" t="s">
        <v>180</v>
      </c>
      <c r="D1719" s="20" t="s">
        <v>181</v>
      </c>
      <c r="E1719" s="20" t="s">
        <v>4726</v>
      </c>
      <c r="F1719" s="20">
        <v>1</v>
      </c>
      <c r="G1719" s="20" t="s">
        <v>4727</v>
      </c>
      <c r="H1719" s="20" t="s">
        <v>4715</v>
      </c>
      <c r="I1719" s="21" t="s">
        <v>4724</v>
      </c>
      <c r="J1719" s="21"/>
      <c r="K1719" s="21" t="s">
        <v>1417</v>
      </c>
      <c r="L1719" s="21" t="s">
        <v>4728</v>
      </c>
      <c r="M1719" s="21" t="s">
        <v>73</v>
      </c>
      <c r="N1719" s="21"/>
    </row>
    <row r="1720" spans="1:14" ht="64.05" customHeight="1">
      <c r="A1720" s="20" t="s">
        <v>4630</v>
      </c>
      <c r="B1720" s="20" t="s">
        <v>30</v>
      </c>
      <c r="C1720" s="20" t="s">
        <v>180</v>
      </c>
      <c r="D1720" s="20" t="s">
        <v>181</v>
      </c>
      <c r="E1720" s="20" t="s">
        <v>4729</v>
      </c>
      <c r="F1720" s="20">
        <v>1</v>
      </c>
      <c r="G1720" s="20" t="s">
        <v>4730</v>
      </c>
      <c r="H1720" s="20" t="s">
        <v>732</v>
      </c>
      <c r="I1720" s="21" t="s">
        <v>4724</v>
      </c>
      <c r="J1720" s="21"/>
      <c r="K1720" s="21" t="s">
        <v>1417</v>
      </c>
      <c r="L1720" s="21" t="s">
        <v>4731</v>
      </c>
      <c r="M1720" s="21" t="s">
        <v>73</v>
      </c>
      <c r="N1720" s="21"/>
    </row>
    <row r="1721" spans="1:14" ht="64.05" customHeight="1">
      <c r="A1721" s="20" t="s">
        <v>4630</v>
      </c>
      <c r="B1721" s="20" t="s">
        <v>30</v>
      </c>
      <c r="C1721" s="20" t="s">
        <v>4732</v>
      </c>
      <c r="D1721" s="20" t="s">
        <v>4733</v>
      </c>
      <c r="E1721" s="20" t="s">
        <v>4734</v>
      </c>
      <c r="F1721" s="20">
        <v>1</v>
      </c>
      <c r="G1721" s="20" t="s">
        <v>4730</v>
      </c>
      <c r="H1721" s="20" t="s">
        <v>732</v>
      </c>
      <c r="I1721" s="21" t="s">
        <v>4724</v>
      </c>
      <c r="J1721" s="21"/>
      <c r="K1721" s="21" t="s">
        <v>1417</v>
      </c>
      <c r="L1721" s="21" t="s">
        <v>4735</v>
      </c>
      <c r="M1721" s="21" t="s">
        <v>73</v>
      </c>
      <c r="N1721" s="21"/>
    </row>
    <row r="1722" spans="1:14" ht="64.05" customHeight="1">
      <c r="A1722" s="20" t="s">
        <v>4630</v>
      </c>
      <c r="B1722" s="20" t="s">
        <v>30</v>
      </c>
      <c r="C1722" s="20" t="s">
        <v>180</v>
      </c>
      <c r="D1722" s="20" t="s">
        <v>181</v>
      </c>
      <c r="E1722" s="20" t="s">
        <v>4736</v>
      </c>
      <c r="F1722" s="20">
        <v>1</v>
      </c>
      <c r="G1722" s="20" t="s">
        <v>901</v>
      </c>
      <c r="H1722" s="20" t="s">
        <v>4737</v>
      </c>
      <c r="I1722" s="21" t="s">
        <v>4738</v>
      </c>
      <c r="J1722" s="21"/>
      <c r="K1722" s="21" t="s">
        <v>1417</v>
      </c>
      <c r="L1722" s="21" t="s">
        <v>4739</v>
      </c>
      <c r="M1722" s="21" t="s">
        <v>73</v>
      </c>
      <c r="N1722" s="21"/>
    </row>
    <row r="1723" spans="1:14" ht="64.05" customHeight="1">
      <c r="A1723" s="20" t="s">
        <v>4630</v>
      </c>
      <c r="B1723" s="20" t="s">
        <v>30</v>
      </c>
      <c r="C1723" s="20" t="s">
        <v>180</v>
      </c>
      <c r="D1723" s="20" t="s">
        <v>181</v>
      </c>
      <c r="E1723" s="20" t="s">
        <v>4740</v>
      </c>
      <c r="F1723" s="20">
        <v>1</v>
      </c>
      <c r="G1723" s="20" t="s">
        <v>901</v>
      </c>
      <c r="H1723" s="20" t="s">
        <v>4737</v>
      </c>
      <c r="I1723" s="21" t="s">
        <v>4741</v>
      </c>
      <c r="J1723" s="21"/>
      <c r="K1723" s="21" t="s">
        <v>4684</v>
      </c>
      <c r="L1723" s="21" t="s">
        <v>4742</v>
      </c>
      <c r="M1723" s="21" t="s">
        <v>62</v>
      </c>
      <c r="N1723" s="21" t="s">
        <v>811</v>
      </c>
    </row>
    <row r="1724" spans="1:14" ht="64.05" customHeight="1">
      <c r="A1724" s="20" t="s">
        <v>4630</v>
      </c>
      <c r="B1724" s="20" t="s">
        <v>30</v>
      </c>
      <c r="C1724" s="20" t="s">
        <v>188</v>
      </c>
      <c r="D1724" s="20" t="s">
        <v>189</v>
      </c>
      <c r="E1724" s="20" t="s">
        <v>4743</v>
      </c>
      <c r="F1724" s="20">
        <v>1</v>
      </c>
      <c r="G1724" s="20" t="s">
        <v>919</v>
      </c>
      <c r="H1724" s="20" t="s">
        <v>4744</v>
      </c>
      <c r="I1724" s="21" t="s">
        <v>1477</v>
      </c>
      <c r="J1724" s="21" t="s">
        <v>245</v>
      </c>
      <c r="K1724" s="21" t="s">
        <v>109</v>
      </c>
      <c r="L1724" s="21" t="s">
        <v>4745</v>
      </c>
      <c r="M1724" s="21" t="s">
        <v>73</v>
      </c>
      <c r="N1724" s="21"/>
    </row>
    <row r="1725" spans="1:14" ht="64.05" customHeight="1">
      <c r="A1725" s="20" t="s">
        <v>4630</v>
      </c>
      <c r="B1725" s="20" t="s">
        <v>30</v>
      </c>
      <c r="C1725" s="20" t="s">
        <v>188</v>
      </c>
      <c r="D1725" s="20" t="s">
        <v>189</v>
      </c>
      <c r="E1725" s="20" t="s">
        <v>4746</v>
      </c>
      <c r="F1725" s="20">
        <v>1</v>
      </c>
      <c r="G1725" s="20" t="s">
        <v>1987</v>
      </c>
      <c r="H1725" s="20" t="s">
        <v>4747</v>
      </c>
      <c r="I1725" s="21" t="s">
        <v>4748</v>
      </c>
      <c r="J1725" s="21"/>
      <c r="K1725" s="21" t="s">
        <v>78</v>
      </c>
      <c r="L1725" s="21" t="s">
        <v>4749</v>
      </c>
      <c r="M1725" s="21" t="s">
        <v>73</v>
      </c>
      <c r="N1725" s="21"/>
    </row>
    <row r="1726" spans="1:14" ht="64.05" customHeight="1">
      <c r="A1726" s="20" t="s">
        <v>4630</v>
      </c>
      <c r="B1726" s="20" t="s">
        <v>26</v>
      </c>
      <c r="C1726" s="20" t="s">
        <v>196</v>
      </c>
      <c r="D1726" s="20" t="s">
        <v>197</v>
      </c>
      <c r="E1726" s="20" t="s">
        <v>4750</v>
      </c>
      <c r="F1726" s="20">
        <v>1</v>
      </c>
      <c r="G1726" s="20" t="s">
        <v>2290</v>
      </c>
      <c r="H1726" s="20" t="s">
        <v>3671</v>
      </c>
      <c r="I1726" s="21" t="s">
        <v>4751</v>
      </c>
      <c r="J1726" s="21"/>
      <c r="K1726" s="21" t="s">
        <v>1417</v>
      </c>
      <c r="L1726" s="21" t="s">
        <v>4752</v>
      </c>
      <c r="M1726" s="21" t="s">
        <v>73</v>
      </c>
      <c r="N1726" s="21"/>
    </row>
    <row r="1727" spans="1:14" ht="64.05" customHeight="1">
      <c r="A1727" s="20" t="s">
        <v>4630</v>
      </c>
      <c r="B1727" s="20" t="s">
        <v>26</v>
      </c>
      <c r="C1727" s="20" t="s">
        <v>196</v>
      </c>
      <c r="D1727" s="20" t="s">
        <v>197</v>
      </c>
      <c r="E1727" s="20" t="s">
        <v>4753</v>
      </c>
      <c r="F1727" s="20">
        <v>1</v>
      </c>
      <c r="G1727" s="20" t="s">
        <v>1109</v>
      </c>
      <c r="H1727" s="20" t="s">
        <v>4754</v>
      </c>
      <c r="I1727" s="21" t="s">
        <v>4755</v>
      </c>
      <c r="J1727" s="21"/>
      <c r="K1727" s="21" t="s">
        <v>109</v>
      </c>
      <c r="L1727" s="21" t="s">
        <v>4752</v>
      </c>
      <c r="M1727" s="21" t="s">
        <v>73</v>
      </c>
      <c r="N1727" s="21"/>
    </row>
    <row r="1728" spans="1:14" ht="64.05" customHeight="1">
      <c r="A1728" s="20" t="s">
        <v>4630</v>
      </c>
      <c r="B1728" s="20" t="s">
        <v>26</v>
      </c>
      <c r="C1728" s="20" t="s">
        <v>196</v>
      </c>
      <c r="D1728" s="20" t="s">
        <v>197</v>
      </c>
      <c r="E1728" s="20" t="s">
        <v>4756</v>
      </c>
      <c r="F1728" s="20">
        <v>1</v>
      </c>
      <c r="G1728" s="20" t="s">
        <v>1221</v>
      </c>
      <c r="H1728" s="20" t="s">
        <v>4757</v>
      </c>
      <c r="I1728" s="21" t="s">
        <v>4751</v>
      </c>
      <c r="J1728" s="21"/>
      <c r="K1728" s="21" t="s">
        <v>1417</v>
      </c>
      <c r="L1728" s="21" t="s">
        <v>4752</v>
      </c>
      <c r="M1728" s="21" t="s">
        <v>73</v>
      </c>
      <c r="N1728" s="21"/>
    </row>
    <row r="1729" spans="1:14" ht="64.05" customHeight="1">
      <c r="A1729" s="20" t="s">
        <v>4630</v>
      </c>
      <c r="B1729" s="20" t="s">
        <v>26</v>
      </c>
      <c r="C1729" s="20" t="s">
        <v>196</v>
      </c>
      <c r="D1729" s="20" t="s">
        <v>197</v>
      </c>
      <c r="E1729" s="20" t="s">
        <v>4758</v>
      </c>
      <c r="F1729" s="20">
        <v>1</v>
      </c>
      <c r="G1729" s="20" t="s">
        <v>1221</v>
      </c>
      <c r="H1729" s="20" t="s">
        <v>4757</v>
      </c>
      <c r="I1729" s="21" t="s">
        <v>4751</v>
      </c>
      <c r="J1729" s="21"/>
      <c r="K1729" s="21" t="s">
        <v>1417</v>
      </c>
      <c r="L1729" s="21" t="s">
        <v>4752</v>
      </c>
      <c r="M1729" s="21" t="s">
        <v>73</v>
      </c>
      <c r="N1729" s="21"/>
    </row>
    <row r="1730" spans="1:14" ht="64.05" customHeight="1">
      <c r="A1730" s="20" t="s">
        <v>4630</v>
      </c>
      <c r="B1730" s="20" t="s">
        <v>26</v>
      </c>
      <c r="C1730" s="20" t="s">
        <v>196</v>
      </c>
      <c r="D1730" s="20" t="s">
        <v>197</v>
      </c>
      <c r="E1730" s="20" t="s">
        <v>4759</v>
      </c>
      <c r="F1730" s="20">
        <v>1</v>
      </c>
      <c r="G1730" s="20" t="s">
        <v>2470</v>
      </c>
      <c r="H1730" s="20" t="s">
        <v>3733</v>
      </c>
      <c r="I1730" s="21" t="s">
        <v>112</v>
      </c>
      <c r="J1730" s="21" t="s">
        <v>99</v>
      </c>
      <c r="K1730" s="21" t="s">
        <v>2556</v>
      </c>
      <c r="L1730" s="21" t="s">
        <v>4760</v>
      </c>
      <c r="M1730" s="21" t="s">
        <v>102</v>
      </c>
      <c r="N1730" s="21"/>
    </row>
    <row r="1731" spans="1:14" ht="64.05" customHeight="1">
      <c r="A1731" s="20" t="s">
        <v>4630</v>
      </c>
      <c r="B1731" s="20" t="s">
        <v>33</v>
      </c>
      <c r="C1731" s="20" t="s">
        <v>2314</v>
      </c>
      <c r="D1731" s="20" t="s">
        <v>2315</v>
      </c>
      <c r="E1731" s="20" t="s">
        <v>4761</v>
      </c>
      <c r="F1731" s="20">
        <v>1</v>
      </c>
      <c r="G1731" s="20" t="s">
        <v>3395</v>
      </c>
      <c r="H1731" s="20" t="s">
        <v>4682</v>
      </c>
      <c r="I1731" s="21" t="s">
        <v>4762</v>
      </c>
      <c r="J1731" s="21"/>
      <c r="K1731" s="21" t="s">
        <v>1417</v>
      </c>
      <c r="L1731" s="21" t="s">
        <v>4763</v>
      </c>
      <c r="M1731" s="21" t="s">
        <v>73</v>
      </c>
      <c r="N1731" s="21"/>
    </row>
    <row r="1732" spans="1:14" ht="64.05" customHeight="1">
      <c r="A1732" s="20" t="s">
        <v>4630</v>
      </c>
      <c r="B1732" s="20" t="s">
        <v>33</v>
      </c>
      <c r="C1732" s="20" t="s">
        <v>2314</v>
      </c>
      <c r="D1732" s="20" t="s">
        <v>2315</v>
      </c>
      <c r="E1732" s="20" t="s">
        <v>4764</v>
      </c>
      <c r="F1732" s="20">
        <v>1</v>
      </c>
      <c r="G1732" s="20" t="s">
        <v>3395</v>
      </c>
      <c r="H1732" s="20" t="s">
        <v>4682</v>
      </c>
      <c r="I1732" s="21" t="s">
        <v>4762</v>
      </c>
      <c r="J1732" s="21"/>
      <c r="K1732" s="21" t="s">
        <v>1417</v>
      </c>
      <c r="L1732" s="21" t="s">
        <v>4763</v>
      </c>
      <c r="M1732" s="21" t="s">
        <v>73</v>
      </c>
      <c r="N1732" s="21"/>
    </row>
    <row r="1733" spans="1:14" ht="64.05" customHeight="1">
      <c r="A1733" s="20" t="s">
        <v>4630</v>
      </c>
      <c r="B1733" s="20" t="s">
        <v>33</v>
      </c>
      <c r="C1733" s="20" t="s">
        <v>2314</v>
      </c>
      <c r="D1733" s="20" t="s">
        <v>2315</v>
      </c>
      <c r="E1733" s="20" t="s">
        <v>4765</v>
      </c>
      <c r="F1733" s="20">
        <v>1</v>
      </c>
      <c r="G1733" s="20" t="s">
        <v>3395</v>
      </c>
      <c r="H1733" s="20" t="s">
        <v>4682</v>
      </c>
      <c r="I1733" s="21" t="s">
        <v>4762</v>
      </c>
      <c r="J1733" s="21"/>
      <c r="K1733" s="21" t="s">
        <v>1417</v>
      </c>
      <c r="L1733" s="21" t="s">
        <v>4763</v>
      </c>
      <c r="M1733" s="21" t="s">
        <v>73</v>
      </c>
      <c r="N1733" s="21"/>
    </row>
    <row r="1734" spans="1:14" ht="64.05" customHeight="1">
      <c r="A1734" s="20" t="s">
        <v>4630</v>
      </c>
      <c r="B1734" s="20" t="s">
        <v>33</v>
      </c>
      <c r="C1734" s="20" t="s">
        <v>2314</v>
      </c>
      <c r="D1734" s="20" t="s">
        <v>2315</v>
      </c>
      <c r="E1734" s="20" t="s">
        <v>4766</v>
      </c>
      <c r="F1734" s="20">
        <v>1</v>
      </c>
      <c r="G1734" s="20" t="s">
        <v>3395</v>
      </c>
      <c r="H1734" s="20" t="s">
        <v>4682</v>
      </c>
      <c r="I1734" s="21" t="s">
        <v>4762</v>
      </c>
      <c r="J1734" s="21"/>
      <c r="K1734" s="21" t="s">
        <v>1417</v>
      </c>
      <c r="L1734" s="21" t="s">
        <v>4763</v>
      </c>
      <c r="M1734" s="21" t="s">
        <v>73</v>
      </c>
      <c r="N1734" s="21"/>
    </row>
    <row r="1735" spans="1:14" ht="64.05" customHeight="1">
      <c r="A1735" s="20" t="s">
        <v>4630</v>
      </c>
      <c r="B1735" s="20" t="s">
        <v>33</v>
      </c>
      <c r="C1735" s="20" t="s">
        <v>2314</v>
      </c>
      <c r="D1735" s="20" t="s">
        <v>2315</v>
      </c>
      <c r="E1735" s="20" t="s">
        <v>4767</v>
      </c>
      <c r="F1735" s="20">
        <v>1</v>
      </c>
      <c r="G1735" s="20" t="s">
        <v>3395</v>
      </c>
      <c r="H1735" s="20" t="s">
        <v>4682</v>
      </c>
      <c r="I1735" s="21" t="s">
        <v>4762</v>
      </c>
      <c r="J1735" s="21"/>
      <c r="K1735" s="21" t="s">
        <v>1417</v>
      </c>
      <c r="L1735" s="21" t="s">
        <v>4763</v>
      </c>
      <c r="M1735" s="21" t="s">
        <v>73</v>
      </c>
      <c r="N1735" s="21"/>
    </row>
    <row r="1736" spans="1:14" ht="64.05" customHeight="1">
      <c r="A1736" s="20" t="s">
        <v>4630</v>
      </c>
      <c r="B1736" s="20" t="s">
        <v>33</v>
      </c>
      <c r="C1736" s="20" t="s">
        <v>2314</v>
      </c>
      <c r="D1736" s="20" t="s">
        <v>2315</v>
      </c>
      <c r="E1736" s="20" t="s">
        <v>4768</v>
      </c>
      <c r="F1736" s="20">
        <v>1</v>
      </c>
      <c r="G1736" s="20" t="s">
        <v>3395</v>
      </c>
      <c r="H1736" s="20" t="s">
        <v>4682</v>
      </c>
      <c r="I1736" s="21" t="s">
        <v>4762</v>
      </c>
      <c r="J1736" s="21"/>
      <c r="K1736" s="21" t="s">
        <v>1417</v>
      </c>
      <c r="L1736" s="21" t="s">
        <v>4763</v>
      </c>
      <c r="M1736" s="21" t="s">
        <v>73</v>
      </c>
      <c r="N1736" s="21"/>
    </row>
    <row r="1737" spans="1:14" ht="64.05" customHeight="1">
      <c r="A1737" s="20" t="s">
        <v>4630</v>
      </c>
      <c r="B1737" s="20" t="s">
        <v>33</v>
      </c>
      <c r="C1737" s="20" t="s">
        <v>2314</v>
      </c>
      <c r="D1737" s="20" t="s">
        <v>2315</v>
      </c>
      <c r="E1737" s="20" t="s">
        <v>4769</v>
      </c>
      <c r="F1737" s="20">
        <v>1</v>
      </c>
      <c r="G1737" s="20" t="s">
        <v>3395</v>
      </c>
      <c r="H1737" s="20" t="s">
        <v>4682</v>
      </c>
      <c r="I1737" s="21" t="s">
        <v>4762</v>
      </c>
      <c r="J1737" s="21"/>
      <c r="K1737" s="21" t="s">
        <v>1417</v>
      </c>
      <c r="L1737" s="21" t="s">
        <v>4763</v>
      </c>
      <c r="M1737" s="21" t="s">
        <v>73</v>
      </c>
      <c r="N1737" s="21"/>
    </row>
    <row r="1738" spans="1:14" ht="64.05" customHeight="1">
      <c r="A1738" s="20" t="s">
        <v>4630</v>
      </c>
      <c r="B1738" s="20" t="s">
        <v>33</v>
      </c>
      <c r="C1738" s="20" t="s">
        <v>2314</v>
      </c>
      <c r="D1738" s="20" t="s">
        <v>2315</v>
      </c>
      <c r="E1738" s="20" t="s">
        <v>4770</v>
      </c>
      <c r="F1738" s="20">
        <v>1</v>
      </c>
      <c r="G1738" s="20" t="s">
        <v>92</v>
      </c>
      <c r="H1738" s="20"/>
      <c r="I1738" s="21" t="s">
        <v>3676</v>
      </c>
      <c r="J1738" s="21"/>
      <c r="K1738" s="21" t="s">
        <v>819</v>
      </c>
      <c r="L1738" s="21" t="s">
        <v>4771</v>
      </c>
      <c r="M1738" s="21" t="s">
        <v>102</v>
      </c>
      <c r="N1738" s="21"/>
    </row>
    <row r="1739" spans="1:14" ht="64.05" customHeight="1">
      <c r="A1739" s="20" t="s">
        <v>4630</v>
      </c>
      <c r="B1739" s="20" t="s">
        <v>33</v>
      </c>
      <c r="C1739" s="20" t="s">
        <v>2103</v>
      </c>
      <c r="D1739" s="20" t="s">
        <v>2104</v>
      </c>
      <c r="E1739" s="20" t="s">
        <v>4772</v>
      </c>
      <c r="F1739" s="20">
        <v>1</v>
      </c>
      <c r="G1739" s="20" t="s">
        <v>2271</v>
      </c>
      <c r="H1739" s="20" t="s">
        <v>4773</v>
      </c>
      <c r="I1739" s="21" t="s">
        <v>140</v>
      </c>
      <c r="J1739" s="21"/>
      <c r="K1739" s="21"/>
      <c r="L1739" s="21" t="s">
        <v>4774</v>
      </c>
      <c r="M1739" s="21" t="s">
        <v>73</v>
      </c>
      <c r="N1739" s="21"/>
    </row>
    <row r="1740" spans="1:14" ht="64.05" customHeight="1">
      <c r="A1740" s="20" t="s">
        <v>4630</v>
      </c>
      <c r="B1740" s="20" t="s">
        <v>29</v>
      </c>
      <c r="C1740" s="20" t="s">
        <v>1084</v>
      </c>
      <c r="D1740" s="20" t="s">
        <v>1085</v>
      </c>
      <c r="E1740" s="20" t="s">
        <v>4775</v>
      </c>
      <c r="F1740" s="20">
        <v>1</v>
      </c>
      <c r="G1740" s="20" t="s">
        <v>4776</v>
      </c>
      <c r="H1740" s="20" t="s">
        <v>4777</v>
      </c>
      <c r="I1740" s="21" t="s">
        <v>4778</v>
      </c>
      <c r="J1740" s="21"/>
      <c r="K1740" s="21" t="s">
        <v>78</v>
      </c>
      <c r="L1740" s="21" t="s">
        <v>4779</v>
      </c>
      <c r="M1740" s="21" t="s">
        <v>62</v>
      </c>
      <c r="N1740" s="21" t="s">
        <v>811</v>
      </c>
    </row>
  </sheetData>
  <mergeCells count="3">
    <mergeCell ref="A1:N2"/>
    <mergeCell ref="A3:N3"/>
    <mergeCell ref="A4:N4"/>
  </mergeCells>
  <conditionalFormatting sqref="M6:M1740">
    <cfRule type="expression" dxfId="12" priority="1">
      <formula>$M6="SAUVÉ"</formula>
    </cfRule>
    <cfRule type="expression" dxfId="11" priority="2">
      <formula>$M6="CHARGÉ"</formula>
    </cfRule>
    <cfRule type="expression" dxfId="10" priority="3">
      <formula>$M6="NON CHARGÉ"</formula>
    </cfRule>
    <cfRule type="expression" dxfId="9" priority="4">
      <formula>$M6="ANNULÉ"</formula>
    </cfRule>
    <cfRule type="expression" dxfId="8" priority="5">
      <formula>M6="SAUVÉ"</formula>
    </cfRule>
    <cfRule type="expression" dxfId="7" priority="6">
      <formula>M6="CHARGÉ"</formula>
    </cfRule>
    <cfRule type="expression" dxfId="6" priority="7">
      <formula>M6="NON CHARGÉ"</formula>
    </cfRule>
    <cfRule type="expression" dxfId="5" priority="8">
      <formula>M6="ANNULÉ"</formula>
    </cfRule>
  </conditionalFormatting>
  <conditionalFormatting sqref="E6:E1740">
    <cfRule type="expression" dxfId="4" priority="9">
      <formula>AND(E6&lt;&gt;"",COUNTIF($E$6:$E$1740,E6)&gt;1)</formula>
    </cfRule>
  </conditionalFormatting>
  <dataValidations count="1">
    <dataValidation type="list" sqref="M6:M1740">
      <formula1>"SAUVÉ,CHARGÉ,NON CHARGÉ,ANNULÉ"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pane ySplit="8" topLeftCell="A9" activePane="bottomLeft" state="frozen"/>
      <selection pane="bottomLeft" sqref="A1:N2"/>
    </sheetView>
  </sheetViews>
  <sheetFormatPr baseColWidth="10" defaultColWidth="8.796875" defaultRowHeight="13.8"/>
  <cols>
    <col min="1" max="1" width="15" customWidth="1"/>
    <col min="2" max="2" width="19" customWidth="1"/>
    <col min="3" max="5" width="13" customWidth="1"/>
    <col min="6" max="6" width="19" customWidth="1"/>
    <col min="7" max="7" width="13" customWidth="1"/>
    <col min="8" max="8" width="4" customWidth="1"/>
    <col min="9" max="9" width="18" customWidth="1"/>
    <col min="10" max="14" width="15" customWidth="1"/>
  </cols>
  <sheetData>
    <row r="1" spans="1:14" ht="27" customHeight="1">
      <c r="A1" s="49" t="s">
        <v>4780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4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5" spans="1:14" ht="16.8">
      <c r="A5" t="s">
        <v>4781</v>
      </c>
      <c r="C5" s="3" t="s">
        <v>3873</v>
      </c>
    </row>
    <row r="7" spans="1:14">
      <c r="A7" t="s">
        <v>4782</v>
      </c>
      <c r="I7" s="57" t="s">
        <v>4783</v>
      </c>
      <c r="J7" s="57"/>
      <c r="K7" s="57"/>
      <c r="L7" s="57"/>
      <c r="M7" s="57"/>
      <c r="N7" s="57"/>
    </row>
    <row r="8" spans="1:14" ht="30" customHeight="1">
      <c r="A8" s="1" t="s">
        <v>16</v>
      </c>
      <c r="B8" s="19" t="s">
        <v>4784</v>
      </c>
      <c r="C8" s="19" t="s">
        <v>2</v>
      </c>
      <c r="D8" s="19" t="s">
        <v>4</v>
      </c>
      <c r="E8" s="19" t="s">
        <v>5</v>
      </c>
      <c r="F8" s="19" t="s">
        <v>6</v>
      </c>
      <c r="G8" s="19" t="s">
        <v>7</v>
      </c>
      <c r="H8" s="4"/>
      <c r="I8" s="4"/>
      <c r="J8" s="4"/>
      <c r="K8" s="4"/>
      <c r="L8" s="4"/>
      <c r="M8" s="4"/>
      <c r="N8" s="4"/>
    </row>
    <row r="9" spans="1:14" ht="13.8" customHeight="1">
      <c r="A9" t="s">
        <v>21</v>
      </c>
      <c r="B9" s="5">
        <f>IFERROR(INDEX('SYNTHÈSE PAR DATE'!$I$6:$I$35,MATCH($C$5,'SYNTHÈSE PAR DATE'!$A$6:$A$35,0)),0)</f>
        <v>0</v>
      </c>
      <c r="C9" s="5">
        <f>COUNTIFS(BASE!$A$6:$A$1740,$C$5,BASE!$B$6:$B$1740,A9)</f>
        <v>0</v>
      </c>
      <c r="D9" s="5">
        <f>COUNTIFS(BASE!$A$6:$A$1740,$C$5,BASE!$B$6:$B$1740,A9,BASE!$M$6:$M$1740,"SAUVÉ")</f>
        <v>0</v>
      </c>
      <c r="E9" s="5">
        <f>COUNTIFS(BASE!$A$6:$A$1740,$C$5,BASE!$B$6:$B$1740,A9,BASE!$M$6:$M$1740,"CHARGÉ")</f>
        <v>0</v>
      </c>
      <c r="F9" s="5">
        <f>COUNTIFS(BASE!$A$6:$A$1740,$C$5,BASE!$B$6:$B$1740,A9,BASE!$M$6:$M$1740,"NON CHARGÉ")</f>
        <v>0</v>
      </c>
      <c r="G9" s="5">
        <f>COUNTIFS(BASE!$A$6:$A$1740,$C$5,BASE!$B$6:$B$1740,A9,BASE!$M$6:$M$1740,"ANNULÉ")</f>
        <v>0</v>
      </c>
      <c r="H9" s="4"/>
      <c r="I9" s="58" t="s">
        <v>4785</v>
      </c>
      <c r="J9" s="58"/>
      <c r="K9" s="58"/>
      <c r="L9" s="58"/>
      <c r="M9" s="58"/>
      <c r="N9" s="58"/>
    </row>
    <row r="10" spans="1:14">
      <c r="A10" t="s">
        <v>20</v>
      </c>
      <c r="B10" s="5">
        <f>IFERROR(INDEX('SYNTHÈSE PAR DATE'!$J$6:$J$35,MATCH($C$5,'SYNTHÈSE PAR DATE'!$A$6:$A$35,0)),0)</f>
        <v>202</v>
      </c>
      <c r="C10" s="5">
        <f>COUNTIFS(BASE!$A$6:$A$1740,$C$5,BASE!$B$6:$B$1740,A10)</f>
        <v>5</v>
      </c>
      <c r="D10" s="5">
        <f>COUNTIFS(BASE!$A$6:$A$1740,$C$5,BASE!$B$6:$B$1740,A10,BASE!$M$6:$M$1740,"SAUVÉ")</f>
        <v>4</v>
      </c>
      <c r="E10" s="5">
        <f>COUNTIFS(BASE!$A$6:$A$1740,$C$5,BASE!$B$6:$B$1740,A10,BASE!$M$6:$M$1740,"CHARGÉ")</f>
        <v>0</v>
      </c>
      <c r="F10" s="5">
        <f>COUNTIFS(BASE!$A$6:$A$1740,$C$5,BASE!$B$6:$B$1740,A10,BASE!$M$6:$M$1740,"NON CHARGÉ")</f>
        <v>1</v>
      </c>
      <c r="G10" s="5">
        <f>COUNTIFS(BASE!$A$6:$A$1740,$C$5,BASE!$B$6:$B$1740,A10,BASE!$M$6:$M$1740,"ANNULÉ")</f>
        <v>0</v>
      </c>
      <c r="H10" s="4"/>
      <c r="I10" s="58"/>
      <c r="J10" s="58"/>
      <c r="K10" s="58"/>
      <c r="L10" s="58"/>
      <c r="M10" s="58"/>
      <c r="N10" s="58"/>
    </row>
    <row r="11" spans="1:14">
      <c r="A11" t="s">
        <v>24</v>
      </c>
      <c r="B11" s="5">
        <f>IFERROR(INDEX('SYNTHÈSE PAR DATE'!$K$6:$K$35,MATCH($C$5,'SYNTHÈSE PAR DATE'!$A$6:$A$35,0)),0)</f>
        <v>632</v>
      </c>
      <c r="C11" s="5">
        <f>COUNTIFS(BASE!$A$6:$A$1740,$C$5,BASE!$B$6:$B$1740,A11)</f>
        <v>8</v>
      </c>
      <c r="D11" s="5">
        <f>COUNTIFS(BASE!$A$6:$A$1740,$C$5,BASE!$B$6:$B$1740,A11,BASE!$M$6:$M$1740,"SAUVÉ")</f>
        <v>0</v>
      </c>
      <c r="E11" s="5">
        <f>COUNTIFS(BASE!$A$6:$A$1740,$C$5,BASE!$B$6:$B$1740,A11,BASE!$M$6:$M$1740,"CHARGÉ")</f>
        <v>3</v>
      </c>
      <c r="F11" s="5">
        <f>COUNTIFS(BASE!$A$6:$A$1740,$C$5,BASE!$B$6:$B$1740,A11,BASE!$M$6:$M$1740,"NON CHARGÉ")</f>
        <v>5</v>
      </c>
      <c r="G11" s="5">
        <f>COUNTIFS(BASE!$A$6:$A$1740,$C$5,BASE!$B$6:$B$1740,A11,BASE!$M$6:$M$1740,"ANNULÉ")</f>
        <v>0</v>
      </c>
      <c r="H11" s="4"/>
      <c r="I11" s="58"/>
      <c r="J11" s="58"/>
      <c r="K11" s="58"/>
      <c r="L11" s="58"/>
      <c r="M11" s="58"/>
      <c r="N11" s="58"/>
    </row>
    <row r="12" spans="1:14">
      <c r="A12" t="s">
        <v>26</v>
      </c>
      <c r="B12" s="5">
        <f>IFERROR(INDEX('SYNTHÈSE PAR DATE'!$L$6:$L$35,MATCH($C$5,'SYNTHÈSE PAR DATE'!$A$6:$A$35,0)),0)</f>
        <v>244</v>
      </c>
      <c r="C12" s="5">
        <f>COUNTIFS(BASE!$A$6:$A$1740,$C$5,BASE!$B$6:$B$1740,A12)</f>
        <v>7</v>
      </c>
      <c r="D12" s="5">
        <f>COUNTIFS(BASE!$A$6:$A$1740,$C$5,BASE!$B$6:$B$1740,A12,BASE!$M$6:$M$1740,"SAUVÉ")</f>
        <v>0</v>
      </c>
      <c r="E12" s="5">
        <f>COUNTIFS(BASE!$A$6:$A$1740,$C$5,BASE!$B$6:$B$1740,A12,BASE!$M$6:$M$1740,"CHARGÉ")</f>
        <v>4</v>
      </c>
      <c r="F12" s="5">
        <f>COUNTIFS(BASE!$A$6:$A$1740,$C$5,BASE!$B$6:$B$1740,A12,BASE!$M$6:$M$1740,"NON CHARGÉ")</f>
        <v>3</v>
      </c>
      <c r="G12" s="5">
        <f>COUNTIFS(BASE!$A$6:$A$1740,$C$5,BASE!$B$6:$B$1740,A12,BASE!$M$6:$M$1740,"ANNULÉ")</f>
        <v>0</v>
      </c>
      <c r="H12" s="4"/>
      <c r="I12" s="58"/>
      <c r="J12" s="58"/>
      <c r="K12" s="58"/>
      <c r="L12" s="58"/>
      <c r="M12" s="58"/>
      <c r="N12" s="58"/>
    </row>
    <row r="13" spans="1:14">
      <c r="A13" t="s">
        <v>27</v>
      </c>
      <c r="B13" s="5">
        <f>IFERROR(INDEX('SYNTHÈSE PAR DATE'!$M$6:$M$35,MATCH($C$5,'SYNTHÈSE PAR DATE'!$A$6:$A$35,0)),0)</f>
        <v>482</v>
      </c>
      <c r="C13" s="5">
        <f>COUNTIFS(BASE!$A$6:$A$1740,$C$5,BASE!$B$6:$B$1740,A13)</f>
        <v>4</v>
      </c>
      <c r="D13" s="5">
        <f>COUNTIFS(BASE!$A$6:$A$1740,$C$5,BASE!$B$6:$B$1740,A13,BASE!$M$6:$M$1740,"SAUVÉ")</f>
        <v>0</v>
      </c>
      <c r="E13" s="5">
        <f>COUNTIFS(BASE!$A$6:$A$1740,$C$5,BASE!$B$6:$B$1740,A13,BASE!$M$6:$M$1740,"CHARGÉ")</f>
        <v>4</v>
      </c>
      <c r="F13" s="5">
        <f>COUNTIFS(BASE!$A$6:$A$1740,$C$5,BASE!$B$6:$B$1740,A13,BASE!$M$6:$M$1740,"NON CHARGÉ")</f>
        <v>0</v>
      </c>
      <c r="G13" s="5">
        <f>COUNTIFS(BASE!$A$6:$A$1740,$C$5,BASE!$B$6:$B$1740,A13,BASE!$M$6:$M$1740,"ANNULÉ")</f>
        <v>0</v>
      </c>
      <c r="H13" s="4"/>
      <c r="I13" s="4"/>
      <c r="J13" s="4"/>
      <c r="K13" s="4"/>
      <c r="L13" s="4"/>
      <c r="M13" s="4"/>
      <c r="N13" s="4"/>
    </row>
    <row r="14" spans="1:14">
      <c r="A14" t="s">
        <v>29</v>
      </c>
      <c r="B14" s="5">
        <f>IFERROR(INDEX('SYNTHÈSE PAR DATE'!$N$6:$N$35,MATCH($C$5,'SYNTHÈSE PAR DATE'!$A$6:$A$35,0)),0)</f>
        <v>0</v>
      </c>
      <c r="C14" s="5">
        <f>COUNTIFS(BASE!$A$6:$A$1740,$C$5,BASE!$B$6:$B$1740,A14)</f>
        <v>0</v>
      </c>
      <c r="D14" s="5">
        <f>COUNTIFS(BASE!$A$6:$A$1740,$C$5,BASE!$B$6:$B$1740,A14,BASE!$M$6:$M$1740,"SAUVÉ")</f>
        <v>0</v>
      </c>
      <c r="E14" s="5">
        <f>COUNTIFS(BASE!$A$6:$A$1740,$C$5,BASE!$B$6:$B$1740,A14,BASE!$M$6:$M$1740,"CHARGÉ")</f>
        <v>0</v>
      </c>
      <c r="F14" s="5">
        <f>COUNTIFS(BASE!$A$6:$A$1740,$C$5,BASE!$B$6:$B$1740,A14,BASE!$M$6:$M$1740,"NON CHARGÉ")</f>
        <v>0</v>
      </c>
      <c r="G14" s="5">
        <f>COUNTIFS(BASE!$A$6:$A$1740,$C$5,BASE!$B$6:$B$1740,A14,BASE!$M$6:$M$1740,"ANNULÉ")</f>
        <v>0</v>
      </c>
      <c r="H14" s="4"/>
      <c r="I14" s="4"/>
      <c r="J14" s="4"/>
      <c r="K14" s="4"/>
      <c r="L14" s="4"/>
      <c r="M14" s="4"/>
      <c r="N14" s="4"/>
    </row>
    <row r="15" spans="1:14">
      <c r="A15" t="s">
        <v>25</v>
      </c>
      <c r="B15" s="5">
        <f>IFERROR(INDEX('SYNTHÈSE PAR DATE'!$O$6:$O$35,MATCH($C$5,'SYNTHÈSE PAR DATE'!$A$6:$A$35,0)),0)</f>
        <v>140</v>
      </c>
      <c r="C15" s="5">
        <f>COUNTIFS(BASE!$A$6:$A$1740,$C$5,BASE!$B$6:$B$1740,A15)</f>
        <v>1</v>
      </c>
      <c r="D15" s="5">
        <f>COUNTIFS(BASE!$A$6:$A$1740,$C$5,BASE!$B$6:$B$1740,A15,BASE!$M$6:$M$1740,"SAUVÉ")</f>
        <v>0</v>
      </c>
      <c r="E15" s="5">
        <f>COUNTIFS(BASE!$A$6:$A$1740,$C$5,BASE!$B$6:$B$1740,A15,BASE!$M$6:$M$1740,"CHARGÉ")</f>
        <v>0</v>
      </c>
      <c r="F15" s="5">
        <f>COUNTIFS(BASE!$A$6:$A$1740,$C$5,BASE!$B$6:$B$1740,A15,BASE!$M$6:$M$1740,"NON CHARGÉ")</f>
        <v>1</v>
      </c>
      <c r="G15" s="5">
        <f>COUNTIFS(BASE!$A$6:$A$1740,$C$5,BASE!$B$6:$B$1740,A15,BASE!$M$6:$M$1740,"ANNULÉ")</f>
        <v>0</v>
      </c>
      <c r="H15" s="4"/>
      <c r="I15" s="4"/>
      <c r="J15" s="4"/>
      <c r="K15" s="4"/>
      <c r="L15" s="4"/>
      <c r="M15" s="4"/>
      <c r="N15" s="4"/>
    </row>
    <row r="16" spans="1:14">
      <c r="A16" t="s">
        <v>31</v>
      </c>
      <c r="B16" s="5">
        <f>IFERROR(INDEX('SYNTHÈSE PAR DATE'!$P$6:$P$35,MATCH($C$5,'SYNTHÈSE PAR DATE'!$A$6:$A$35,0)),0)</f>
        <v>222</v>
      </c>
      <c r="C16" s="5">
        <f>COUNTIFS(BASE!$A$6:$A$1740,$C$5,BASE!$B$6:$B$1740,A16)</f>
        <v>1</v>
      </c>
      <c r="D16" s="5">
        <f>COUNTIFS(BASE!$A$6:$A$1740,$C$5,BASE!$B$6:$B$1740,A16,BASE!$M$6:$M$1740,"SAUVÉ")</f>
        <v>0</v>
      </c>
      <c r="E16" s="5">
        <f>COUNTIFS(BASE!$A$6:$A$1740,$C$5,BASE!$B$6:$B$1740,A16,BASE!$M$6:$M$1740,"CHARGÉ")</f>
        <v>0</v>
      </c>
      <c r="F16" s="5">
        <f>COUNTIFS(BASE!$A$6:$A$1740,$C$5,BASE!$B$6:$B$1740,A16,BASE!$M$6:$M$1740,"NON CHARGÉ")</f>
        <v>1</v>
      </c>
      <c r="G16" s="5">
        <f>COUNTIFS(BASE!$A$6:$A$1740,$C$5,BASE!$B$6:$B$1740,A16,BASE!$M$6:$M$1740,"ANNULÉ")</f>
        <v>0</v>
      </c>
      <c r="H16" s="4"/>
      <c r="I16" s="4"/>
      <c r="J16" s="4"/>
      <c r="K16" s="4"/>
      <c r="L16" s="4"/>
      <c r="M16" s="4"/>
      <c r="N16" s="4"/>
    </row>
    <row r="17" spans="1:7">
      <c r="A17" t="s">
        <v>32</v>
      </c>
      <c r="B17" s="5">
        <f>IFERROR(INDEX('SYNTHÈSE PAR DATE'!$Q$6:$Q$35,MATCH($C$5,'SYNTHÈSE PAR DATE'!$A$6:$A$35,0)),0)</f>
        <v>132</v>
      </c>
      <c r="C17" s="5">
        <f>COUNTIFS(BASE!$A$6:$A$1740,$C$5,BASE!$B$6:$B$1740,A17)</f>
        <v>0</v>
      </c>
      <c r="D17" s="5">
        <f>COUNTIFS(BASE!$A$6:$A$1740,$C$5,BASE!$B$6:$B$1740,A17,BASE!$M$6:$M$1740,"SAUVÉ")</f>
        <v>0</v>
      </c>
      <c r="E17" s="5">
        <f>COUNTIFS(BASE!$A$6:$A$1740,$C$5,BASE!$B$6:$B$1740,A17,BASE!$M$6:$M$1740,"CHARGÉ")</f>
        <v>0</v>
      </c>
      <c r="F17" s="5">
        <f>COUNTIFS(BASE!$A$6:$A$1740,$C$5,BASE!$B$6:$B$1740,A17,BASE!$M$6:$M$1740,"NON CHARGÉ")</f>
        <v>0</v>
      </c>
      <c r="G17" s="5">
        <f>COUNTIFS(BASE!$A$6:$A$1740,$C$5,BASE!$B$6:$B$1740,A17,BASE!$M$6:$M$1740,"ANNULÉ")</f>
        <v>0</v>
      </c>
    </row>
    <row r="18" spans="1:7">
      <c r="A18" t="s">
        <v>23</v>
      </c>
      <c r="B18" s="5">
        <f>IFERROR(INDEX('SYNTHÈSE PAR DATE'!$R$6:$R$35,MATCH($C$5,'SYNTHÈSE PAR DATE'!$A$6:$A$35,0)),0)</f>
        <v>220</v>
      </c>
      <c r="C18" s="5">
        <f>COUNTIFS(BASE!$A$6:$A$1740,$C$5,BASE!$B$6:$B$1740,A18)</f>
        <v>4</v>
      </c>
      <c r="D18" s="5">
        <f>COUNTIFS(BASE!$A$6:$A$1740,$C$5,BASE!$B$6:$B$1740,A18,BASE!$M$6:$M$1740,"SAUVÉ")</f>
        <v>1</v>
      </c>
      <c r="E18" s="5">
        <f>COUNTIFS(BASE!$A$6:$A$1740,$C$5,BASE!$B$6:$B$1740,A18,BASE!$M$6:$M$1740,"CHARGÉ")</f>
        <v>3</v>
      </c>
      <c r="F18" s="5">
        <f>COUNTIFS(BASE!$A$6:$A$1740,$C$5,BASE!$B$6:$B$1740,A18,BASE!$M$6:$M$1740,"NON CHARGÉ")</f>
        <v>0</v>
      </c>
      <c r="G18" s="5">
        <f>COUNTIFS(BASE!$A$6:$A$1740,$C$5,BASE!$B$6:$B$1740,A18,BASE!$M$6:$M$1740,"ANNULÉ")</f>
        <v>0</v>
      </c>
    </row>
    <row r="19" spans="1:7">
      <c r="A19" t="s">
        <v>28</v>
      </c>
      <c r="B19" s="5">
        <f>IFERROR(INDEX('SYNTHÈSE PAR DATE'!$S$6:$S$35,MATCH($C$5,'SYNTHÈSE PAR DATE'!$A$6:$A$35,0)),0)</f>
        <v>345</v>
      </c>
      <c r="C19" s="5">
        <f>COUNTIFS(BASE!$A$6:$A$1740,$C$5,BASE!$B$6:$B$1740,A19)</f>
        <v>4</v>
      </c>
      <c r="D19" s="5">
        <f>COUNTIFS(BASE!$A$6:$A$1740,$C$5,BASE!$B$6:$B$1740,A19,BASE!$M$6:$M$1740,"SAUVÉ")</f>
        <v>4</v>
      </c>
      <c r="E19" s="5">
        <f>COUNTIFS(BASE!$A$6:$A$1740,$C$5,BASE!$B$6:$B$1740,A19,BASE!$M$6:$M$1740,"CHARGÉ")</f>
        <v>0</v>
      </c>
      <c r="F19" s="5">
        <f>COUNTIFS(BASE!$A$6:$A$1740,$C$5,BASE!$B$6:$B$1740,A19,BASE!$M$6:$M$1740,"NON CHARGÉ")</f>
        <v>0</v>
      </c>
      <c r="G19" s="5">
        <f>COUNTIFS(BASE!$A$6:$A$1740,$C$5,BASE!$B$6:$B$1740,A19,BASE!$M$6:$M$1740,"ANNULÉ")</f>
        <v>0</v>
      </c>
    </row>
    <row r="20" spans="1:7">
      <c r="A20" t="s">
        <v>22</v>
      </c>
      <c r="B20" s="5">
        <f>IFERROR(INDEX('SYNTHÈSE PAR DATE'!$T$6:$T$35,MATCH($C$5,'SYNTHÈSE PAR DATE'!$A$6:$A$35,0)),0)</f>
        <v>421</v>
      </c>
      <c r="C20" s="5">
        <f>COUNTIFS(BASE!$A$6:$A$1740,$C$5,BASE!$B$6:$B$1740,A20)</f>
        <v>31</v>
      </c>
      <c r="D20" s="5">
        <f>COUNTIFS(BASE!$A$6:$A$1740,$C$5,BASE!$B$6:$B$1740,A20,BASE!$M$6:$M$1740,"SAUVÉ")</f>
        <v>15</v>
      </c>
      <c r="E20" s="5">
        <f>COUNTIFS(BASE!$A$6:$A$1740,$C$5,BASE!$B$6:$B$1740,A20,BASE!$M$6:$M$1740,"CHARGÉ")</f>
        <v>0</v>
      </c>
      <c r="F20" s="5">
        <f>COUNTIFS(BASE!$A$6:$A$1740,$C$5,BASE!$B$6:$B$1740,A20,BASE!$M$6:$M$1740,"NON CHARGÉ")</f>
        <v>16</v>
      </c>
      <c r="G20" s="5">
        <f>COUNTIFS(BASE!$A$6:$A$1740,$C$5,BASE!$B$6:$B$1740,A20,BASE!$M$6:$M$1740,"ANNULÉ")</f>
        <v>0</v>
      </c>
    </row>
    <row r="21" spans="1:7">
      <c r="A21" t="s">
        <v>30</v>
      </c>
      <c r="B21" s="5">
        <f>IFERROR(INDEX('SYNTHÈSE PAR DATE'!$U$6:$U$35,MATCH($C$5,'SYNTHÈSE PAR DATE'!$A$6:$A$35,0)),0)</f>
        <v>151</v>
      </c>
      <c r="C21" s="5">
        <f>COUNTIFS(BASE!$A$6:$A$1740,$C$5,BASE!$B$6:$B$1740,A21)</f>
        <v>4</v>
      </c>
      <c r="D21" s="5">
        <f>COUNTIFS(BASE!$A$6:$A$1740,$C$5,BASE!$B$6:$B$1740,A21,BASE!$M$6:$M$1740,"SAUVÉ")</f>
        <v>3</v>
      </c>
      <c r="E21" s="5">
        <f>COUNTIFS(BASE!$A$6:$A$1740,$C$5,BASE!$B$6:$B$1740,A21,BASE!$M$6:$M$1740,"CHARGÉ")</f>
        <v>1</v>
      </c>
      <c r="F21" s="5">
        <f>COUNTIFS(BASE!$A$6:$A$1740,$C$5,BASE!$B$6:$B$1740,A21,BASE!$M$6:$M$1740,"NON CHARGÉ")</f>
        <v>0</v>
      </c>
      <c r="G21" s="5">
        <f>COUNTIFS(BASE!$A$6:$A$1740,$C$5,BASE!$B$6:$B$1740,A21,BASE!$M$6:$M$1740,"ANNULÉ")</f>
        <v>0</v>
      </c>
    </row>
    <row r="22" spans="1:7">
      <c r="A22" t="s">
        <v>33</v>
      </c>
      <c r="B22" s="5">
        <f>IFERROR(INDEX('SYNTHÈSE PAR DATE'!$V$6:$V$35,MATCH($C$5,'SYNTHÈSE PAR DATE'!$A$6:$A$35,0)),0)</f>
        <v>205</v>
      </c>
      <c r="C22" s="5">
        <f>COUNTIFS(BASE!$A$6:$A$1740,$C$5,BASE!$B$6:$B$1740,A22)</f>
        <v>8</v>
      </c>
      <c r="D22" s="5">
        <f>COUNTIFS(BASE!$A$6:$A$1740,$C$5,BASE!$B$6:$B$1740,A22,BASE!$M$6:$M$1740,"SAUVÉ")</f>
        <v>6</v>
      </c>
      <c r="E22" s="5">
        <f>COUNTIFS(BASE!$A$6:$A$1740,$C$5,BASE!$B$6:$B$1740,A22,BASE!$M$6:$M$1740,"CHARGÉ")</f>
        <v>1</v>
      </c>
      <c r="F22" s="5">
        <f>COUNTIFS(BASE!$A$6:$A$1740,$C$5,BASE!$B$6:$B$1740,A22,BASE!$M$6:$M$1740,"NON CHARGÉ")</f>
        <v>1</v>
      </c>
      <c r="G22" s="5">
        <f>COUNTIFS(BASE!$A$6:$A$1740,$C$5,BASE!$B$6:$B$1740,A22,BASE!$M$6:$M$1740,"ANNULÉ")</f>
        <v>0</v>
      </c>
    </row>
    <row r="23" spans="1:7">
      <c r="A23" s="2" t="s">
        <v>4786</v>
      </c>
      <c r="B23" s="11">
        <f t="shared" ref="B23:G23" si="0">SUM(B9:B22)</f>
        <v>3396</v>
      </c>
      <c r="C23" s="11">
        <f t="shared" si="0"/>
        <v>77</v>
      </c>
      <c r="D23" s="11">
        <f t="shared" si="0"/>
        <v>33</v>
      </c>
      <c r="E23" s="11">
        <f t="shared" si="0"/>
        <v>16</v>
      </c>
      <c r="F23" s="11">
        <f t="shared" si="0"/>
        <v>28</v>
      </c>
      <c r="G23" s="11">
        <f t="shared" si="0"/>
        <v>0</v>
      </c>
    </row>
  </sheetData>
  <mergeCells count="4">
    <mergeCell ref="A1:N2"/>
    <mergeCell ref="A3:N3"/>
    <mergeCell ref="I7:N7"/>
    <mergeCell ref="I9:N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>
      <pane ySplit="5" topLeftCell="A6" activePane="bottomLeft" state="frozen"/>
      <selection pane="bottomLeft"/>
    </sheetView>
  </sheetViews>
  <sheetFormatPr baseColWidth="10" defaultColWidth="8.796875" defaultRowHeight="13.8"/>
  <cols>
    <col min="1" max="1" width="19" customWidth="1"/>
    <col min="2" max="2" width="13" customWidth="1"/>
    <col min="3" max="3" width="20" customWidth="1"/>
    <col min="4" max="4" width="21" customWidth="1"/>
    <col min="5" max="6" width="12" customWidth="1"/>
    <col min="7" max="7" width="17" customWidth="1"/>
    <col min="8" max="22" width="12" customWidth="1"/>
  </cols>
  <sheetData>
    <row r="1" spans="1:22" ht="27" customHeight="1">
      <c r="A1" s="49" t="s">
        <v>4787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24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</row>
    <row r="4" spans="1:22">
      <c r="A4" s="57" t="s">
        <v>4788</v>
      </c>
      <c r="B4" s="57"/>
      <c r="C4" s="57"/>
      <c r="D4" s="57"/>
      <c r="E4" s="57"/>
      <c r="F4" s="57"/>
      <c r="G4" s="57"/>
      <c r="H4" s="57"/>
      <c r="I4" s="57" t="s">
        <v>4789</v>
      </c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30" customHeight="1">
      <c r="A5" s="1" t="s">
        <v>42</v>
      </c>
      <c r="B5" s="1" t="s">
        <v>2</v>
      </c>
      <c r="C5" s="1" t="s">
        <v>4790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21</v>
      </c>
      <c r="J5" s="1" t="s">
        <v>20</v>
      </c>
      <c r="K5" s="1" t="s">
        <v>24</v>
      </c>
      <c r="L5" s="1" t="s">
        <v>26</v>
      </c>
      <c r="M5" s="1" t="s">
        <v>27</v>
      </c>
      <c r="N5" s="1" t="s">
        <v>29</v>
      </c>
      <c r="O5" s="1" t="s">
        <v>25</v>
      </c>
      <c r="P5" s="1" t="s">
        <v>31</v>
      </c>
      <c r="Q5" s="1" t="s">
        <v>32</v>
      </c>
      <c r="R5" s="1" t="s">
        <v>23</v>
      </c>
      <c r="S5" s="1" t="s">
        <v>28</v>
      </c>
      <c r="T5" s="1" t="s">
        <v>22</v>
      </c>
      <c r="U5" s="1" t="s">
        <v>30</v>
      </c>
      <c r="V5" s="1" t="s">
        <v>33</v>
      </c>
    </row>
    <row r="6" spans="1:22">
      <c r="A6" t="s">
        <v>54</v>
      </c>
      <c r="B6">
        <f>COUNTIF(BASE!$A$6:$A$1740,A6)</f>
        <v>54</v>
      </c>
      <c r="C6">
        <f>SUMIF(BASE!$A$6:$A$1740,A6,BASE!$F$6:$F$1740)</f>
        <v>54</v>
      </c>
      <c r="D6">
        <f t="shared" ref="D6:D35" si="0">SUM(I6:V6)</f>
        <v>3036</v>
      </c>
      <c r="E6">
        <f>COUNTIFS(BASE!$A$6:$A$1740,A6,BASE!$M$6:$M$1740,"SAUVÉ")</f>
        <v>21</v>
      </c>
      <c r="F6">
        <f>COUNTIFS(BASE!$A$6:$A$1740,A6,BASE!$M$6:$M$1740,"CHARGÉ")</f>
        <v>6</v>
      </c>
      <c r="G6">
        <f>COUNTIFS(BASE!$A$6:$A$1740,A6,BASE!$M$6:$M$1740,"NON CHARGÉ")</f>
        <v>27</v>
      </c>
      <c r="H6">
        <f>COUNTIFS(BASE!$A$6:$A$1740,A6,BASE!$M$6:$M$1740,"ANNULÉ")</f>
        <v>0</v>
      </c>
      <c r="I6">
        <v>394</v>
      </c>
      <c r="J6">
        <v>332</v>
      </c>
      <c r="K6">
        <v>402</v>
      </c>
      <c r="L6">
        <v>186</v>
      </c>
      <c r="M6">
        <v>399</v>
      </c>
      <c r="N6">
        <v>0</v>
      </c>
      <c r="O6">
        <v>91</v>
      </c>
      <c r="P6">
        <v>207</v>
      </c>
      <c r="Q6">
        <v>136</v>
      </c>
      <c r="R6">
        <v>149</v>
      </c>
      <c r="S6">
        <v>308</v>
      </c>
      <c r="T6">
        <v>334</v>
      </c>
      <c r="U6">
        <v>98</v>
      </c>
      <c r="V6">
        <v>0</v>
      </c>
    </row>
    <row r="7" spans="1:22">
      <c r="A7" t="s">
        <v>294</v>
      </c>
      <c r="B7">
        <f>COUNTIF(BASE!$A$6:$A$1740,A7)</f>
        <v>83</v>
      </c>
      <c r="C7">
        <f>SUMIF(BASE!$A$6:$A$1740,A7,BASE!$F$6:$F$1740)</f>
        <v>83</v>
      </c>
      <c r="D7">
        <f t="shared" si="0"/>
        <v>3093</v>
      </c>
      <c r="E7">
        <f>COUNTIFS(BASE!$A$6:$A$1740,A7,BASE!$M$6:$M$1740,"SAUVÉ")</f>
        <v>25</v>
      </c>
      <c r="F7">
        <f>COUNTIFS(BASE!$A$6:$A$1740,A7,BASE!$M$6:$M$1740,"CHARGÉ")</f>
        <v>3</v>
      </c>
      <c r="G7">
        <f>COUNTIFS(BASE!$A$6:$A$1740,A7,BASE!$M$6:$M$1740,"NON CHARGÉ")</f>
        <v>55</v>
      </c>
      <c r="H7">
        <f>COUNTIFS(BASE!$A$6:$A$1740,A7,BASE!$M$6:$M$1740,"ANNULÉ")</f>
        <v>0</v>
      </c>
      <c r="I7">
        <v>258</v>
      </c>
      <c r="J7">
        <v>389</v>
      </c>
      <c r="K7">
        <v>371</v>
      </c>
      <c r="L7">
        <v>167</v>
      </c>
      <c r="M7">
        <v>417</v>
      </c>
      <c r="N7">
        <v>356</v>
      </c>
      <c r="O7">
        <v>124</v>
      </c>
      <c r="P7">
        <v>128</v>
      </c>
      <c r="Q7">
        <v>106</v>
      </c>
      <c r="R7">
        <v>107</v>
      </c>
      <c r="S7">
        <v>207</v>
      </c>
      <c r="T7">
        <v>364</v>
      </c>
      <c r="U7">
        <v>99</v>
      </c>
      <c r="V7">
        <v>0</v>
      </c>
    </row>
    <row r="8" spans="1:22">
      <c r="A8" t="s">
        <v>531</v>
      </c>
      <c r="B8">
        <f>COUNTIF(BASE!$A$6:$A$1740,A8)</f>
        <v>80</v>
      </c>
      <c r="C8">
        <f>SUMIF(BASE!$A$6:$A$1740,A8,BASE!$F$6:$F$1740)</f>
        <v>80</v>
      </c>
      <c r="D8">
        <f t="shared" si="0"/>
        <v>3156</v>
      </c>
      <c r="E8">
        <f>COUNTIFS(BASE!$A$6:$A$1740,A8,BASE!$M$6:$M$1740,"SAUVÉ")</f>
        <v>28</v>
      </c>
      <c r="F8">
        <f>COUNTIFS(BASE!$A$6:$A$1740,A8,BASE!$M$6:$M$1740,"CHARGÉ")</f>
        <v>13</v>
      </c>
      <c r="G8">
        <f>COUNTIFS(BASE!$A$6:$A$1740,A8,BASE!$M$6:$M$1740,"NON CHARGÉ")</f>
        <v>39</v>
      </c>
      <c r="H8">
        <f>COUNTIFS(BASE!$A$6:$A$1740,A8,BASE!$M$6:$M$1740,"ANNULÉ")</f>
        <v>0</v>
      </c>
      <c r="I8">
        <v>398</v>
      </c>
      <c r="J8">
        <v>305</v>
      </c>
      <c r="K8">
        <v>501</v>
      </c>
      <c r="L8">
        <v>149</v>
      </c>
      <c r="M8">
        <v>509</v>
      </c>
      <c r="N8">
        <v>0</v>
      </c>
      <c r="O8">
        <v>119</v>
      </c>
      <c r="P8">
        <v>197</v>
      </c>
      <c r="Q8">
        <v>96</v>
      </c>
      <c r="R8">
        <v>151</v>
      </c>
      <c r="S8">
        <v>225</v>
      </c>
      <c r="T8">
        <v>412</v>
      </c>
      <c r="U8">
        <v>94</v>
      </c>
      <c r="V8">
        <v>0</v>
      </c>
    </row>
    <row r="9" spans="1:22">
      <c r="A9" t="s">
        <v>763</v>
      </c>
      <c r="B9">
        <f>COUNTIF(BASE!$A$6:$A$1740,A9)</f>
        <v>64</v>
      </c>
      <c r="C9">
        <f>SUMIF(BASE!$A$6:$A$1740,A9,BASE!$F$6:$F$1740)</f>
        <v>64</v>
      </c>
      <c r="D9">
        <f t="shared" si="0"/>
        <v>3419</v>
      </c>
      <c r="E9">
        <f>COUNTIFS(BASE!$A$6:$A$1740,A9,BASE!$M$6:$M$1740,"SAUVÉ")</f>
        <v>45</v>
      </c>
      <c r="F9">
        <f>COUNTIFS(BASE!$A$6:$A$1740,A9,BASE!$M$6:$M$1740,"CHARGÉ")</f>
        <v>3</v>
      </c>
      <c r="G9">
        <f>COUNTIFS(BASE!$A$6:$A$1740,A9,BASE!$M$6:$M$1740,"NON CHARGÉ")</f>
        <v>16</v>
      </c>
      <c r="H9">
        <f>COUNTIFS(BASE!$A$6:$A$1740,A9,BASE!$M$6:$M$1740,"ANNULÉ")</f>
        <v>0</v>
      </c>
      <c r="I9">
        <v>573</v>
      </c>
      <c r="J9">
        <v>262</v>
      </c>
      <c r="K9">
        <v>521</v>
      </c>
      <c r="L9">
        <v>163</v>
      </c>
      <c r="M9">
        <v>422</v>
      </c>
      <c r="N9">
        <v>0</v>
      </c>
      <c r="O9">
        <v>181</v>
      </c>
      <c r="P9">
        <v>220</v>
      </c>
      <c r="Q9">
        <v>125</v>
      </c>
      <c r="R9">
        <v>150</v>
      </c>
      <c r="S9">
        <v>341</v>
      </c>
      <c r="T9">
        <v>355</v>
      </c>
      <c r="U9">
        <v>106</v>
      </c>
      <c r="V9">
        <v>0</v>
      </c>
    </row>
    <row r="10" spans="1:22">
      <c r="A10" t="s">
        <v>942</v>
      </c>
      <c r="B10">
        <f>COUNTIF(BASE!$A$6:$A$1740,A10)</f>
        <v>71</v>
      </c>
      <c r="C10">
        <f>SUMIF(BASE!$A$6:$A$1740,A10,BASE!$F$6:$F$1740)</f>
        <v>71</v>
      </c>
      <c r="D10">
        <f t="shared" si="0"/>
        <v>4096</v>
      </c>
      <c r="E10">
        <f>COUNTIFS(BASE!$A$6:$A$1740,A10,BASE!$M$6:$M$1740,"SAUVÉ")</f>
        <v>18</v>
      </c>
      <c r="F10">
        <f>COUNTIFS(BASE!$A$6:$A$1740,A10,BASE!$M$6:$M$1740,"CHARGÉ")</f>
        <v>17</v>
      </c>
      <c r="G10">
        <f>COUNTIFS(BASE!$A$6:$A$1740,A10,BASE!$M$6:$M$1740,"NON CHARGÉ")</f>
        <v>36</v>
      </c>
      <c r="H10">
        <f>COUNTIFS(BASE!$A$6:$A$1740,A10,BASE!$M$6:$M$1740,"ANNULÉ")</f>
        <v>0</v>
      </c>
      <c r="I10">
        <v>508</v>
      </c>
      <c r="J10">
        <v>304</v>
      </c>
      <c r="K10">
        <v>567</v>
      </c>
      <c r="L10">
        <v>255</v>
      </c>
      <c r="M10">
        <v>422</v>
      </c>
      <c r="N10">
        <v>360</v>
      </c>
      <c r="O10">
        <v>206</v>
      </c>
      <c r="P10">
        <v>241</v>
      </c>
      <c r="Q10">
        <v>125</v>
      </c>
      <c r="R10">
        <v>154</v>
      </c>
      <c r="S10">
        <v>431</v>
      </c>
      <c r="T10">
        <v>391</v>
      </c>
      <c r="U10">
        <v>132</v>
      </c>
      <c r="V10">
        <v>0</v>
      </c>
    </row>
    <row r="11" spans="1:22">
      <c r="A11" t="s">
        <v>1145</v>
      </c>
      <c r="B11">
        <f>COUNTIF(BASE!$A$6:$A$1740,A11)</f>
        <v>59</v>
      </c>
      <c r="C11">
        <f>SUMIF(BASE!$A$6:$A$1740,A11,BASE!$F$6:$F$1740)</f>
        <v>59</v>
      </c>
      <c r="D11">
        <f t="shared" si="0"/>
        <v>4518</v>
      </c>
      <c r="E11">
        <f>COUNTIFS(BASE!$A$6:$A$1740,A11,BASE!$M$6:$M$1740,"SAUVÉ")</f>
        <v>13</v>
      </c>
      <c r="F11">
        <f>COUNTIFS(BASE!$A$6:$A$1740,A11,BASE!$M$6:$M$1740,"CHARGÉ")</f>
        <v>25</v>
      </c>
      <c r="G11">
        <f>COUNTIFS(BASE!$A$6:$A$1740,A11,BASE!$M$6:$M$1740,"NON CHARGÉ")</f>
        <v>21</v>
      </c>
      <c r="H11">
        <f>COUNTIFS(BASE!$A$6:$A$1740,A11,BASE!$M$6:$M$1740,"ANNULÉ")</f>
        <v>0</v>
      </c>
      <c r="I11">
        <v>765</v>
      </c>
      <c r="J11">
        <v>332</v>
      </c>
      <c r="K11">
        <v>743</v>
      </c>
      <c r="L11">
        <v>279</v>
      </c>
      <c r="M11">
        <v>753</v>
      </c>
      <c r="N11">
        <v>0</v>
      </c>
      <c r="O11">
        <v>225</v>
      </c>
      <c r="P11">
        <v>183</v>
      </c>
      <c r="Q11">
        <v>163</v>
      </c>
      <c r="R11">
        <v>199</v>
      </c>
      <c r="S11">
        <v>338</v>
      </c>
      <c r="T11">
        <v>417</v>
      </c>
      <c r="U11">
        <v>121</v>
      </c>
      <c r="V11">
        <v>0</v>
      </c>
    </row>
    <row r="12" spans="1:22">
      <c r="A12" t="s">
        <v>1305</v>
      </c>
      <c r="B12">
        <f>COUNTIF(BASE!$A$6:$A$1740,A12)</f>
        <v>89</v>
      </c>
      <c r="C12">
        <f>SUMIF(BASE!$A$6:$A$1740,A12,BASE!$F$6:$F$1740)</f>
        <v>89</v>
      </c>
      <c r="D12">
        <f t="shared" si="0"/>
        <v>4510</v>
      </c>
      <c r="E12">
        <f>COUNTIFS(BASE!$A$6:$A$1740,A12,BASE!$M$6:$M$1740,"SAUVÉ")</f>
        <v>46</v>
      </c>
      <c r="F12">
        <f>COUNTIFS(BASE!$A$6:$A$1740,A12,BASE!$M$6:$M$1740,"CHARGÉ")</f>
        <v>21</v>
      </c>
      <c r="G12">
        <f>COUNTIFS(BASE!$A$6:$A$1740,A12,BASE!$M$6:$M$1740,"NON CHARGÉ")</f>
        <v>22</v>
      </c>
      <c r="H12">
        <f>COUNTIFS(BASE!$A$6:$A$1740,A12,BASE!$M$6:$M$1740,"ANNULÉ")</f>
        <v>0</v>
      </c>
      <c r="I12">
        <v>827</v>
      </c>
      <c r="J12">
        <v>324</v>
      </c>
      <c r="K12">
        <v>599</v>
      </c>
      <c r="L12">
        <v>296</v>
      </c>
      <c r="M12">
        <v>390</v>
      </c>
      <c r="N12">
        <v>396</v>
      </c>
      <c r="O12">
        <v>284</v>
      </c>
      <c r="P12">
        <v>235</v>
      </c>
      <c r="Q12">
        <v>115</v>
      </c>
      <c r="R12">
        <v>158</v>
      </c>
      <c r="S12">
        <v>248</v>
      </c>
      <c r="T12">
        <v>498</v>
      </c>
      <c r="U12">
        <v>140</v>
      </c>
      <c r="V12">
        <v>0</v>
      </c>
    </row>
    <row r="13" spans="1:22">
      <c r="A13" t="s">
        <v>1573</v>
      </c>
      <c r="B13">
        <f>COUNTIF(BASE!$A$6:$A$1740,A13)</f>
        <v>56</v>
      </c>
      <c r="C13">
        <f>SUMIF(BASE!$A$6:$A$1740,A13,BASE!$F$6:$F$1740)</f>
        <v>56</v>
      </c>
      <c r="D13">
        <f t="shared" si="0"/>
        <v>3124</v>
      </c>
      <c r="E13">
        <f>COUNTIFS(BASE!$A$6:$A$1740,A13,BASE!$M$6:$M$1740,"SAUVÉ")</f>
        <v>39</v>
      </c>
      <c r="F13">
        <f>COUNTIFS(BASE!$A$6:$A$1740,A13,BASE!$M$6:$M$1740,"CHARGÉ")</f>
        <v>6</v>
      </c>
      <c r="G13">
        <f>COUNTIFS(BASE!$A$6:$A$1740,A13,BASE!$M$6:$M$1740,"NON CHARGÉ")</f>
        <v>11</v>
      </c>
      <c r="H13">
        <f>COUNTIFS(BASE!$A$6:$A$1740,A13,BASE!$M$6:$M$1740,"ANNULÉ")</f>
        <v>0</v>
      </c>
      <c r="I13">
        <v>522</v>
      </c>
      <c r="J13">
        <v>298</v>
      </c>
      <c r="K13">
        <v>489</v>
      </c>
      <c r="L13">
        <v>163</v>
      </c>
      <c r="M13">
        <v>375</v>
      </c>
      <c r="N13">
        <v>0</v>
      </c>
      <c r="O13">
        <v>145</v>
      </c>
      <c r="P13">
        <v>222</v>
      </c>
      <c r="Q13">
        <v>112</v>
      </c>
      <c r="R13">
        <v>97</v>
      </c>
      <c r="S13">
        <v>259</v>
      </c>
      <c r="T13">
        <v>324</v>
      </c>
      <c r="U13">
        <v>118</v>
      </c>
      <c r="V13">
        <v>0</v>
      </c>
    </row>
    <row r="14" spans="1:22">
      <c r="A14" t="s">
        <v>1745</v>
      </c>
      <c r="B14">
        <f>COUNTIF(BASE!$A$6:$A$1740,A14)</f>
        <v>107</v>
      </c>
      <c r="C14">
        <f>SUMIF(BASE!$A$6:$A$1740,A14,BASE!$F$6:$F$1740)</f>
        <v>107</v>
      </c>
      <c r="D14">
        <f t="shared" si="0"/>
        <v>3564</v>
      </c>
      <c r="E14">
        <f>COUNTIFS(BASE!$A$6:$A$1740,A14,BASE!$M$6:$M$1740,"SAUVÉ")</f>
        <v>59</v>
      </c>
      <c r="F14">
        <f>COUNTIFS(BASE!$A$6:$A$1740,A14,BASE!$M$6:$M$1740,"CHARGÉ")</f>
        <v>20</v>
      </c>
      <c r="G14">
        <f>COUNTIFS(BASE!$A$6:$A$1740,A14,BASE!$M$6:$M$1740,"NON CHARGÉ")</f>
        <v>28</v>
      </c>
      <c r="H14">
        <f>COUNTIFS(BASE!$A$6:$A$1740,A14,BASE!$M$6:$M$1740,"ANNULÉ")</f>
        <v>0</v>
      </c>
      <c r="I14">
        <v>513</v>
      </c>
      <c r="J14">
        <v>304</v>
      </c>
      <c r="K14">
        <v>592</v>
      </c>
      <c r="L14">
        <v>212</v>
      </c>
      <c r="M14">
        <v>383</v>
      </c>
      <c r="N14">
        <v>317</v>
      </c>
      <c r="O14">
        <v>95</v>
      </c>
      <c r="P14">
        <v>157</v>
      </c>
      <c r="Q14">
        <v>145</v>
      </c>
      <c r="R14">
        <v>127</v>
      </c>
      <c r="S14">
        <v>284</v>
      </c>
      <c r="T14">
        <v>307</v>
      </c>
      <c r="U14">
        <v>128</v>
      </c>
      <c r="V14">
        <v>0</v>
      </c>
    </row>
    <row r="15" spans="1:22">
      <c r="A15" t="s">
        <v>2015</v>
      </c>
      <c r="B15">
        <f>COUNTIF(BASE!$A$6:$A$1740,A15)</f>
        <v>42</v>
      </c>
      <c r="C15">
        <f>SUMIF(BASE!$A$6:$A$1740,A15,BASE!$F$6:$F$1740)</f>
        <v>42</v>
      </c>
      <c r="D15">
        <f t="shared" si="0"/>
        <v>3277</v>
      </c>
      <c r="E15">
        <f>COUNTIFS(BASE!$A$6:$A$1740,A15,BASE!$M$6:$M$1740,"SAUVÉ")</f>
        <v>7</v>
      </c>
      <c r="F15">
        <f>COUNTIFS(BASE!$A$6:$A$1740,A15,BASE!$M$6:$M$1740,"CHARGÉ")</f>
        <v>11</v>
      </c>
      <c r="G15">
        <f>COUNTIFS(BASE!$A$6:$A$1740,A15,BASE!$M$6:$M$1740,"NON CHARGÉ")</f>
        <v>24</v>
      </c>
      <c r="H15">
        <f>COUNTIFS(BASE!$A$6:$A$1740,A15,BASE!$M$6:$M$1740,"ANNULÉ")</f>
        <v>0</v>
      </c>
      <c r="I15">
        <v>0</v>
      </c>
      <c r="J15">
        <v>257</v>
      </c>
      <c r="K15">
        <v>551</v>
      </c>
      <c r="L15">
        <v>227</v>
      </c>
      <c r="M15">
        <v>521</v>
      </c>
      <c r="N15">
        <v>0</v>
      </c>
      <c r="O15">
        <v>154</v>
      </c>
      <c r="P15">
        <v>210</v>
      </c>
      <c r="Q15">
        <v>168</v>
      </c>
      <c r="R15">
        <v>155</v>
      </c>
      <c r="S15">
        <v>274</v>
      </c>
      <c r="T15">
        <v>413</v>
      </c>
      <c r="U15">
        <v>162</v>
      </c>
      <c r="V15">
        <v>185</v>
      </c>
    </row>
    <row r="16" spans="1:22">
      <c r="A16" t="s">
        <v>2113</v>
      </c>
      <c r="B16">
        <f>COUNTIF(BASE!$A$6:$A$1740,A16)</f>
        <v>32</v>
      </c>
      <c r="C16">
        <f>SUMIF(BASE!$A$6:$A$1740,A16,BASE!$F$6:$F$1740)</f>
        <v>32</v>
      </c>
      <c r="D16">
        <f t="shared" si="0"/>
        <v>3104</v>
      </c>
      <c r="E16">
        <f>COUNTIFS(BASE!$A$6:$A$1740,A16,BASE!$M$6:$M$1740,"SAUVÉ")</f>
        <v>7</v>
      </c>
      <c r="F16">
        <f>COUNTIFS(BASE!$A$6:$A$1740,A16,BASE!$M$6:$M$1740,"CHARGÉ")</f>
        <v>9</v>
      </c>
      <c r="G16">
        <f>COUNTIFS(BASE!$A$6:$A$1740,A16,BASE!$M$6:$M$1740,"NON CHARGÉ")</f>
        <v>16</v>
      </c>
      <c r="H16">
        <f>COUNTIFS(BASE!$A$6:$A$1740,A16,BASE!$M$6:$M$1740,"ANNULÉ")</f>
        <v>0</v>
      </c>
      <c r="I16">
        <v>0</v>
      </c>
      <c r="J16">
        <v>301</v>
      </c>
      <c r="K16">
        <v>546</v>
      </c>
      <c r="L16">
        <v>260</v>
      </c>
      <c r="M16">
        <v>399</v>
      </c>
      <c r="N16">
        <v>0</v>
      </c>
      <c r="O16">
        <v>174</v>
      </c>
      <c r="P16">
        <v>238</v>
      </c>
      <c r="Q16">
        <v>108</v>
      </c>
      <c r="R16">
        <v>91</v>
      </c>
      <c r="S16">
        <v>346</v>
      </c>
      <c r="T16">
        <v>293</v>
      </c>
      <c r="U16">
        <v>147</v>
      </c>
      <c r="V16">
        <v>201</v>
      </c>
    </row>
    <row r="17" spans="1:22">
      <c r="A17" t="s">
        <v>2196</v>
      </c>
      <c r="B17">
        <f>COUNTIF(BASE!$A$6:$A$1740,A17)</f>
        <v>63</v>
      </c>
      <c r="C17">
        <f>SUMIF(BASE!$A$6:$A$1740,A17,BASE!$F$6:$F$1740)</f>
        <v>63</v>
      </c>
      <c r="D17">
        <f t="shared" si="0"/>
        <v>4038</v>
      </c>
      <c r="E17">
        <f>COUNTIFS(BASE!$A$6:$A$1740,A17,BASE!$M$6:$M$1740,"SAUVÉ")</f>
        <v>40</v>
      </c>
      <c r="F17">
        <f>COUNTIFS(BASE!$A$6:$A$1740,A17,BASE!$M$6:$M$1740,"CHARGÉ")</f>
        <v>12</v>
      </c>
      <c r="G17">
        <f>COUNTIFS(BASE!$A$6:$A$1740,A17,BASE!$M$6:$M$1740,"NON CHARGÉ")</f>
        <v>11</v>
      </c>
      <c r="H17">
        <f>COUNTIFS(BASE!$A$6:$A$1740,A17,BASE!$M$6:$M$1740,"ANNULÉ")</f>
        <v>0</v>
      </c>
      <c r="I17">
        <v>0</v>
      </c>
      <c r="J17">
        <v>317</v>
      </c>
      <c r="K17">
        <v>576</v>
      </c>
      <c r="L17">
        <v>317</v>
      </c>
      <c r="M17">
        <v>476</v>
      </c>
      <c r="N17">
        <v>410</v>
      </c>
      <c r="O17">
        <v>266</v>
      </c>
      <c r="P17">
        <v>222</v>
      </c>
      <c r="Q17">
        <v>164</v>
      </c>
      <c r="R17">
        <v>161</v>
      </c>
      <c r="S17">
        <v>294</v>
      </c>
      <c r="T17">
        <v>402</v>
      </c>
      <c r="U17">
        <v>174</v>
      </c>
      <c r="V17">
        <v>259</v>
      </c>
    </row>
    <row r="18" spans="1:22">
      <c r="A18" t="s">
        <v>2365</v>
      </c>
      <c r="B18">
        <f>COUNTIF(BASE!$A$6:$A$1740,A18)</f>
        <v>58</v>
      </c>
      <c r="C18">
        <f>SUMIF(BASE!$A$6:$A$1740,A18,BASE!$F$6:$F$1740)</f>
        <v>58</v>
      </c>
      <c r="D18">
        <f t="shared" si="0"/>
        <v>4040</v>
      </c>
      <c r="E18">
        <f>COUNTIFS(BASE!$A$6:$A$1740,A18,BASE!$M$6:$M$1740,"SAUVÉ")</f>
        <v>17</v>
      </c>
      <c r="F18">
        <f>COUNTIFS(BASE!$A$6:$A$1740,A18,BASE!$M$6:$M$1740,"CHARGÉ")</f>
        <v>12</v>
      </c>
      <c r="G18">
        <f>COUNTIFS(BASE!$A$6:$A$1740,A18,BASE!$M$6:$M$1740,"NON CHARGÉ")</f>
        <v>29</v>
      </c>
      <c r="H18">
        <f>COUNTIFS(BASE!$A$6:$A$1740,A18,BASE!$M$6:$M$1740,"ANNULÉ")</f>
        <v>0</v>
      </c>
      <c r="I18">
        <v>0</v>
      </c>
      <c r="J18">
        <v>317</v>
      </c>
      <c r="K18">
        <v>781</v>
      </c>
      <c r="L18">
        <v>237</v>
      </c>
      <c r="M18">
        <v>645</v>
      </c>
      <c r="N18">
        <v>0</v>
      </c>
      <c r="O18">
        <v>162</v>
      </c>
      <c r="P18">
        <v>188</v>
      </c>
      <c r="Q18">
        <v>194</v>
      </c>
      <c r="R18">
        <v>201</v>
      </c>
      <c r="S18">
        <v>404</v>
      </c>
      <c r="T18">
        <v>463</v>
      </c>
      <c r="U18">
        <v>155</v>
      </c>
      <c r="V18">
        <v>293</v>
      </c>
    </row>
    <row r="19" spans="1:22">
      <c r="A19" t="s">
        <v>2503</v>
      </c>
      <c r="B19">
        <f>COUNTIF(BASE!$A$6:$A$1740,A19)</f>
        <v>53</v>
      </c>
      <c r="C19">
        <f>SUMIF(BASE!$A$6:$A$1740,A19,BASE!$F$6:$F$1740)</f>
        <v>53</v>
      </c>
      <c r="D19">
        <f t="shared" si="0"/>
        <v>3448</v>
      </c>
      <c r="E19">
        <f>COUNTIFS(BASE!$A$6:$A$1740,A19,BASE!$M$6:$M$1740,"SAUVÉ")</f>
        <v>23</v>
      </c>
      <c r="F19">
        <f>COUNTIFS(BASE!$A$6:$A$1740,A19,BASE!$M$6:$M$1740,"CHARGÉ")</f>
        <v>13</v>
      </c>
      <c r="G19">
        <f>COUNTIFS(BASE!$A$6:$A$1740,A19,BASE!$M$6:$M$1740,"NON CHARGÉ")</f>
        <v>17</v>
      </c>
      <c r="H19">
        <f>COUNTIFS(BASE!$A$6:$A$1740,A19,BASE!$M$6:$M$1740,"ANNULÉ")</f>
        <v>0</v>
      </c>
      <c r="I19">
        <v>0</v>
      </c>
      <c r="J19">
        <v>328</v>
      </c>
      <c r="K19">
        <v>706</v>
      </c>
      <c r="L19">
        <v>272</v>
      </c>
      <c r="M19">
        <v>355</v>
      </c>
      <c r="N19">
        <v>0</v>
      </c>
      <c r="O19">
        <v>228</v>
      </c>
      <c r="P19">
        <v>228</v>
      </c>
      <c r="Q19">
        <v>130</v>
      </c>
      <c r="R19">
        <v>177</v>
      </c>
      <c r="S19">
        <v>313</v>
      </c>
      <c r="T19">
        <v>307</v>
      </c>
      <c r="U19">
        <v>169</v>
      </c>
      <c r="V19">
        <v>235</v>
      </c>
    </row>
    <row r="20" spans="1:22">
      <c r="A20" t="s">
        <v>2654</v>
      </c>
      <c r="B20">
        <f>COUNTIF(BASE!$A$6:$A$1740,A20)</f>
        <v>56</v>
      </c>
      <c r="C20">
        <f>SUMIF(BASE!$A$6:$A$1740,A20,BASE!$F$6:$F$1740)</f>
        <v>56</v>
      </c>
      <c r="D20">
        <f t="shared" si="0"/>
        <v>3229</v>
      </c>
      <c r="E20">
        <f>COUNTIFS(BASE!$A$6:$A$1740,A20,BASE!$M$6:$M$1740,"SAUVÉ")</f>
        <v>25</v>
      </c>
      <c r="F20">
        <f>COUNTIFS(BASE!$A$6:$A$1740,A20,BASE!$M$6:$M$1740,"CHARGÉ")</f>
        <v>8</v>
      </c>
      <c r="G20">
        <f>COUNTIFS(BASE!$A$6:$A$1740,A20,BASE!$M$6:$M$1740,"NON CHARGÉ")</f>
        <v>23</v>
      </c>
      <c r="H20">
        <f>COUNTIFS(BASE!$A$6:$A$1740,A20,BASE!$M$6:$M$1740,"ANNULÉ")</f>
        <v>0</v>
      </c>
      <c r="I20">
        <v>0</v>
      </c>
      <c r="J20">
        <v>246</v>
      </c>
      <c r="K20">
        <v>497</v>
      </c>
      <c r="L20">
        <v>270</v>
      </c>
      <c r="M20">
        <v>469</v>
      </c>
      <c r="N20">
        <v>0</v>
      </c>
      <c r="O20">
        <v>165</v>
      </c>
      <c r="P20">
        <v>259</v>
      </c>
      <c r="Q20">
        <v>151</v>
      </c>
      <c r="R20">
        <v>189</v>
      </c>
      <c r="S20">
        <v>370</v>
      </c>
      <c r="T20">
        <v>344</v>
      </c>
      <c r="U20">
        <v>49</v>
      </c>
      <c r="V20">
        <v>220</v>
      </c>
    </row>
    <row r="21" spans="1:22">
      <c r="A21" t="s">
        <v>2780</v>
      </c>
      <c r="B21">
        <f>COUNTIF(BASE!$A$6:$A$1740,A21)</f>
        <v>18</v>
      </c>
      <c r="C21">
        <f>SUMIF(BASE!$A$6:$A$1740,A21,BASE!$F$6:$F$1740)</f>
        <v>18</v>
      </c>
      <c r="D21">
        <f t="shared" si="0"/>
        <v>3544</v>
      </c>
      <c r="E21">
        <f>COUNTIFS(BASE!$A$6:$A$1740,A21,BASE!$M$6:$M$1740,"SAUVÉ")</f>
        <v>1</v>
      </c>
      <c r="F21">
        <f>COUNTIFS(BASE!$A$6:$A$1740,A21,BASE!$M$6:$M$1740,"CHARGÉ")</f>
        <v>4</v>
      </c>
      <c r="G21">
        <f>COUNTIFS(BASE!$A$6:$A$1740,A21,BASE!$M$6:$M$1740,"NON CHARGÉ")</f>
        <v>13</v>
      </c>
      <c r="H21">
        <f>COUNTIFS(BASE!$A$6:$A$1740,A21,BASE!$M$6:$M$1740,"ANNULÉ")</f>
        <v>0</v>
      </c>
      <c r="I21">
        <v>0</v>
      </c>
      <c r="J21">
        <v>374</v>
      </c>
      <c r="K21">
        <v>497</v>
      </c>
      <c r="L21">
        <v>221</v>
      </c>
      <c r="M21">
        <v>385</v>
      </c>
      <c r="N21">
        <v>384</v>
      </c>
      <c r="O21">
        <v>159</v>
      </c>
      <c r="P21">
        <v>191</v>
      </c>
      <c r="Q21">
        <v>134</v>
      </c>
      <c r="R21">
        <v>151</v>
      </c>
      <c r="S21">
        <v>282</v>
      </c>
      <c r="T21">
        <v>336</v>
      </c>
      <c r="U21">
        <v>159</v>
      </c>
      <c r="V21">
        <v>271</v>
      </c>
    </row>
    <row r="22" spans="1:22">
      <c r="A22" t="s">
        <v>2837</v>
      </c>
      <c r="B22">
        <f>COUNTIF(BASE!$A$6:$A$1740,A22)</f>
        <v>67</v>
      </c>
      <c r="C22">
        <f>SUMIF(BASE!$A$6:$A$1740,A22,BASE!$F$6:$F$1740)</f>
        <v>67</v>
      </c>
      <c r="D22">
        <f t="shared" si="0"/>
        <v>3344</v>
      </c>
      <c r="E22">
        <f>COUNTIFS(BASE!$A$6:$A$1740,A22,BASE!$M$6:$M$1740,"SAUVÉ")</f>
        <v>34</v>
      </c>
      <c r="F22">
        <f>COUNTIFS(BASE!$A$6:$A$1740,A22,BASE!$M$6:$M$1740,"CHARGÉ")</f>
        <v>15</v>
      </c>
      <c r="G22">
        <f>COUNTIFS(BASE!$A$6:$A$1740,A22,BASE!$M$6:$M$1740,"NON CHARGÉ")</f>
        <v>18</v>
      </c>
      <c r="H22">
        <f>COUNTIFS(BASE!$A$6:$A$1740,A22,BASE!$M$6:$M$1740,"ANNULÉ")</f>
        <v>0</v>
      </c>
      <c r="I22">
        <v>0</v>
      </c>
      <c r="J22">
        <v>231</v>
      </c>
      <c r="K22">
        <v>617</v>
      </c>
      <c r="L22">
        <v>278</v>
      </c>
      <c r="M22">
        <v>406</v>
      </c>
      <c r="N22">
        <v>0</v>
      </c>
      <c r="O22">
        <v>144</v>
      </c>
      <c r="P22">
        <v>221</v>
      </c>
      <c r="Q22">
        <v>186</v>
      </c>
      <c r="R22">
        <v>186</v>
      </c>
      <c r="S22">
        <v>314</v>
      </c>
      <c r="T22">
        <v>414</v>
      </c>
      <c r="U22">
        <v>198</v>
      </c>
      <c r="V22">
        <v>149</v>
      </c>
    </row>
    <row r="23" spans="1:22">
      <c r="A23" t="s">
        <v>2990</v>
      </c>
      <c r="B23">
        <f>COUNTIF(BASE!$A$6:$A$1740,A23)</f>
        <v>50</v>
      </c>
      <c r="C23">
        <f>SUMIF(BASE!$A$6:$A$1740,A23,BASE!$F$6:$F$1740)</f>
        <v>50</v>
      </c>
      <c r="D23">
        <f t="shared" si="0"/>
        <v>2882</v>
      </c>
      <c r="E23">
        <f>COUNTIFS(BASE!$A$6:$A$1740,A23,BASE!$M$6:$M$1740,"SAUVÉ")</f>
        <v>21</v>
      </c>
      <c r="F23">
        <f>COUNTIFS(BASE!$A$6:$A$1740,A23,BASE!$M$6:$M$1740,"CHARGÉ")</f>
        <v>18</v>
      </c>
      <c r="G23">
        <f>COUNTIFS(BASE!$A$6:$A$1740,A23,BASE!$M$6:$M$1740,"NON CHARGÉ")</f>
        <v>11</v>
      </c>
      <c r="H23">
        <f>COUNTIFS(BASE!$A$6:$A$1740,A23,BASE!$M$6:$M$1740,"ANNULÉ")</f>
        <v>0</v>
      </c>
      <c r="I23">
        <v>0</v>
      </c>
      <c r="J23">
        <v>218</v>
      </c>
      <c r="K23">
        <v>585</v>
      </c>
      <c r="L23">
        <v>232</v>
      </c>
      <c r="M23">
        <v>362</v>
      </c>
      <c r="N23">
        <v>0</v>
      </c>
      <c r="O23">
        <v>108</v>
      </c>
      <c r="P23">
        <v>249</v>
      </c>
      <c r="Q23">
        <v>164</v>
      </c>
      <c r="R23">
        <v>165</v>
      </c>
      <c r="S23">
        <v>312</v>
      </c>
      <c r="T23">
        <v>218</v>
      </c>
      <c r="U23">
        <v>120</v>
      </c>
      <c r="V23">
        <v>149</v>
      </c>
    </row>
    <row r="24" spans="1:22">
      <c r="A24" t="s">
        <v>3113</v>
      </c>
      <c r="B24">
        <f>COUNTIF(BASE!$A$6:$A$1740,A24)</f>
        <v>58</v>
      </c>
      <c r="C24">
        <f>SUMIF(BASE!$A$6:$A$1740,A24,BASE!$F$6:$F$1740)</f>
        <v>58</v>
      </c>
      <c r="D24">
        <f t="shared" si="0"/>
        <v>3671</v>
      </c>
      <c r="E24">
        <f>COUNTIFS(BASE!$A$6:$A$1740,A24,BASE!$M$6:$M$1740,"SAUVÉ")</f>
        <v>37</v>
      </c>
      <c r="F24">
        <f>COUNTIFS(BASE!$A$6:$A$1740,A24,BASE!$M$6:$M$1740,"CHARGÉ")</f>
        <v>7</v>
      </c>
      <c r="G24">
        <f>COUNTIFS(BASE!$A$6:$A$1740,A24,BASE!$M$6:$M$1740,"NON CHARGÉ")</f>
        <v>14</v>
      </c>
      <c r="H24">
        <f>COUNTIFS(BASE!$A$6:$A$1740,A24,BASE!$M$6:$M$1740,"ANNULÉ")</f>
        <v>0</v>
      </c>
      <c r="I24">
        <v>0</v>
      </c>
      <c r="J24">
        <v>361</v>
      </c>
      <c r="K24">
        <v>533</v>
      </c>
      <c r="L24">
        <v>324</v>
      </c>
      <c r="M24">
        <v>483</v>
      </c>
      <c r="N24">
        <v>0</v>
      </c>
      <c r="O24">
        <v>189</v>
      </c>
      <c r="P24">
        <v>249</v>
      </c>
      <c r="Q24">
        <v>264</v>
      </c>
      <c r="R24">
        <v>186</v>
      </c>
      <c r="S24">
        <v>338</v>
      </c>
      <c r="T24">
        <v>370</v>
      </c>
      <c r="U24">
        <v>207</v>
      </c>
      <c r="V24">
        <v>167</v>
      </c>
    </row>
    <row r="25" spans="1:22">
      <c r="A25" t="s">
        <v>3273</v>
      </c>
      <c r="B25">
        <f>COUNTIF(BASE!$A$6:$A$1740,A25)</f>
        <v>71</v>
      </c>
      <c r="C25">
        <f>SUMIF(BASE!$A$6:$A$1740,A25,BASE!$F$6:$F$1740)</f>
        <v>71</v>
      </c>
      <c r="D25">
        <f t="shared" si="0"/>
        <v>3916</v>
      </c>
      <c r="E25">
        <f>COUNTIFS(BASE!$A$6:$A$1740,A25,BASE!$M$6:$M$1740,"SAUVÉ")</f>
        <v>14</v>
      </c>
      <c r="F25">
        <f>COUNTIFS(BASE!$A$6:$A$1740,A25,BASE!$M$6:$M$1740,"CHARGÉ")</f>
        <v>38</v>
      </c>
      <c r="G25">
        <f>COUNTIFS(BASE!$A$6:$A$1740,A25,BASE!$M$6:$M$1740,"NON CHARGÉ")</f>
        <v>19</v>
      </c>
      <c r="H25">
        <f>COUNTIFS(BASE!$A$6:$A$1740,A25,BASE!$M$6:$M$1740,"ANNULÉ")</f>
        <v>0</v>
      </c>
      <c r="I25">
        <v>0</v>
      </c>
      <c r="J25">
        <v>0</v>
      </c>
      <c r="K25">
        <v>843</v>
      </c>
      <c r="L25">
        <v>302</v>
      </c>
      <c r="M25">
        <v>680</v>
      </c>
      <c r="N25">
        <v>0</v>
      </c>
      <c r="O25">
        <v>179</v>
      </c>
      <c r="P25">
        <v>288</v>
      </c>
      <c r="Q25">
        <v>151</v>
      </c>
      <c r="R25">
        <v>236</v>
      </c>
      <c r="S25">
        <v>351</v>
      </c>
      <c r="T25">
        <v>383</v>
      </c>
      <c r="U25">
        <v>175</v>
      </c>
      <c r="V25">
        <v>328</v>
      </c>
    </row>
    <row r="26" spans="1:22">
      <c r="A26" t="s">
        <v>3455</v>
      </c>
      <c r="B26">
        <f>COUNTIF(BASE!$A$6:$A$1740,A26)</f>
        <v>45</v>
      </c>
      <c r="C26">
        <f>SUMIF(BASE!$A$6:$A$1740,A26,BASE!$F$6:$F$1740)</f>
        <v>45</v>
      </c>
      <c r="D26">
        <f t="shared" si="0"/>
        <v>3792</v>
      </c>
      <c r="E26">
        <f>COUNTIFS(BASE!$A$6:$A$1740,A26,BASE!$M$6:$M$1740,"SAUVÉ")</f>
        <v>21</v>
      </c>
      <c r="F26">
        <f>COUNTIFS(BASE!$A$6:$A$1740,A26,BASE!$M$6:$M$1740,"CHARGÉ")</f>
        <v>10</v>
      </c>
      <c r="G26">
        <f>COUNTIFS(BASE!$A$6:$A$1740,A26,BASE!$M$6:$M$1740,"NON CHARGÉ")</f>
        <v>14</v>
      </c>
      <c r="H26">
        <f>COUNTIFS(BASE!$A$6:$A$1740,A26,BASE!$M$6:$M$1740,"ANNULÉ")</f>
        <v>0</v>
      </c>
      <c r="I26">
        <v>0</v>
      </c>
      <c r="J26">
        <v>258</v>
      </c>
      <c r="K26">
        <v>681</v>
      </c>
      <c r="L26">
        <v>296</v>
      </c>
      <c r="M26">
        <v>361</v>
      </c>
      <c r="N26">
        <v>368</v>
      </c>
      <c r="O26">
        <v>242</v>
      </c>
      <c r="P26">
        <v>262</v>
      </c>
      <c r="Q26">
        <v>139</v>
      </c>
      <c r="R26">
        <v>186</v>
      </c>
      <c r="S26">
        <v>273</v>
      </c>
      <c r="T26">
        <v>270</v>
      </c>
      <c r="U26">
        <v>190</v>
      </c>
      <c r="V26">
        <v>266</v>
      </c>
    </row>
    <row r="27" spans="1:22">
      <c r="A27" t="s">
        <v>3559</v>
      </c>
      <c r="B27">
        <f>COUNTIF(BASE!$A$6:$A$1740,A27)</f>
        <v>51</v>
      </c>
      <c r="C27">
        <f>SUMIF(BASE!$A$6:$A$1740,A27,BASE!$F$6:$F$1740)</f>
        <v>51</v>
      </c>
      <c r="D27">
        <f t="shared" si="0"/>
        <v>3301</v>
      </c>
      <c r="E27">
        <f>COUNTIFS(BASE!$A$6:$A$1740,A27,BASE!$M$6:$M$1740,"SAUVÉ")</f>
        <v>27</v>
      </c>
      <c r="F27">
        <f>COUNTIFS(BASE!$A$6:$A$1740,A27,BASE!$M$6:$M$1740,"CHARGÉ")</f>
        <v>7</v>
      </c>
      <c r="G27">
        <f>COUNTIFS(BASE!$A$6:$A$1740,A27,BASE!$M$6:$M$1740,"NON CHARGÉ")</f>
        <v>17</v>
      </c>
      <c r="H27">
        <f>COUNTIFS(BASE!$A$6:$A$1740,A27,BASE!$M$6:$M$1740,"ANNULÉ")</f>
        <v>0</v>
      </c>
      <c r="I27">
        <v>0</v>
      </c>
      <c r="J27">
        <v>380</v>
      </c>
      <c r="K27">
        <v>468</v>
      </c>
      <c r="L27">
        <v>275</v>
      </c>
      <c r="M27">
        <v>354</v>
      </c>
      <c r="N27">
        <v>0</v>
      </c>
      <c r="O27">
        <v>158</v>
      </c>
      <c r="P27">
        <v>224</v>
      </c>
      <c r="Q27">
        <v>133</v>
      </c>
      <c r="R27">
        <v>196</v>
      </c>
      <c r="S27">
        <v>395</v>
      </c>
      <c r="T27">
        <v>257</v>
      </c>
      <c r="U27">
        <v>127</v>
      </c>
      <c r="V27">
        <v>334</v>
      </c>
    </row>
    <row r="28" spans="1:22">
      <c r="A28" t="s">
        <v>3704</v>
      </c>
      <c r="B28">
        <f>COUNTIF(BASE!$A$6:$A$1740,A28)</f>
        <v>62</v>
      </c>
      <c r="C28">
        <f>SUMIF(BASE!$A$6:$A$1740,A28,BASE!$F$6:$F$1740)</f>
        <v>62</v>
      </c>
      <c r="D28">
        <f t="shared" si="0"/>
        <v>3196</v>
      </c>
      <c r="E28">
        <f>COUNTIFS(BASE!$A$6:$A$1740,A28,BASE!$M$6:$M$1740,"SAUVÉ")</f>
        <v>41</v>
      </c>
      <c r="F28">
        <f>COUNTIFS(BASE!$A$6:$A$1740,A28,BASE!$M$6:$M$1740,"CHARGÉ")</f>
        <v>14</v>
      </c>
      <c r="G28">
        <f>COUNTIFS(BASE!$A$6:$A$1740,A28,BASE!$M$6:$M$1740,"NON CHARGÉ")</f>
        <v>7</v>
      </c>
      <c r="H28">
        <f>COUNTIFS(BASE!$A$6:$A$1740,A28,BASE!$M$6:$M$1740,"ANNULÉ")</f>
        <v>0</v>
      </c>
      <c r="I28">
        <v>0</v>
      </c>
      <c r="J28">
        <v>470</v>
      </c>
      <c r="K28">
        <v>563</v>
      </c>
      <c r="L28">
        <v>278</v>
      </c>
      <c r="M28">
        <v>311</v>
      </c>
      <c r="N28">
        <v>338</v>
      </c>
      <c r="O28">
        <v>124</v>
      </c>
      <c r="P28">
        <v>216</v>
      </c>
      <c r="Q28">
        <v>122</v>
      </c>
      <c r="R28">
        <v>185</v>
      </c>
      <c r="S28">
        <v>0</v>
      </c>
      <c r="T28">
        <v>257</v>
      </c>
      <c r="U28">
        <v>153</v>
      </c>
      <c r="V28">
        <v>179</v>
      </c>
    </row>
    <row r="29" spans="1:22">
      <c r="A29" t="s">
        <v>3873</v>
      </c>
      <c r="B29">
        <f>COUNTIF(BASE!$A$6:$A$1740,A29)</f>
        <v>77</v>
      </c>
      <c r="C29">
        <f>SUMIF(BASE!$A$6:$A$1740,A29,BASE!$F$6:$F$1740)</f>
        <v>77</v>
      </c>
      <c r="D29">
        <f t="shared" si="0"/>
        <v>3396</v>
      </c>
      <c r="E29">
        <f>COUNTIFS(BASE!$A$6:$A$1740,A29,BASE!$M$6:$M$1740,"SAUVÉ")</f>
        <v>33</v>
      </c>
      <c r="F29">
        <f>COUNTIFS(BASE!$A$6:$A$1740,A29,BASE!$M$6:$M$1740,"CHARGÉ")</f>
        <v>16</v>
      </c>
      <c r="G29">
        <f>COUNTIFS(BASE!$A$6:$A$1740,A29,BASE!$M$6:$M$1740,"NON CHARGÉ")</f>
        <v>28</v>
      </c>
      <c r="H29">
        <f>COUNTIFS(BASE!$A$6:$A$1740,A29,BASE!$M$6:$M$1740,"ANNULÉ")</f>
        <v>0</v>
      </c>
      <c r="I29">
        <v>0</v>
      </c>
      <c r="J29">
        <v>202</v>
      </c>
      <c r="K29">
        <v>632</v>
      </c>
      <c r="L29">
        <v>244</v>
      </c>
      <c r="M29">
        <v>482</v>
      </c>
      <c r="N29">
        <v>0</v>
      </c>
      <c r="O29">
        <v>140</v>
      </c>
      <c r="P29">
        <v>222</v>
      </c>
      <c r="Q29">
        <v>132</v>
      </c>
      <c r="R29">
        <v>220</v>
      </c>
      <c r="S29">
        <v>345</v>
      </c>
      <c r="T29">
        <v>421</v>
      </c>
      <c r="U29">
        <v>151</v>
      </c>
      <c r="V29">
        <v>205</v>
      </c>
    </row>
    <row r="30" spans="1:22">
      <c r="A30" t="s">
        <v>4037</v>
      </c>
      <c r="B30">
        <f>COUNTIF(BASE!$A$6:$A$1740,A30)</f>
        <v>33</v>
      </c>
      <c r="C30">
        <f>SUMIF(BASE!$A$6:$A$1740,A30,BASE!$F$6:$F$1740)</f>
        <v>33</v>
      </c>
      <c r="D30">
        <f t="shared" si="0"/>
        <v>2967</v>
      </c>
      <c r="E30">
        <f>COUNTIFS(BASE!$A$6:$A$1740,A30,BASE!$M$6:$M$1740,"SAUVÉ")</f>
        <v>11</v>
      </c>
      <c r="F30">
        <f>COUNTIFS(BASE!$A$6:$A$1740,A30,BASE!$M$6:$M$1740,"CHARGÉ")</f>
        <v>15</v>
      </c>
      <c r="G30">
        <f>COUNTIFS(BASE!$A$6:$A$1740,A30,BASE!$M$6:$M$1740,"NON CHARGÉ")</f>
        <v>7</v>
      </c>
      <c r="H30">
        <f>COUNTIFS(BASE!$A$6:$A$1740,A30,BASE!$M$6:$M$1740,"ANNULÉ")</f>
        <v>0</v>
      </c>
      <c r="I30">
        <v>0</v>
      </c>
      <c r="J30">
        <v>293</v>
      </c>
      <c r="K30">
        <v>552</v>
      </c>
      <c r="L30">
        <v>230</v>
      </c>
      <c r="M30">
        <v>353</v>
      </c>
      <c r="N30">
        <v>0</v>
      </c>
      <c r="O30">
        <v>138</v>
      </c>
      <c r="P30">
        <v>247</v>
      </c>
      <c r="Q30">
        <v>163</v>
      </c>
      <c r="R30">
        <v>191</v>
      </c>
      <c r="S30">
        <v>306</v>
      </c>
      <c r="T30">
        <v>202</v>
      </c>
      <c r="U30">
        <v>123</v>
      </c>
      <c r="V30">
        <v>169</v>
      </c>
    </row>
    <row r="31" spans="1:22">
      <c r="A31" t="s">
        <v>4132</v>
      </c>
      <c r="B31">
        <f>COUNTIF(BASE!$A$6:$A$1740,A31)</f>
        <v>32</v>
      </c>
      <c r="C31">
        <f>SUMIF(BASE!$A$6:$A$1740,A31,BASE!$F$6:$F$1740)</f>
        <v>32</v>
      </c>
      <c r="D31">
        <f t="shared" si="0"/>
        <v>3538</v>
      </c>
      <c r="E31">
        <f>COUNTIFS(BASE!$A$6:$A$1740,A31,BASE!$M$6:$M$1740,"SAUVÉ")</f>
        <v>9</v>
      </c>
      <c r="F31">
        <f>COUNTIFS(BASE!$A$6:$A$1740,A31,BASE!$M$6:$M$1740,"CHARGÉ")</f>
        <v>4</v>
      </c>
      <c r="G31">
        <f>COUNTIFS(BASE!$A$6:$A$1740,A31,BASE!$M$6:$M$1740,"NON CHARGÉ")</f>
        <v>19</v>
      </c>
      <c r="H31">
        <f>COUNTIFS(BASE!$A$6:$A$1740,A31,BASE!$M$6:$M$1740,"ANNULÉ")</f>
        <v>0</v>
      </c>
      <c r="I31">
        <v>0</v>
      </c>
      <c r="J31">
        <v>333</v>
      </c>
      <c r="K31">
        <v>489</v>
      </c>
      <c r="L31">
        <v>300</v>
      </c>
      <c r="M31">
        <v>450</v>
      </c>
      <c r="N31">
        <v>0</v>
      </c>
      <c r="O31">
        <v>159</v>
      </c>
      <c r="P31">
        <v>229</v>
      </c>
      <c r="Q31">
        <v>245</v>
      </c>
      <c r="R31">
        <v>167</v>
      </c>
      <c r="S31">
        <v>325</v>
      </c>
      <c r="T31">
        <v>395</v>
      </c>
      <c r="U31">
        <v>170</v>
      </c>
      <c r="V31">
        <v>276</v>
      </c>
    </row>
    <row r="32" spans="1:22">
      <c r="A32" t="s">
        <v>4217</v>
      </c>
      <c r="B32">
        <f>COUNTIF(BASE!$A$6:$A$1740,A32)</f>
        <v>38</v>
      </c>
      <c r="C32">
        <f>SUMIF(BASE!$A$6:$A$1740,A32,BASE!$F$6:$F$1740)</f>
        <v>38</v>
      </c>
      <c r="D32">
        <f t="shared" si="0"/>
        <v>3764</v>
      </c>
      <c r="E32">
        <f>COUNTIFS(BASE!$A$6:$A$1740,A32,BASE!$M$6:$M$1740,"SAUVÉ")</f>
        <v>15</v>
      </c>
      <c r="F32">
        <f>COUNTIFS(BASE!$A$6:$A$1740,A32,BASE!$M$6:$M$1740,"CHARGÉ")</f>
        <v>8</v>
      </c>
      <c r="G32">
        <f>COUNTIFS(BASE!$A$6:$A$1740,A32,BASE!$M$6:$M$1740,"NON CHARGÉ")</f>
        <v>15</v>
      </c>
      <c r="H32">
        <f>COUNTIFS(BASE!$A$6:$A$1740,A32,BASE!$M$6:$M$1740,"ANNULÉ")</f>
        <v>0</v>
      </c>
      <c r="I32">
        <v>0</v>
      </c>
      <c r="J32">
        <v>390</v>
      </c>
      <c r="K32">
        <v>869</v>
      </c>
      <c r="L32">
        <v>263</v>
      </c>
      <c r="M32">
        <v>476</v>
      </c>
      <c r="N32">
        <v>0</v>
      </c>
      <c r="O32">
        <v>184</v>
      </c>
      <c r="P32">
        <v>256</v>
      </c>
      <c r="Q32">
        <v>164</v>
      </c>
      <c r="R32">
        <v>198</v>
      </c>
      <c r="S32">
        <v>305</v>
      </c>
      <c r="T32">
        <v>302</v>
      </c>
      <c r="U32">
        <v>175</v>
      </c>
      <c r="V32">
        <v>182</v>
      </c>
    </row>
    <row r="33" spans="1:22">
      <c r="A33" t="s">
        <v>4313</v>
      </c>
      <c r="B33">
        <f>COUNTIF(BASE!$A$6:$A$1740,A33)</f>
        <v>55</v>
      </c>
      <c r="C33">
        <f>SUMIF(BASE!$A$6:$A$1740,A33,BASE!$F$6:$F$1740)</f>
        <v>55</v>
      </c>
      <c r="D33">
        <f t="shared" si="0"/>
        <v>3967</v>
      </c>
      <c r="E33">
        <f>COUNTIFS(BASE!$A$6:$A$1740,A33,BASE!$M$6:$M$1740,"SAUVÉ")</f>
        <v>35</v>
      </c>
      <c r="F33">
        <f>COUNTIFS(BASE!$A$6:$A$1740,A33,BASE!$M$6:$M$1740,"CHARGÉ")</f>
        <v>10</v>
      </c>
      <c r="G33">
        <f>COUNTIFS(BASE!$A$6:$A$1740,A33,BASE!$M$6:$M$1740,"NON CHARGÉ")</f>
        <v>10</v>
      </c>
      <c r="H33">
        <f>COUNTIFS(BASE!$A$6:$A$1740,A33,BASE!$M$6:$M$1740,"ANNULÉ")</f>
        <v>0</v>
      </c>
      <c r="I33">
        <v>0</v>
      </c>
      <c r="J33">
        <v>240</v>
      </c>
      <c r="K33">
        <v>669</v>
      </c>
      <c r="L33">
        <v>318</v>
      </c>
      <c r="M33">
        <v>372</v>
      </c>
      <c r="N33">
        <v>362</v>
      </c>
      <c r="O33">
        <v>220</v>
      </c>
      <c r="P33">
        <v>260</v>
      </c>
      <c r="Q33">
        <v>135</v>
      </c>
      <c r="R33">
        <v>208</v>
      </c>
      <c r="S33">
        <v>347</v>
      </c>
      <c r="T33">
        <v>352</v>
      </c>
      <c r="U33">
        <v>194</v>
      </c>
      <c r="V33">
        <v>290</v>
      </c>
    </row>
    <row r="34" spans="1:22">
      <c r="A34" t="s">
        <v>4477</v>
      </c>
      <c r="B34">
        <f>COUNTIF(BASE!$A$6:$A$1740,A34)</f>
        <v>56</v>
      </c>
      <c r="C34">
        <f>SUMIF(BASE!$A$6:$A$1740,A34,BASE!$F$6:$F$1740)</f>
        <v>56</v>
      </c>
      <c r="D34">
        <f t="shared" si="0"/>
        <v>3497</v>
      </c>
      <c r="E34">
        <f>COUNTIFS(BASE!$A$6:$A$1740,A34,BASE!$M$6:$M$1740,"SAUVÉ")</f>
        <v>25</v>
      </c>
      <c r="F34">
        <f>COUNTIFS(BASE!$A$6:$A$1740,A34,BASE!$M$6:$M$1740,"CHARGÉ")</f>
        <v>13</v>
      </c>
      <c r="G34">
        <f>COUNTIFS(BASE!$A$6:$A$1740,A34,BASE!$M$6:$M$1740,"NON CHARGÉ")</f>
        <v>18</v>
      </c>
      <c r="H34">
        <f>COUNTIFS(BASE!$A$6:$A$1740,A34,BASE!$M$6:$M$1740,"ANNULÉ")</f>
        <v>0</v>
      </c>
      <c r="I34">
        <v>0</v>
      </c>
      <c r="J34">
        <v>233</v>
      </c>
      <c r="K34">
        <v>535</v>
      </c>
      <c r="L34">
        <v>324</v>
      </c>
      <c r="M34">
        <v>463</v>
      </c>
      <c r="N34">
        <v>0</v>
      </c>
      <c r="O34">
        <v>247</v>
      </c>
      <c r="P34">
        <v>270</v>
      </c>
      <c r="Q34">
        <v>131</v>
      </c>
      <c r="R34">
        <v>249</v>
      </c>
      <c r="S34">
        <v>296</v>
      </c>
      <c r="T34">
        <v>325</v>
      </c>
      <c r="U34">
        <v>145</v>
      </c>
      <c r="V34">
        <v>279</v>
      </c>
    </row>
    <row r="35" spans="1:22">
      <c r="A35" t="s">
        <v>4630</v>
      </c>
      <c r="B35">
        <f>COUNTIF(BASE!$A$6:$A$1740,A35)</f>
        <v>55</v>
      </c>
      <c r="C35">
        <f>SUMIF(BASE!$A$6:$A$1740,A35,BASE!$F$6:$F$1740)</f>
        <v>55</v>
      </c>
      <c r="D35">
        <f t="shared" si="0"/>
        <v>3761</v>
      </c>
      <c r="E35">
        <f>COUNTIFS(BASE!$A$6:$A$1740,A35,BASE!$M$6:$M$1740,"SAUVÉ")</f>
        <v>36</v>
      </c>
      <c r="F35">
        <f>COUNTIFS(BASE!$A$6:$A$1740,A35,BASE!$M$6:$M$1740,"CHARGÉ")</f>
        <v>11</v>
      </c>
      <c r="G35">
        <f>COUNTIFS(BASE!$A$6:$A$1740,A35,BASE!$M$6:$M$1740,"NON CHARGÉ")</f>
        <v>8</v>
      </c>
      <c r="H35">
        <f>COUNTIFS(BASE!$A$6:$A$1740,A35,BASE!$M$6:$M$1740,"ANNULÉ")</f>
        <v>0</v>
      </c>
      <c r="I35">
        <v>0</v>
      </c>
      <c r="J35">
        <v>412</v>
      </c>
      <c r="K35">
        <v>535</v>
      </c>
      <c r="L35">
        <v>331</v>
      </c>
      <c r="M35">
        <v>379</v>
      </c>
      <c r="N35">
        <v>311</v>
      </c>
      <c r="O35">
        <v>205</v>
      </c>
      <c r="P35">
        <v>251</v>
      </c>
      <c r="Q35">
        <v>120</v>
      </c>
      <c r="R35">
        <v>224</v>
      </c>
      <c r="S35">
        <v>310</v>
      </c>
      <c r="T35">
        <v>301</v>
      </c>
      <c r="U35">
        <v>153</v>
      </c>
      <c r="V35">
        <v>229</v>
      </c>
    </row>
    <row r="36" spans="1:22" ht="27" customHeight="1">
      <c r="A36" s="2" t="s">
        <v>4791</v>
      </c>
      <c r="B36" s="2">
        <f t="shared" ref="B36:V36" si="1">SUM(B6:B35)</f>
        <v>1735</v>
      </c>
      <c r="C36" s="2">
        <f t="shared" si="1"/>
        <v>1735</v>
      </c>
      <c r="D36" s="2">
        <f t="shared" si="1"/>
        <v>106188</v>
      </c>
      <c r="E36" s="2">
        <f t="shared" si="1"/>
        <v>773</v>
      </c>
      <c r="F36" s="2">
        <f t="shared" si="1"/>
        <v>369</v>
      </c>
      <c r="G36" s="2">
        <f t="shared" si="1"/>
        <v>593</v>
      </c>
      <c r="H36" s="2">
        <f t="shared" si="1"/>
        <v>0</v>
      </c>
      <c r="I36" s="2">
        <f t="shared" si="1"/>
        <v>4758</v>
      </c>
      <c r="J36" s="2">
        <f t="shared" si="1"/>
        <v>9011</v>
      </c>
      <c r="K36" s="2">
        <f t="shared" si="1"/>
        <v>17510</v>
      </c>
      <c r="L36" s="2">
        <f t="shared" si="1"/>
        <v>7669</v>
      </c>
      <c r="M36" s="2">
        <f t="shared" si="1"/>
        <v>13252</v>
      </c>
      <c r="N36" s="2">
        <f t="shared" si="1"/>
        <v>3602</v>
      </c>
      <c r="O36" s="2">
        <f t="shared" si="1"/>
        <v>5215</v>
      </c>
      <c r="P36" s="2">
        <f t="shared" si="1"/>
        <v>6770</v>
      </c>
      <c r="Q36" s="2">
        <f t="shared" si="1"/>
        <v>4421</v>
      </c>
      <c r="R36" s="2">
        <f t="shared" si="1"/>
        <v>5214</v>
      </c>
      <c r="S36" s="2">
        <f t="shared" si="1"/>
        <v>9141</v>
      </c>
      <c r="T36" s="2">
        <f t="shared" si="1"/>
        <v>10427</v>
      </c>
      <c r="U36" s="2">
        <f t="shared" si="1"/>
        <v>4332</v>
      </c>
      <c r="V36" s="2">
        <f t="shared" si="1"/>
        <v>4866</v>
      </c>
    </row>
  </sheetData>
  <mergeCells count="4">
    <mergeCell ref="A1:V2"/>
    <mergeCell ref="A3:V3"/>
    <mergeCell ref="A4:H4"/>
    <mergeCell ref="I4:V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40"/>
  <sheetViews>
    <sheetView topLeftCell="L1" workbookViewId="0">
      <pane ySplit="5" topLeftCell="A90" activePane="bottomLeft" state="frozen"/>
      <selection pane="bottomLeft" sqref="A1:N2"/>
    </sheetView>
  </sheetViews>
  <sheetFormatPr baseColWidth="10" defaultColWidth="8.796875" defaultRowHeight="13.8"/>
  <cols>
    <col min="1" max="1" width="15" customWidth="1"/>
    <col min="2" max="2" width="9" customWidth="1"/>
    <col min="3" max="4" width="13" customWidth="1"/>
    <col min="5" max="5" width="20" customWidth="1"/>
    <col min="6" max="6" width="12" customWidth="1"/>
    <col min="7" max="7" width="16" customWidth="1"/>
    <col min="8" max="8" width="14" customWidth="1"/>
    <col min="9" max="9" width="31" customWidth="1"/>
    <col min="10" max="11" width="35" customWidth="1"/>
    <col min="12" max="12" width="45" customWidth="1"/>
    <col min="13" max="13" width="16" customWidth="1"/>
    <col min="14" max="14" width="39" customWidth="1"/>
    <col min="16" max="16" width="19.296875" bestFit="1" customWidth="1"/>
    <col min="17" max="17" width="15.3984375" bestFit="1" customWidth="1"/>
    <col min="18" max="18" width="18.796875" bestFit="1" customWidth="1"/>
  </cols>
  <sheetData>
    <row r="1" spans="1:53" ht="27" customHeight="1">
      <c r="A1" s="49" t="s">
        <v>4792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AZ1" t="s">
        <v>35</v>
      </c>
      <c r="BA1" t="s">
        <v>2</v>
      </c>
    </row>
    <row r="2" spans="1:53" ht="27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AZ2" t="s">
        <v>4</v>
      </c>
      <c r="BA2">
        <f>RÉCAPITULATIF!G6</f>
        <v>773</v>
      </c>
    </row>
    <row r="3" spans="1:53" ht="24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AZ3" t="s">
        <v>5</v>
      </c>
      <c r="BA3">
        <f>RÉCAPITULATIF!J6</f>
        <v>369</v>
      </c>
    </row>
    <row r="4" spans="1:53">
      <c r="A4" t="s">
        <v>4793</v>
      </c>
      <c r="AZ4" t="s">
        <v>6</v>
      </c>
      <c r="BA4">
        <f>RÉCAPITULATIF!M6</f>
        <v>593</v>
      </c>
    </row>
    <row r="5" spans="1:53" ht="30" customHeight="1">
      <c r="A5" s="1" t="s">
        <v>42</v>
      </c>
      <c r="B5" s="1" t="s">
        <v>16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35</v>
      </c>
      <c r="N5" s="1" t="s">
        <v>53</v>
      </c>
      <c r="P5" t="s">
        <v>4799</v>
      </c>
      <c r="Q5" t="s">
        <v>4800</v>
      </c>
      <c r="R5" t="s">
        <v>4801</v>
      </c>
      <c r="AZ5" t="s">
        <v>7</v>
      </c>
      <c r="BA5">
        <f>RÉCAPITULATIF!P6</f>
        <v>0</v>
      </c>
    </row>
    <row r="6" spans="1:53" ht="22.95" customHeight="1">
      <c r="A6" t="s">
        <v>54</v>
      </c>
      <c r="B6" t="s">
        <v>20</v>
      </c>
      <c r="C6" t="s">
        <v>55</v>
      </c>
      <c r="D6" t="s">
        <v>56</v>
      </c>
      <c r="E6" t="s">
        <v>57</v>
      </c>
      <c r="F6">
        <v>1</v>
      </c>
      <c r="G6" t="s">
        <v>58</v>
      </c>
      <c r="H6" t="s">
        <v>59</v>
      </c>
      <c r="I6" t="s">
        <v>60</v>
      </c>
      <c r="L6" t="s">
        <v>61</v>
      </c>
      <c r="M6" t="s">
        <v>62</v>
      </c>
      <c r="N6" t="s">
        <v>63</v>
      </c>
      <c r="P6">
        <f t="shared" ref="P6:P69" si="0">COUNTIF($E$6:$E$1740,E6)</f>
        <v>1</v>
      </c>
      <c r="Q6" t="str">
        <f>IF(AND(P6&gt;1,COUNTIF($E$6:E6,E6)=1),MAX($Q$5:Q5)+1,"")</f>
        <v/>
      </c>
      <c r="R6" t="str">
        <f t="shared" ref="R6:R69" si="1">IF(Q6="","",IF(COUNTIFS($E$6:$E$1740,E6,$A$6:$A$1740,A6,$C$6:$C$1740,C6)&lt;P6,"LÉGITIME",IF(COUNTIFS($E$6:$E$1740,E6,$A$6:$A$1740,A6,$C$6:$C$1740,C6,$M$6:$M$1740,M6)&lt;P6,"STATUT DIFFÉRENT","VRAI DOUBLON")))</f>
        <v/>
      </c>
    </row>
    <row r="7" spans="1:53" ht="22.95" customHeight="1">
      <c r="A7" t="s">
        <v>54</v>
      </c>
      <c r="B7" t="s">
        <v>20</v>
      </c>
      <c r="C7" t="s">
        <v>55</v>
      </c>
      <c r="D7" t="s">
        <v>56</v>
      </c>
      <c r="E7" t="s">
        <v>64</v>
      </c>
      <c r="F7">
        <v>1</v>
      </c>
      <c r="G7" t="s">
        <v>58</v>
      </c>
      <c r="H7" t="s">
        <v>59</v>
      </c>
      <c r="I7" t="s">
        <v>60</v>
      </c>
      <c r="L7" t="s">
        <v>61</v>
      </c>
      <c r="M7" t="s">
        <v>62</v>
      </c>
      <c r="N7" t="s">
        <v>63</v>
      </c>
      <c r="P7">
        <f t="shared" si="0"/>
        <v>1</v>
      </c>
      <c r="Q7" t="str">
        <f>IF(AND(P7&gt;1,COUNTIF($E$6:E7,E7)=1),MAX($Q$5:Q6)+1,"")</f>
        <v/>
      </c>
      <c r="R7" t="str">
        <f t="shared" si="1"/>
        <v/>
      </c>
    </row>
    <row r="8" spans="1:53" ht="22.95" customHeight="1">
      <c r="A8" t="s">
        <v>54</v>
      </c>
      <c r="B8" t="s">
        <v>20</v>
      </c>
      <c r="C8" t="s">
        <v>65</v>
      </c>
      <c r="D8" t="s">
        <v>66</v>
      </c>
      <c r="E8" t="s">
        <v>67</v>
      </c>
      <c r="F8">
        <v>1</v>
      </c>
      <c r="G8" t="s">
        <v>68</v>
      </c>
      <c r="H8" t="s">
        <v>69</v>
      </c>
      <c r="I8" t="s">
        <v>70</v>
      </c>
      <c r="K8" t="s">
        <v>71</v>
      </c>
      <c r="L8" t="s">
        <v>72</v>
      </c>
      <c r="M8" t="s">
        <v>73</v>
      </c>
      <c r="P8">
        <f t="shared" si="0"/>
        <v>1</v>
      </c>
      <c r="Q8" t="str">
        <f>IF(AND(P8&gt;1,COUNTIF($E$6:E8,E8)=1),MAX($Q$5:Q7)+1,"")</f>
        <v/>
      </c>
      <c r="R8" t="str">
        <f t="shared" si="1"/>
        <v/>
      </c>
    </row>
    <row r="9" spans="1:53" ht="22.95" customHeight="1">
      <c r="A9" t="s">
        <v>54</v>
      </c>
      <c r="B9" t="s">
        <v>20</v>
      </c>
      <c r="C9" t="s">
        <v>65</v>
      </c>
      <c r="D9" t="s">
        <v>66</v>
      </c>
      <c r="E9" t="s">
        <v>74</v>
      </c>
      <c r="F9">
        <v>1</v>
      </c>
      <c r="G9" t="s">
        <v>75</v>
      </c>
      <c r="H9" t="s">
        <v>76</v>
      </c>
      <c r="I9" t="s">
        <v>77</v>
      </c>
      <c r="K9" t="s">
        <v>78</v>
      </c>
      <c r="L9" t="s">
        <v>79</v>
      </c>
      <c r="M9" t="s">
        <v>73</v>
      </c>
      <c r="P9">
        <f t="shared" si="0"/>
        <v>1</v>
      </c>
      <c r="Q9" t="str">
        <f>IF(AND(P9&gt;1,COUNTIF($E$6:E9,E9)=1),MAX($Q$5:Q8)+1,"")</f>
        <v/>
      </c>
      <c r="R9" t="str">
        <f t="shared" si="1"/>
        <v/>
      </c>
    </row>
    <row r="10" spans="1:53" ht="22.95" customHeight="1">
      <c r="A10" t="s">
        <v>54</v>
      </c>
      <c r="B10" t="s">
        <v>20</v>
      </c>
      <c r="C10" t="s">
        <v>65</v>
      </c>
      <c r="D10" t="s">
        <v>66</v>
      </c>
      <c r="E10" t="s">
        <v>80</v>
      </c>
      <c r="F10">
        <v>1</v>
      </c>
      <c r="G10" t="s">
        <v>75</v>
      </c>
      <c r="H10" t="s">
        <v>76</v>
      </c>
      <c r="I10" t="s">
        <v>81</v>
      </c>
      <c r="K10" t="s">
        <v>78</v>
      </c>
      <c r="L10" t="s">
        <v>79</v>
      </c>
      <c r="M10" t="s">
        <v>73</v>
      </c>
      <c r="P10">
        <f t="shared" si="0"/>
        <v>1</v>
      </c>
      <c r="Q10" t="str">
        <f>IF(AND(P10&gt;1,COUNTIF($E$6:E10,E10)=1),MAX($Q$5:Q9)+1,"")</f>
        <v/>
      </c>
      <c r="R10" t="str">
        <f t="shared" si="1"/>
        <v/>
      </c>
    </row>
    <row r="11" spans="1:53" ht="22.95" customHeight="1">
      <c r="A11" t="s">
        <v>54</v>
      </c>
      <c r="B11" t="s">
        <v>20</v>
      </c>
      <c r="C11" t="s">
        <v>65</v>
      </c>
      <c r="D11" t="s">
        <v>66</v>
      </c>
      <c r="E11" t="s">
        <v>82</v>
      </c>
      <c r="F11">
        <v>1</v>
      </c>
      <c r="G11" t="s">
        <v>83</v>
      </c>
      <c r="H11" t="s">
        <v>84</v>
      </c>
      <c r="I11" t="s">
        <v>85</v>
      </c>
      <c r="K11" t="s">
        <v>86</v>
      </c>
      <c r="L11" t="s">
        <v>87</v>
      </c>
      <c r="M11" t="s">
        <v>73</v>
      </c>
      <c r="P11">
        <f t="shared" si="0"/>
        <v>1</v>
      </c>
      <c r="Q11" t="str">
        <f>IF(AND(P11&gt;1,COUNTIF($E$6:E11,E11)=1),MAX($Q$5:Q10)+1,"")</f>
        <v/>
      </c>
      <c r="R11" t="str">
        <f t="shared" si="1"/>
        <v/>
      </c>
    </row>
    <row r="12" spans="1:53" ht="22.95" customHeight="1">
      <c r="A12" t="s">
        <v>54</v>
      </c>
      <c r="B12" t="s">
        <v>20</v>
      </c>
      <c r="C12" t="s">
        <v>65</v>
      </c>
      <c r="D12" t="s">
        <v>66</v>
      </c>
      <c r="E12" t="s">
        <v>88</v>
      </c>
      <c r="F12">
        <v>1</v>
      </c>
      <c r="G12" t="s">
        <v>83</v>
      </c>
      <c r="H12" t="s">
        <v>84</v>
      </c>
      <c r="I12" t="s">
        <v>77</v>
      </c>
      <c r="K12" t="s">
        <v>78</v>
      </c>
      <c r="L12" t="s">
        <v>79</v>
      </c>
      <c r="M12" t="s">
        <v>73</v>
      </c>
      <c r="P12">
        <f t="shared" si="0"/>
        <v>1</v>
      </c>
      <c r="Q12" t="str">
        <f>IF(AND(P12&gt;1,COUNTIF($E$6:E12,E12)=1),MAX($Q$5:Q11)+1,"")</f>
        <v/>
      </c>
      <c r="R12" t="str">
        <f t="shared" si="1"/>
        <v/>
      </c>
    </row>
    <row r="13" spans="1:53" ht="22.95" customHeight="1">
      <c r="A13" t="s">
        <v>54</v>
      </c>
      <c r="B13" t="s">
        <v>22</v>
      </c>
      <c r="C13" t="s">
        <v>89</v>
      </c>
      <c r="D13" t="s">
        <v>90</v>
      </c>
      <c r="E13" t="s">
        <v>91</v>
      </c>
      <c r="F13">
        <v>1</v>
      </c>
      <c r="G13" t="s">
        <v>92</v>
      </c>
      <c r="I13" t="s">
        <v>93</v>
      </c>
      <c r="K13" t="s">
        <v>94</v>
      </c>
      <c r="L13" t="s">
        <v>95</v>
      </c>
      <c r="M13" t="s">
        <v>73</v>
      </c>
      <c r="P13">
        <f t="shared" si="0"/>
        <v>1</v>
      </c>
      <c r="Q13" t="str">
        <f>IF(AND(P13&gt;1,COUNTIF($E$6:E13,E13)=1),MAX($Q$5:Q12)+1,"")</f>
        <v/>
      </c>
      <c r="R13" t="str">
        <f t="shared" si="1"/>
        <v/>
      </c>
    </row>
    <row r="14" spans="1:53" ht="22.95" customHeight="1">
      <c r="A14" t="s">
        <v>54</v>
      </c>
      <c r="B14" t="s">
        <v>22</v>
      </c>
      <c r="C14" t="s">
        <v>89</v>
      </c>
      <c r="D14" t="s">
        <v>90</v>
      </c>
      <c r="E14" t="s">
        <v>96</v>
      </c>
      <c r="F14">
        <v>1</v>
      </c>
      <c r="G14" t="s">
        <v>92</v>
      </c>
      <c r="I14" t="s">
        <v>93</v>
      </c>
      <c r="K14" t="s">
        <v>94</v>
      </c>
      <c r="L14" t="s">
        <v>95</v>
      </c>
      <c r="M14" t="s">
        <v>73</v>
      </c>
      <c r="P14">
        <f t="shared" si="0"/>
        <v>2</v>
      </c>
      <c r="Q14">
        <f>IF(AND(P14&gt;1,COUNTIF($E$6:E14,E14)=1),MAX($Q$5:Q13)+1,"")</f>
        <v>1</v>
      </c>
      <c r="R14" t="str">
        <f t="shared" si="1"/>
        <v>VRAI DOUBLON</v>
      </c>
    </row>
    <row r="15" spans="1:53" ht="22.95" customHeight="1">
      <c r="A15" t="s">
        <v>54</v>
      </c>
      <c r="B15" t="s">
        <v>22</v>
      </c>
      <c r="C15" t="s">
        <v>89</v>
      </c>
      <c r="D15" t="s">
        <v>90</v>
      </c>
      <c r="E15" t="s">
        <v>97</v>
      </c>
      <c r="F15">
        <v>1</v>
      </c>
      <c r="G15" t="s">
        <v>92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P15">
        <f t="shared" si="0"/>
        <v>2</v>
      </c>
      <c r="Q15">
        <f>IF(AND(P15&gt;1,COUNTIF($E$6:E15,E15)=1),MAX($Q$5:Q14)+1,"")</f>
        <v>2</v>
      </c>
      <c r="R15" t="str">
        <f t="shared" si="1"/>
        <v>VRAI DOUBLON</v>
      </c>
    </row>
    <row r="16" spans="1:53" ht="22.95" customHeight="1">
      <c r="A16" t="s">
        <v>54</v>
      </c>
      <c r="B16" t="s">
        <v>23</v>
      </c>
      <c r="C16" t="s">
        <v>103</v>
      </c>
      <c r="D16" t="s">
        <v>104</v>
      </c>
      <c r="E16" t="s">
        <v>105</v>
      </c>
      <c r="F16">
        <v>1</v>
      </c>
      <c r="G16" t="s">
        <v>106</v>
      </c>
      <c r="H16" t="s">
        <v>107</v>
      </c>
      <c r="I16" t="s">
        <v>108</v>
      </c>
      <c r="K16" t="s">
        <v>109</v>
      </c>
      <c r="L16" t="s">
        <v>110</v>
      </c>
      <c r="M16" t="s">
        <v>73</v>
      </c>
      <c r="P16">
        <f t="shared" si="0"/>
        <v>1</v>
      </c>
      <c r="Q16" t="str">
        <f>IF(AND(P16&gt;1,COUNTIF($E$6:E16,E16)=1),MAX($Q$5:Q15)+1,"")</f>
        <v/>
      </c>
      <c r="R16" t="str">
        <f t="shared" si="1"/>
        <v/>
      </c>
    </row>
    <row r="17" spans="1:18" ht="22.95" customHeight="1">
      <c r="A17" t="s">
        <v>54</v>
      </c>
      <c r="B17" t="s">
        <v>23</v>
      </c>
      <c r="C17" t="s">
        <v>103</v>
      </c>
      <c r="D17" t="s">
        <v>104</v>
      </c>
      <c r="E17" t="s">
        <v>111</v>
      </c>
      <c r="F17">
        <v>1</v>
      </c>
      <c r="G17" t="s">
        <v>106</v>
      </c>
      <c r="H17" t="s">
        <v>107</v>
      </c>
      <c r="I17" t="s">
        <v>112</v>
      </c>
      <c r="K17" t="s">
        <v>112</v>
      </c>
      <c r="L17" t="s">
        <v>113</v>
      </c>
      <c r="M17" t="s">
        <v>62</v>
      </c>
      <c r="N17" t="s">
        <v>114</v>
      </c>
      <c r="P17">
        <f t="shared" si="0"/>
        <v>1</v>
      </c>
      <c r="Q17" t="str">
        <f>IF(AND(P17&gt;1,COUNTIF($E$6:E17,E17)=1),MAX($Q$5:Q16)+1,"")</f>
        <v/>
      </c>
      <c r="R17" t="str">
        <f t="shared" si="1"/>
        <v/>
      </c>
    </row>
    <row r="18" spans="1:18" ht="22.95" customHeight="1">
      <c r="A18" t="s">
        <v>54</v>
      </c>
      <c r="B18" t="s">
        <v>25</v>
      </c>
      <c r="C18" t="s">
        <v>115</v>
      </c>
      <c r="D18" t="s">
        <v>116</v>
      </c>
      <c r="E18" t="s">
        <v>117</v>
      </c>
      <c r="F18">
        <v>1</v>
      </c>
      <c r="G18" t="s">
        <v>118</v>
      </c>
      <c r="I18" t="s">
        <v>119</v>
      </c>
      <c r="K18" t="s">
        <v>109</v>
      </c>
      <c r="L18" t="s">
        <v>120</v>
      </c>
      <c r="M18" t="s">
        <v>73</v>
      </c>
      <c r="P18">
        <f t="shared" si="0"/>
        <v>1</v>
      </c>
      <c r="Q18" t="str">
        <f>IF(AND(P18&gt;1,COUNTIF($E$6:E18,E18)=1),MAX($Q$5:Q17)+1,"")</f>
        <v/>
      </c>
      <c r="R18" t="str">
        <f t="shared" si="1"/>
        <v/>
      </c>
    </row>
    <row r="19" spans="1:18" ht="22.95" customHeight="1">
      <c r="A19" t="s">
        <v>54</v>
      </c>
      <c r="B19" t="s">
        <v>25</v>
      </c>
      <c r="C19" t="s">
        <v>115</v>
      </c>
      <c r="D19" t="s">
        <v>116</v>
      </c>
      <c r="E19" t="s">
        <v>121</v>
      </c>
      <c r="F19">
        <v>1</v>
      </c>
      <c r="G19" t="s">
        <v>118</v>
      </c>
      <c r="I19" t="s">
        <v>119</v>
      </c>
      <c r="K19" t="s">
        <v>122</v>
      </c>
      <c r="L19" t="s">
        <v>123</v>
      </c>
      <c r="M19" t="s">
        <v>73</v>
      </c>
      <c r="P19">
        <f t="shared" si="0"/>
        <v>1</v>
      </c>
      <c r="Q19" t="str">
        <f>IF(AND(P19&gt;1,COUNTIF($E$6:E19,E19)=1),MAX($Q$5:Q18)+1,"")</f>
        <v/>
      </c>
      <c r="R19" t="str">
        <f t="shared" si="1"/>
        <v/>
      </c>
    </row>
    <row r="20" spans="1:18" ht="22.95" customHeight="1">
      <c r="A20" t="s">
        <v>54</v>
      </c>
      <c r="B20" t="s">
        <v>25</v>
      </c>
      <c r="C20" t="s">
        <v>115</v>
      </c>
      <c r="D20" t="s">
        <v>116</v>
      </c>
      <c r="E20" t="s">
        <v>124</v>
      </c>
      <c r="F20">
        <v>1</v>
      </c>
      <c r="G20" t="s">
        <v>125</v>
      </c>
      <c r="H20" t="s">
        <v>126</v>
      </c>
      <c r="I20" t="s">
        <v>127</v>
      </c>
      <c r="K20" t="s">
        <v>128</v>
      </c>
      <c r="L20" t="s">
        <v>129</v>
      </c>
      <c r="M20" t="s">
        <v>62</v>
      </c>
      <c r="N20" t="s">
        <v>130</v>
      </c>
      <c r="P20">
        <f t="shared" si="0"/>
        <v>1</v>
      </c>
      <c r="Q20" t="str">
        <f>IF(AND(P20&gt;1,COUNTIF($E$6:E20,E20)=1),MAX($Q$5:Q19)+1,"")</f>
        <v/>
      </c>
      <c r="R20" t="str">
        <f t="shared" si="1"/>
        <v/>
      </c>
    </row>
    <row r="21" spans="1:18" ht="22.95" customHeight="1">
      <c r="A21" t="s">
        <v>54</v>
      </c>
      <c r="B21" t="s">
        <v>25</v>
      </c>
      <c r="C21" t="s">
        <v>131</v>
      </c>
      <c r="D21" t="s">
        <v>132</v>
      </c>
      <c r="E21" t="s">
        <v>133</v>
      </c>
      <c r="F21">
        <v>1</v>
      </c>
      <c r="G21" t="s">
        <v>92</v>
      </c>
      <c r="I21" t="s">
        <v>134</v>
      </c>
      <c r="L21" t="s">
        <v>135</v>
      </c>
      <c r="M21" t="s">
        <v>102</v>
      </c>
      <c r="P21">
        <f t="shared" si="0"/>
        <v>1</v>
      </c>
      <c r="Q21" t="str">
        <f>IF(AND(P21&gt;1,COUNTIF($E$6:E21,E21)=1),MAX($Q$5:Q20)+1,"")</f>
        <v/>
      </c>
      <c r="R21" t="str">
        <f t="shared" si="1"/>
        <v/>
      </c>
    </row>
    <row r="22" spans="1:18" ht="22.95" customHeight="1">
      <c r="A22" t="s">
        <v>54</v>
      </c>
      <c r="B22" t="s">
        <v>24</v>
      </c>
      <c r="C22" t="s">
        <v>136</v>
      </c>
      <c r="D22" t="s">
        <v>137</v>
      </c>
      <c r="E22" t="s">
        <v>138</v>
      </c>
      <c r="F22">
        <v>1</v>
      </c>
      <c r="G22" t="s">
        <v>139</v>
      </c>
      <c r="I22" t="s">
        <v>140</v>
      </c>
      <c r="K22" t="s">
        <v>141</v>
      </c>
      <c r="L22" t="s">
        <v>142</v>
      </c>
      <c r="M22" t="s">
        <v>62</v>
      </c>
      <c r="N22" t="s">
        <v>63</v>
      </c>
      <c r="P22">
        <f t="shared" si="0"/>
        <v>1</v>
      </c>
      <c r="Q22" t="str">
        <f>IF(AND(P22&gt;1,COUNTIF($E$6:E22,E22)=1),MAX($Q$5:Q21)+1,"")</f>
        <v/>
      </c>
      <c r="R22" t="str">
        <f t="shared" si="1"/>
        <v/>
      </c>
    </row>
    <row r="23" spans="1:18" ht="22.95" customHeight="1">
      <c r="A23" t="s">
        <v>54</v>
      </c>
      <c r="B23" t="s">
        <v>24</v>
      </c>
      <c r="C23" t="s">
        <v>136</v>
      </c>
      <c r="D23" t="s">
        <v>137</v>
      </c>
      <c r="E23" t="s">
        <v>143</v>
      </c>
      <c r="F23">
        <v>1</v>
      </c>
      <c r="G23" t="s">
        <v>139</v>
      </c>
      <c r="I23" t="s">
        <v>140</v>
      </c>
      <c r="K23" t="s">
        <v>141</v>
      </c>
      <c r="L23" t="s">
        <v>142</v>
      </c>
      <c r="M23" t="s">
        <v>62</v>
      </c>
      <c r="N23" t="s">
        <v>63</v>
      </c>
      <c r="P23">
        <f t="shared" si="0"/>
        <v>1</v>
      </c>
      <c r="Q23" t="str">
        <f>IF(AND(P23&gt;1,COUNTIF($E$6:E23,E23)=1),MAX($Q$5:Q22)+1,"")</f>
        <v/>
      </c>
      <c r="R23" t="str">
        <f t="shared" si="1"/>
        <v/>
      </c>
    </row>
    <row r="24" spans="1:18" ht="22.95" customHeight="1">
      <c r="A24" t="s">
        <v>54</v>
      </c>
      <c r="B24" t="s">
        <v>24</v>
      </c>
      <c r="C24" t="s">
        <v>136</v>
      </c>
      <c r="D24" t="s">
        <v>137</v>
      </c>
      <c r="E24" t="s">
        <v>144</v>
      </c>
      <c r="F24">
        <v>1</v>
      </c>
      <c r="G24" t="s">
        <v>139</v>
      </c>
      <c r="I24" t="s">
        <v>140</v>
      </c>
      <c r="K24" t="s">
        <v>141</v>
      </c>
      <c r="L24" t="s">
        <v>142</v>
      </c>
      <c r="M24" t="s">
        <v>62</v>
      </c>
      <c r="N24" t="s">
        <v>63</v>
      </c>
      <c r="P24">
        <f t="shared" si="0"/>
        <v>1</v>
      </c>
      <c r="Q24" t="str">
        <f>IF(AND(P24&gt;1,COUNTIF($E$6:E24,E24)=1),MAX($Q$5:Q23)+1,"")</f>
        <v/>
      </c>
      <c r="R24" t="str">
        <f t="shared" si="1"/>
        <v/>
      </c>
    </row>
    <row r="25" spans="1:18" ht="22.95" customHeight="1">
      <c r="A25" t="s">
        <v>54</v>
      </c>
      <c r="B25" t="s">
        <v>24</v>
      </c>
      <c r="C25" t="s">
        <v>136</v>
      </c>
      <c r="D25" t="s">
        <v>137</v>
      </c>
      <c r="E25" t="s">
        <v>145</v>
      </c>
      <c r="F25">
        <v>1</v>
      </c>
      <c r="G25" t="s">
        <v>139</v>
      </c>
      <c r="I25" t="s">
        <v>140</v>
      </c>
      <c r="K25" t="s">
        <v>141</v>
      </c>
      <c r="L25" t="s">
        <v>142</v>
      </c>
      <c r="M25" t="s">
        <v>62</v>
      </c>
      <c r="N25" t="s">
        <v>63</v>
      </c>
      <c r="P25">
        <f t="shared" si="0"/>
        <v>1</v>
      </c>
      <c r="Q25" t="str">
        <f>IF(AND(P25&gt;1,COUNTIF($E$6:E25,E25)=1),MAX($Q$5:Q24)+1,"")</f>
        <v/>
      </c>
      <c r="R25" t="str">
        <f t="shared" si="1"/>
        <v/>
      </c>
    </row>
    <row r="26" spans="1:18" ht="22.95" customHeight="1">
      <c r="A26" t="s">
        <v>54</v>
      </c>
      <c r="B26" t="s">
        <v>28</v>
      </c>
      <c r="C26" t="s">
        <v>146</v>
      </c>
      <c r="D26" t="s">
        <v>147</v>
      </c>
      <c r="E26" t="s">
        <v>148</v>
      </c>
      <c r="F26">
        <v>1</v>
      </c>
      <c r="G26" t="s">
        <v>149</v>
      </c>
      <c r="H26" t="s">
        <v>150</v>
      </c>
      <c r="I26" t="s">
        <v>151</v>
      </c>
      <c r="L26" t="s">
        <v>152</v>
      </c>
      <c r="M26" t="s">
        <v>62</v>
      </c>
      <c r="N26" t="s">
        <v>114</v>
      </c>
      <c r="P26">
        <f t="shared" si="0"/>
        <v>1</v>
      </c>
      <c r="Q26" t="str">
        <f>IF(AND(P26&gt;1,COUNTIF($E$6:E26,E26)=1),MAX($Q$5:Q25)+1,"")</f>
        <v/>
      </c>
      <c r="R26" t="str">
        <f t="shared" si="1"/>
        <v/>
      </c>
    </row>
    <row r="27" spans="1:18" ht="22.95" customHeight="1">
      <c r="A27" t="s">
        <v>54</v>
      </c>
      <c r="B27" t="s">
        <v>28</v>
      </c>
      <c r="C27" t="s">
        <v>146</v>
      </c>
      <c r="D27" t="s">
        <v>147</v>
      </c>
      <c r="E27" t="s">
        <v>153</v>
      </c>
      <c r="F27">
        <v>1</v>
      </c>
      <c r="G27" t="s">
        <v>149</v>
      </c>
      <c r="H27" t="s">
        <v>150</v>
      </c>
      <c r="I27" t="s">
        <v>154</v>
      </c>
      <c r="L27" t="s">
        <v>155</v>
      </c>
      <c r="M27" t="s">
        <v>62</v>
      </c>
      <c r="N27" t="s">
        <v>63</v>
      </c>
      <c r="P27">
        <f t="shared" si="0"/>
        <v>1</v>
      </c>
      <c r="Q27" t="str">
        <f>IF(AND(P27&gt;1,COUNTIF($E$6:E27,E27)=1),MAX($Q$5:Q26)+1,"")</f>
        <v/>
      </c>
      <c r="R27" t="str">
        <f t="shared" si="1"/>
        <v/>
      </c>
    </row>
    <row r="28" spans="1:18" ht="22.95" customHeight="1">
      <c r="A28" t="s">
        <v>54</v>
      </c>
      <c r="B28" t="s">
        <v>28</v>
      </c>
      <c r="C28" t="s">
        <v>146</v>
      </c>
      <c r="D28" t="s">
        <v>147</v>
      </c>
      <c r="E28" t="s">
        <v>156</v>
      </c>
      <c r="F28">
        <v>1</v>
      </c>
      <c r="G28" t="s">
        <v>157</v>
      </c>
      <c r="I28" t="s">
        <v>158</v>
      </c>
      <c r="K28" t="s">
        <v>159</v>
      </c>
      <c r="L28" t="s">
        <v>160</v>
      </c>
      <c r="M28" t="s">
        <v>62</v>
      </c>
      <c r="N28" t="s">
        <v>161</v>
      </c>
      <c r="P28">
        <f t="shared" si="0"/>
        <v>1</v>
      </c>
      <c r="Q28" t="str">
        <f>IF(AND(P28&gt;1,COUNTIF($E$6:E28,E28)=1),MAX($Q$5:Q27)+1,"")</f>
        <v/>
      </c>
      <c r="R28" t="str">
        <f t="shared" si="1"/>
        <v/>
      </c>
    </row>
    <row r="29" spans="1:18" ht="22.95" customHeight="1">
      <c r="A29" t="s">
        <v>54</v>
      </c>
      <c r="B29" t="s">
        <v>28</v>
      </c>
      <c r="C29" t="s">
        <v>146</v>
      </c>
      <c r="D29" t="s">
        <v>147</v>
      </c>
      <c r="E29" t="s">
        <v>162</v>
      </c>
      <c r="F29">
        <v>1</v>
      </c>
      <c r="G29" t="s">
        <v>157</v>
      </c>
      <c r="H29" t="s">
        <v>163</v>
      </c>
      <c r="I29" t="s">
        <v>164</v>
      </c>
      <c r="K29" t="s">
        <v>165</v>
      </c>
      <c r="L29" t="s">
        <v>166</v>
      </c>
      <c r="M29" t="s">
        <v>62</v>
      </c>
      <c r="N29" t="s">
        <v>114</v>
      </c>
      <c r="P29">
        <f t="shared" si="0"/>
        <v>1</v>
      </c>
      <c r="Q29" t="str">
        <f>IF(AND(P29&gt;1,COUNTIF($E$6:E29,E29)=1),MAX($Q$5:Q28)+1,"")</f>
        <v/>
      </c>
      <c r="R29" t="str">
        <f t="shared" si="1"/>
        <v/>
      </c>
    </row>
    <row r="30" spans="1:18" ht="22.95" customHeight="1">
      <c r="A30" t="s">
        <v>54</v>
      </c>
      <c r="B30" t="s">
        <v>28</v>
      </c>
      <c r="C30" t="s">
        <v>167</v>
      </c>
      <c r="D30" t="s">
        <v>168</v>
      </c>
      <c r="E30" t="s">
        <v>169</v>
      </c>
      <c r="F30">
        <v>1</v>
      </c>
      <c r="G30" t="s">
        <v>170</v>
      </c>
      <c r="H30" t="s">
        <v>171</v>
      </c>
      <c r="I30" t="s">
        <v>172</v>
      </c>
      <c r="K30" t="s">
        <v>78</v>
      </c>
      <c r="L30" t="s">
        <v>173</v>
      </c>
      <c r="M30" t="s">
        <v>73</v>
      </c>
      <c r="P30">
        <f t="shared" si="0"/>
        <v>1</v>
      </c>
      <c r="Q30" t="str">
        <f>IF(AND(P30&gt;1,COUNTIF($E$6:E30,E30)=1),MAX($Q$5:Q29)+1,"")</f>
        <v/>
      </c>
      <c r="R30" t="str">
        <f t="shared" si="1"/>
        <v/>
      </c>
    </row>
    <row r="31" spans="1:18" ht="22.95" customHeight="1">
      <c r="A31" t="s">
        <v>54</v>
      </c>
      <c r="B31" t="s">
        <v>28</v>
      </c>
      <c r="C31" t="s">
        <v>167</v>
      </c>
      <c r="D31" t="s">
        <v>168</v>
      </c>
      <c r="E31" t="s">
        <v>174</v>
      </c>
      <c r="F31">
        <v>1</v>
      </c>
      <c r="G31" t="s">
        <v>175</v>
      </c>
      <c r="H31" t="s">
        <v>176</v>
      </c>
      <c r="I31" t="s">
        <v>177</v>
      </c>
      <c r="K31" t="s">
        <v>178</v>
      </c>
      <c r="L31" t="s">
        <v>179</v>
      </c>
      <c r="M31" t="s">
        <v>73</v>
      </c>
      <c r="P31">
        <f t="shared" si="0"/>
        <v>1</v>
      </c>
      <c r="Q31" t="str">
        <f>IF(AND(P31&gt;1,COUNTIF($E$6:E31,E31)=1),MAX($Q$5:Q30)+1,"")</f>
        <v/>
      </c>
      <c r="R31" t="str">
        <f t="shared" si="1"/>
        <v/>
      </c>
    </row>
    <row r="32" spans="1:18" ht="22.95" customHeight="1">
      <c r="A32" t="s">
        <v>54</v>
      </c>
      <c r="B32" t="s">
        <v>30</v>
      </c>
      <c r="C32" t="s">
        <v>180</v>
      </c>
      <c r="D32" t="s">
        <v>181</v>
      </c>
      <c r="E32" t="s">
        <v>182</v>
      </c>
      <c r="F32">
        <v>1</v>
      </c>
      <c r="G32" t="s">
        <v>183</v>
      </c>
      <c r="I32" t="s">
        <v>184</v>
      </c>
      <c r="K32" t="s">
        <v>185</v>
      </c>
      <c r="L32" t="s">
        <v>186</v>
      </c>
      <c r="M32" t="s">
        <v>62</v>
      </c>
      <c r="N32" t="s">
        <v>187</v>
      </c>
      <c r="P32">
        <f t="shared" si="0"/>
        <v>1</v>
      </c>
      <c r="Q32" t="str">
        <f>IF(AND(P32&gt;1,COUNTIF($E$6:E32,E32)=1),MAX($Q$5:Q31)+1,"")</f>
        <v/>
      </c>
      <c r="R32" t="str">
        <f t="shared" si="1"/>
        <v/>
      </c>
    </row>
    <row r="33" spans="1:18" ht="22.95" customHeight="1">
      <c r="A33" t="s">
        <v>54</v>
      </c>
      <c r="B33" t="s">
        <v>30</v>
      </c>
      <c r="C33" t="s">
        <v>188</v>
      </c>
      <c r="D33" t="s">
        <v>189</v>
      </c>
      <c r="E33" t="s">
        <v>190</v>
      </c>
      <c r="F33">
        <v>1</v>
      </c>
      <c r="G33" t="s">
        <v>191</v>
      </c>
      <c r="H33" t="s">
        <v>192</v>
      </c>
      <c r="I33" t="s">
        <v>193</v>
      </c>
      <c r="K33" t="s">
        <v>194</v>
      </c>
      <c r="L33" t="s">
        <v>195</v>
      </c>
      <c r="M33" t="s">
        <v>62</v>
      </c>
      <c r="N33" t="s">
        <v>63</v>
      </c>
      <c r="P33">
        <f t="shared" si="0"/>
        <v>1</v>
      </c>
      <c r="Q33" t="str">
        <f>IF(AND(P33&gt;1,COUNTIF($E$6:E33,E33)=1),MAX($Q$5:Q32)+1,"")</f>
        <v/>
      </c>
      <c r="R33" t="str">
        <f t="shared" si="1"/>
        <v/>
      </c>
    </row>
    <row r="34" spans="1:18" ht="22.95" customHeight="1">
      <c r="A34" t="s">
        <v>54</v>
      </c>
      <c r="B34" t="s">
        <v>26</v>
      </c>
      <c r="C34" t="s">
        <v>196</v>
      </c>
      <c r="D34" t="s">
        <v>197</v>
      </c>
      <c r="E34" t="s">
        <v>198</v>
      </c>
      <c r="F34">
        <v>1</v>
      </c>
      <c r="G34" t="s">
        <v>92</v>
      </c>
      <c r="I34" t="s">
        <v>60</v>
      </c>
      <c r="L34" t="s">
        <v>199</v>
      </c>
      <c r="M34" t="s">
        <v>102</v>
      </c>
      <c r="P34">
        <f t="shared" si="0"/>
        <v>1</v>
      </c>
      <c r="Q34" t="str">
        <f>IF(AND(P34&gt;1,COUNTIF($E$6:E34,E34)=1),MAX($Q$5:Q33)+1,"")</f>
        <v/>
      </c>
      <c r="R34" t="str">
        <f t="shared" si="1"/>
        <v/>
      </c>
    </row>
    <row r="35" spans="1:18" ht="22.95" customHeight="1">
      <c r="A35" t="s">
        <v>54</v>
      </c>
      <c r="B35" t="s">
        <v>32</v>
      </c>
      <c r="C35" t="s">
        <v>200</v>
      </c>
      <c r="D35" t="s">
        <v>201</v>
      </c>
      <c r="E35" t="s">
        <v>202</v>
      </c>
      <c r="F35">
        <v>1</v>
      </c>
      <c r="G35" t="s">
        <v>203</v>
      </c>
      <c r="H35" t="s">
        <v>204</v>
      </c>
      <c r="I35" t="s">
        <v>205</v>
      </c>
      <c r="L35" t="s">
        <v>206</v>
      </c>
      <c r="M35" t="s">
        <v>62</v>
      </c>
      <c r="N35" t="s">
        <v>161</v>
      </c>
      <c r="P35">
        <f t="shared" si="0"/>
        <v>1</v>
      </c>
      <c r="Q35" t="str">
        <f>IF(AND(P35&gt;1,COUNTIF($E$6:E35,E35)=1),MAX($Q$5:Q34)+1,"")</f>
        <v/>
      </c>
      <c r="R35" t="str">
        <f t="shared" si="1"/>
        <v/>
      </c>
    </row>
    <row r="36" spans="1:18" ht="22.95" customHeight="1">
      <c r="A36" t="s">
        <v>54</v>
      </c>
      <c r="B36" t="s">
        <v>21</v>
      </c>
      <c r="C36" t="s">
        <v>207</v>
      </c>
      <c r="D36" t="s">
        <v>208</v>
      </c>
      <c r="E36" t="s">
        <v>209</v>
      </c>
      <c r="F36">
        <v>1</v>
      </c>
      <c r="G36" t="s">
        <v>210</v>
      </c>
      <c r="H36" t="s">
        <v>211</v>
      </c>
      <c r="I36" t="s">
        <v>112</v>
      </c>
      <c r="K36" t="s">
        <v>112</v>
      </c>
      <c r="L36" t="s">
        <v>212</v>
      </c>
      <c r="M36" t="s">
        <v>73</v>
      </c>
      <c r="P36">
        <f t="shared" si="0"/>
        <v>1</v>
      </c>
      <c r="Q36" t="str">
        <f>IF(AND(P36&gt;1,COUNTIF($E$6:E36,E36)=1),MAX($Q$5:Q35)+1,"")</f>
        <v/>
      </c>
      <c r="R36" t="str">
        <f t="shared" si="1"/>
        <v/>
      </c>
    </row>
    <row r="37" spans="1:18" ht="22.95" customHeight="1">
      <c r="A37" t="s">
        <v>54</v>
      </c>
      <c r="B37" t="s">
        <v>21</v>
      </c>
      <c r="C37" t="s">
        <v>207</v>
      </c>
      <c r="D37" t="s">
        <v>208</v>
      </c>
      <c r="E37" t="s">
        <v>213</v>
      </c>
      <c r="F37">
        <v>1</v>
      </c>
      <c r="G37" t="s">
        <v>210</v>
      </c>
      <c r="I37" t="s">
        <v>112</v>
      </c>
      <c r="K37" t="s">
        <v>112</v>
      </c>
      <c r="L37" t="s">
        <v>214</v>
      </c>
      <c r="M37" t="s">
        <v>62</v>
      </c>
      <c r="N37" t="s">
        <v>63</v>
      </c>
      <c r="P37">
        <f t="shared" si="0"/>
        <v>1</v>
      </c>
      <c r="Q37" t="str">
        <f>IF(AND(P37&gt;1,COUNTIF($E$6:E37,E37)=1),MAX($Q$5:Q36)+1,"")</f>
        <v/>
      </c>
      <c r="R37" t="str">
        <f t="shared" si="1"/>
        <v/>
      </c>
    </row>
    <row r="38" spans="1:18" ht="22.95" customHeight="1">
      <c r="A38" t="s">
        <v>54</v>
      </c>
      <c r="B38" t="s">
        <v>21</v>
      </c>
      <c r="C38" t="s">
        <v>215</v>
      </c>
      <c r="D38" t="s">
        <v>216</v>
      </c>
      <c r="E38" t="s">
        <v>217</v>
      </c>
      <c r="F38">
        <v>1</v>
      </c>
      <c r="G38" t="s">
        <v>183</v>
      </c>
      <c r="I38" t="s">
        <v>218</v>
      </c>
      <c r="K38" t="s">
        <v>109</v>
      </c>
      <c r="L38" t="s">
        <v>219</v>
      </c>
      <c r="M38" t="s">
        <v>62</v>
      </c>
      <c r="N38" t="s">
        <v>114</v>
      </c>
      <c r="P38">
        <f t="shared" si="0"/>
        <v>1</v>
      </c>
      <c r="Q38" t="str">
        <f>IF(AND(P38&gt;1,COUNTIF($E$6:E38,E38)=1),MAX($Q$5:Q37)+1,"")</f>
        <v/>
      </c>
      <c r="R38" t="str">
        <f t="shared" si="1"/>
        <v/>
      </c>
    </row>
    <row r="39" spans="1:18" ht="22.95" customHeight="1">
      <c r="A39" t="s">
        <v>54</v>
      </c>
      <c r="B39" t="s">
        <v>21</v>
      </c>
      <c r="C39" t="s">
        <v>215</v>
      </c>
      <c r="D39" t="s">
        <v>216</v>
      </c>
      <c r="E39" t="s">
        <v>220</v>
      </c>
      <c r="F39">
        <v>1</v>
      </c>
      <c r="G39" t="s">
        <v>183</v>
      </c>
      <c r="I39" t="s">
        <v>218</v>
      </c>
      <c r="K39" t="s">
        <v>109</v>
      </c>
      <c r="L39" t="s">
        <v>221</v>
      </c>
      <c r="M39" t="s">
        <v>62</v>
      </c>
      <c r="N39" t="s">
        <v>114</v>
      </c>
      <c r="P39">
        <f t="shared" si="0"/>
        <v>1</v>
      </c>
      <c r="Q39" t="str">
        <f>IF(AND(P39&gt;1,COUNTIF($E$6:E39,E39)=1),MAX($Q$5:Q38)+1,"")</f>
        <v/>
      </c>
      <c r="R39" t="str">
        <f t="shared" si="1"/>
        <v/>
      </c>
    </row>
    <row r="40" spans="1:18" ht="22.95" customHeight="1">
      <c r="A40" t="s">
        <v>54</v>
      </c>
      <c r="B40" t="s">
        <v>21</v>
      </c>
      <c r="C40" t="s">
        <v>215</v>
      </c>
      <c r="D40" t="s">
        <v>216</v>
      </c>
      <c r="E40" t="s">
        <v>222</v>
      </c>
      <c r="F40">
        <v>1</v>
      </c>
      <c r="G40" t="s">
        <v>183</v>
      </c>
      <c r="I40" t="s">
        <v>218</v>
      </c>
      <c r="K40" t="s">
        <v>109</v>
      </c>
      <c r="L40" t="s">
        <v>221</v>
      </c>
      <c r="M40" t="s">
        <v>62</v>
      </c>
      <c r="N40" t="s">
        <v>114</v>
      </c>
      <c r="P40">
        <f t="shared" si="0"/>
        <v>1</v>
      </c>
      <c r="Q40" t="str">
        <f>IF(AND(P40&gt;1,COUNTIF($E$6:E40,E40)=1),MAX($Q$5:Q39)+1,"")</f>
        <v/>
      </c>
      <c r="R40" t="str">
        <f t="shared" si="1"/>
        <v/>
      </c>
    </row>
    <row r="41" spans="1:18" ht="22.95" customHeight="1">
      <c r="A41" t="s">
        <v>54</v>
      </c>
      <c r="B41" t="s">
        <v>21</v>
      </c>
      <c r="C41" t="s">
        <v>215</v>
      </c>
      <c r="D41" t="s">
        <v>216</v>
      </c>
      <c r="E41" t="s">
        <v>223</v>
      </c>
      <c r="F41">
        <v>1</v>
      </c>
      <c r="G41" t="s">
        <v>224</v>
      </c>
      <c r="H41" t="s">
        <v>225</v>
      </c>
      <c r="I41" t="s">
        <v>218</v>
      </c>
      <c r="K41" t="s">
        <v>109</v>
      </c>
      <c r="L41" t="s">
        <v>221</v>
      </c>
      <c r="M41" t="s">
        <v>62</v>
      </c>
      <c r="N41" t="s">
        <v>114</v>
      </c>
      <c r="P41">
        <f t="shared" si="0"/>
        <v>1</v>
      </c>
      <c r="Q41" t="str">
        <f>IF(AND(P41&gt;1,COUNTIF($E$6:E41,E41)=1),MAX($Q$5:Q40)+1,"")</f>
        <v/>
      </c>
      <c r="R41" t="str">
        <f t="shared" si="1"/>
        <v/>
      </c>
    </row>
    <row r="42" spans="1:18" ht="22.95" customHeight="1">
      <c r="A42" t="s">
        <v>54</v>
      </c>
      <c r="B42" t="s">
        <v>21</v>
      </c>
      <c r="C42" t="s">
        <v>215</v>
      </c>
      <c r="D42" t="s">
        <v>216</v>
      </c>
      <c r="E42" t="s">
        <v>226</v>
      </c>
      <c r="F42">
        <v>1</v>
      </c>
      <c r="G42" t="s">
        <v>183</v>
      </c>
      <c r="I42" t="s">
        <v>227</v>
      </c>
      <c r="K42" t="s">
        <v>109</v>
      </c>
      <c r="L42" t="s">
        <v>219</v>
      </c>
      <c r="M42" t="s">
        <v>62</v>
      </c>
      <c r="N42" t="s">
        <v>114</v>
      </c>
      <c r="P42">
        <f t="shared" si="0"/>
        <v>1</v>
      </c>
      <c r="Q42" t="str">
        <f>IF(AND(P42&gt;1,COUNTIF($E$6:E42,E42)=1),MAX($Q$5:Q41)+1,"")</f>
        <v/>
      </c>
      <c r="R42" t="str">
        <f t="shared" si="1"/>
        <v/>
      </c>
    </row>
    <row r="43" spans="1:18" ht="22.95" customHeight="1">
      <c r="A43" t="s">
        <v>54</v>
      </c>
      <c r="B43" t="s">
        <v>21</v>
      </c>
      <c r="C43" t="s">
        <v>228</v>
      </c>
      <c r="D43" t="s">
        <v>229</v>
      </c>
      <c r="E43" t="s">
        <v>230</v>
      </c>
      <c r="F43">
        <v>1</v>
      </c>
      <c r="G43" t="s">
        <v>231</v>
      </c>
      <c r="I43" t="s">
        <v>232</v>
      </c>
      <c r="L43" t="s">
        <v>233</v>
      </c>
      <c r="M43" t="s">
        <v>102</v>
      </c>
      <c r="P43">
        <f t="shared" si="0"/>
        <v>1</v>
      </c>
      <c r="Q43" t="str">
        <f>IF(AND(P43&gt;1,COUNTIF($E$6:E43,E43)=1),MAX($Q$5:Q42)+1,"")</f>
        <v/>
      </c>
      <c r="R43" t="str">
        <f t="shared" si="1"/>
        <v/>
      </c>
    </row>
    <row r="44" spans="1:18" ht="22.95" customHeight="1">
      <c r="A44" t="s">
        <v>54</v>
      </c>
      <c r="B44" t="s">
        <v>21</v>
      </c>
      <c r="C44" t="s">
        <v>228</v>
      </c>
      <c r="D44" t="s">
        <v>229</v>
      </c>
      <c r="E44" t="s">
        <v>234</v>
      </c>
      <c r="F44">
        <v>1</v>
      </c>
      <c r="G44" t="s">
        <v>235</v>
      </c>
      <c r="H44" t="s">
        <v>236</v>
      </c>
      <c r="I44" t="s">
        <v>60</v>
      </c>
      <c r="K44" t="s">
        <v>237</v>
      </c>
      <c r="L44" t="s">
        <v>238</v>
      </c>
      <c r="M44" t="s">
        <v>62</v>
      </c>
      <c r="N44" t="s">
        <v>63</v>
      </c>
      <c r="P44">
        <f t="shared" si="0"/>
        <v>1</v>
      </c>
      <c r="Q44" t="str">
        <f>IF(AND(P44&gt;1,COUNTIF($E$6:E44,E44)=1),MAX($Q$5:Q43)+1,"")</f>
        <v/>
      </c>
      <c r="R44" t="str">
        <f t="shared" si="1"/>
        <v/>
      </c>
    </row>
    <row r="45" spans="1:18" ht="22.95" customHeight="1">
      <c r="A45" t="s">
        <v>54</v>
      </c>
      <c r="B45" t="s">
        <v>21</v>
      </c>
      <c r="C45" t="s">
        <v>239</v>
      </c>
      <c r="D45" t="s">
        <v>147</v>
      </c>
      <c r="E45" t="s">
        <v>240</v>
      </c>
      <c r="F45">
        <v>1</v>
      </c>
      <c r="G45" t="s">
        <v>241</v>
      </c>
      <c r="H45" t="s">
        <v>242</v>
      </c>
      <c r="I45" t="s">
        <v>60</v>
      </c>
      <c r="L45" t="s">
        <v>243</v>
      </c>
      <c r="M45" t="s">
        <v>102</v>
      </c>
      <c r="P45">
        <f t="shared" si="0"/>
        <v>1</v>
      </c>
      <c r="Q45" t="str">
        <f>IF(AND(P45&gt;1,COUNTIF($E$6:E45,E45)=1),MAX($Q$5:Q44)+1,"")</f>
        <v/>
      </c>
      <c r="R45" t="str">
        <f t="shared" si="1"/>
        <v/>
      </c>
    </row>
    <row r="46" spans="1:18" ht="22.95" customHeight="1">
      <c r="A46" t="s">
        <v>54</v>
      </c>
      <c r="B46" t="s">
        <v>21</v>
      </c>
      <c r="C46" t="s">
        <v>239</v>
      </c>
      <c r="D46" t="s">
        <v>147</v>
      </c>
      <c r="E46" t="s">
        <v>244</v>
      </c>
      <c r="F46">
        <v>1</v>
      </c>
      <c r="I46" t="s">
        <v>60</v>
      </c>
      <c r="J46" t="s">
        <v>245</v>
      </c>
      <c r="L46" t="s">
        <v>246</v>
      </c>
      <c r="M46" t="s">
        <v>62</v>
      </c>
      <c r="N46" t="s">
        <v>63</v>
      </c>
      <c r="P46">
        <f t="shared" si="0"/>
        <v>1</v>
      </c>
      <c r="Q46" t="str">
        <f>IF(AND(P46&gt;1,COUNTIF($E$6:E46,E46)=1),MAX($Q$5:Q45)+1,"")</f>
        <v/>
      </c>
      <c r="R46" t="str">
        <f t="shared" si="1"/>
        <v/>
      </c>
    </row>
    <row r="47" spans="1:18" ht="22.95" customHeight="1">
      <c r="A47" t="s">
        <v>54</v>
      </c>
      <c r="B47" t="s">
        <v>21</v>
      </c>
      <c r="C47" t="s">
        <v>239</v>
      </c>
      <c r="D47" t="s">
        <v>147</v>
      </c>
      <c r="E47" t="s">
        <v>247</v>
      </c>
      <c r="F47">
        <v>1</v>
      </c>
      <c r="I47" t="s">
        <v>60</v>
      </c>
      <c r="J47" t="s">
        <v>245</v>
      </c>
      <c r="L47" t="s">
        <v>246</v>
      </c>
      <c r="M47" t="s">
        <v>62</v>
      </c>
      <c r="N47" t="s">
        <v>63</v>
      </c>
      <c r="P47">
        <f t="shared" si="0"/>
        <v>1</v>
      </c>
      <c r="Q47" t="str">
        <f>IF(AND(P47&gt;1,COUNTIF($E$6:E47,E47)=1),MAX($Q$5:Q46)+1,"")</f>
        <v/>
      </c>
      <c r="R47" t="str">
        <f t="shared" si="1"/>
        <v/>
      </c>
    </row>
    <row r="48" spans="1:18" ht="22.95" customHeight="1">
      <c r="A48" t="s">
        <v>54</v>
      </c>
      <c r="B48" t="s">
        <v>21</v>
      </c>
      <c r="C48" t="s">
        <v>239</v>
      </c>
      <c r="D48" t="s">
        <v>147</v>
      </c>
      <c r="E48" t="s">
        <v>248</v>
      </c>
      <c r="F48">
        <v>1</v>
      </c>
      <c r="G48" t="s">
        <v>249</v>
      </c>
      <c r="H48" t="s">
        <v>176</v>
      </c>
      <c r="I48" t="s">
        <v>60</v>
      </c>
      <c r="K48" t="s">
        <v>250</v>
      </c>
      <c r="L48" t="s">
        <v>251</v>
      </c>
      <c r="M48" t="s">
        <v>62</v>
      </c>
      <c r="N48" t="s">
        <v>63</v>
      </c>
      <c r="P48">
        <f t="shared" si="0"/>
        <v>1</v>
      </c>
      <c r="Q48" t="str">
        <f>IF(AND(P48&gt;1,COUNTIF($E$6:E48,E48)=1),MAX($Q$5:Q47)+1,"")</f>
        <v/>
      </c>
      <c r="R48" t="str">
        <f t="shared" si="1"/>
        <v/>
      </c>
    </row>
    <row r="49" spans="1:18" ht="22.95" customHeight="1">
      <c r="A49" t="s">
        <v>54</v>
      </c>
      <c r="B49" t="s">
        <v>21</v>
      </c>
      <c r="C49" t="s">
        <v>239</v>
      </c>
      <c r="D49" t="s">
        <v>147</v>
      </c>
      <c r="E49" t="s">
        <v>252</v>
      </c>
      <c r="F49">
        <v>1</v>
      </c>
      <c r="G49" t="s">
        <v>249</v>
      </c>
      <c r="H49" t="s">
        <v>176</v>
      </c>
      <c r="I49" t="s">
        <v>60</v>
      </c>
      <c r="K49" t="s">
        <v>250</v>
      </c>
      <c r="L49" t="s">
        <v>253</v>
      </c>
      <c r="M49" t="s">
        <v>62</v>
      </c>
      <c r="N49" t="s">
        <v>63</v>
      </c>
      <c r="P49">
        <f t="shared" si="0"/>
        <v>1</v>
      </c>
      <c r="Q49" t="str">
        <f>IF(AND(P49&gt;1,COUNTIF($E$6:E49,E49)=1),MAX($Q$5:Q48)+1,"")</f>
        <v/>
      </c>
      <c r="R49" t="str">
        <f t="shared" si="1"/>
        <v/>
      </c>
    </row>
    <row r="50" spans="1:18" ht="22.95" customHeight="1">
      <c r="A50" t="s">
        <v>54</v>
      </c>
      <c r="B50" t="s">
        <v>21</v>
      </c>
      <c r="C50" t="s">
        <v>254</v>
      </c>
      <c r="D50" t="s">
        <v>255</v>
      </c>
      <c r="E50" t="s">
        <v>256</v>
      </c>
      <c r="F50">
        <v>1</v>
      </c>
      <c r="G50" t="s">
        <v>257</v>
      </c>
      <c r="H50" t="s">
        <v>258</v>
      </c>
      <c r="I50" t="s">
        <v>259</v>
      </c>
      <c r="K50" t="s">
        <v>260</v>
      </c>
      <c r="L50" t="s">
        <v>261</v>
      </c>
      <c r="M50" t="s">
        <v>73</v>
      </c>
      <c r="P50">
        <f t="shared" si="0"/>
        <v>1</v>
      </c>
      <c r="Q50" t="str">
        <f>IF(AND(P50&gt;1,COUNTIF($E$6:E50,E50)=1),MAX($Q$5:Q49)+1,"")</f>
        <v/>
      </c>
      <c r="R50" t="str">
        <f t="shared" si="1"/>
        <v/>
      </c>
    </row>
    <row r="51" spans="1:18" ht="22.95" customHeight="1">
      <c r="A51" t="s">
        <v>54</v>
      </c>
      <c r="B51" t="s">
        <v>21</v>
      </c>
      <c r="C51" t="s">
        <v>262</v>
      </c>
      <c r="D51" t="s">
        <v>263</v>
      </c>
      <c r="E51" t="s">
        <v>264</v>
      </c>
      <c r="F51">
        <v>1</v>
      </c>
      <c r="G51" t="s">
        <v>265</v>
      </c>
      <c r="H51" t="s">
        <v>266</v>
      </c>
      <c r="I51" t="s">
        <v>267</v>
      </c>
      <c r="K51" t="s">
        <v>268</v>
      </c>
      <c r="L51" t="s">
        <v>269</v>
      </c>
      <c r="M51" t="s">
        <v>73</v>
      </c>
      <c r="P51">
        <f t="shared" si="0"/>
        <v>1</v>
      </c>
      <c r="Q51" t="str">
        <f>IF(AND(P51&gt;1,COUNTIF($E$6:E51,E51)=1),MAX($Q$5:Q50)+1,"")</f>
        <v/>
      </c>
      <c r="R51" t="str">
        <f t="shared" si="1"/>
        <v/>
      </c>
    </row>
    <row r="52" spans="1:18" ht="22.95" customHeight="1">
      <c r="A52" t="s">
        <v>54</v>
      </c>
      <c r="B52" t="s">
        <v>21</v>
      </c>
      <c r="C52" t="s">
        <v>270</v>
      </c>
      <c r="D52" t="s">
        <v>271</v>
      </c>
      <c r="E52" t="s">
        <v>272</v>
      </c>
      <c r="F52">
        <v>1</v>
      </c>
      <c r="G52" t="s">
        <v>92</v>
      </c>
      <c r="I52" t="s">
        <v>273</v>
      </c>
      <c r="K52" t="s">
        <v>274</v>
      </c>
      <c r="L52" t="s">
        <v>275</v>
      </c>
      <c r="M52" t="s">
        <v>73</v>
      </c>
      <c r="P52">
        <f t="shared" si="0"/>
        <v>1</v>
      </c>
      <c r="Q52" t="str">
        <f>IF(AND(P52&gt;1,COUNTIF($E$6:E52,E52)=1),MAX($Q$5:Q51)+1,"")</f>
        <v/>
      </c>
      <c r="R52" t="str">
        <f t="shared" si="1"/>
        <v/>
      </c>
    </row>
    <row r="53" spans="1:18" ht="22.95" customHeight="1">
      <c r="A53" t="s">
        <v>54</v>
      </c>
      <c r="B53" t="s">
        <v>21</v>
      </c>
      <c r="C53" t="s">
        <v>254</v>
      </c>
      <c r="D53" t="s">
        <v>255</v>
      </c>
      <c r="E53" t="s">
        <v>276</v>
      </c>
      <c r="F53">
        <v>1</v>
      </c>
      <c r="G53" t="s">
        <v>277</v>
      </c>
      <c r="H53" t="s">
        <v>278</v>
      </c>
      <c r="I53" t="s">
        <v>279</v>
      </c>
      <c r="K53" t="s">
        <v>280</v>
      </c>
      <c r="L53" t="s">
        <v>281</v>
      </c>
      <c r="M53" t="s">
        <v>73</v>
      </c>
      <c r="P53">
        <f t="shared" si="0"/>
        <v>1</v>
      </c>
      <c r="Q53" t="str">
        <f>IF(AND(P53&gt;1,COUNTIF($E$6:E53,E53)=1),MAX($Q$5:Q52)+1,"")</f>
        <v/>
      </c>
      <c r="R53" t="str">
        <f t="shared" si="1"/>
        <v/>
      </c>
    </row>
    <row r="54" spans="1:18" ht="22.95" customHeight="1">
      <c r="A54" t="s">
        <v>54</v>
      </c>
      <c r="B54" t="s">
        <v>21</v>
      </c>
      <c r="C54" t="s">
        <v>262</v>
      </c>
      <c r="D54" t="s">
        <v>263</v>
      </c>
      <c r="E54" t="s">
        <v>282</v>
      </c>
      <c r="F54">
        <v>1</v>
      </c>
      <c r="G54" t="s">
        <v>92</v>
      </c>
      <c r="I54" t="s">
        <v>283</v>
      </c>
      <c r="K54" t="s">
        <v>109</v>
      </c>
      <c r="L54" t="s">
        <v>284</v>
      </c>
      <c r="M54" t="s">
        <v>73</v>
      </c>
      <c r="P54">
        <f t="shared" si="0"/>
        <v>1</v>
      </c>
      <c r="Q54" t="str">
        <f>IF(AND(P54&gt;1,COUNTIF($E$6:E54,E54)=1),MAX($Q$5:Q53)+1,"")</f>
        <v/>
      </c>
      <c r="R54" t="str">
        <f t="shared" si="1"/>
        <v/>
      </c>
    </row>
    <row r="55" spans="1:18" ht="22.95" customHeight="1">
      <c r="A55" t="s">
        <v>54</v>
      </c>
      <c r="B55" t="s">
        <v>21</v>
      </c>
      <c r="C55" t="s">
        <v>262</v>
      </c>
      <c r="D55" t="s">
        <v>263</v>
      </c>
      <c r="E55" t="s">
        <v>285</v>
      </c>
      <c r="F55">
        <v>1</v>
      </c>
      <c r="G55" t="s">
        <v>92</v>
      </c>
      <c r="I55" t="s">
        <v>286</v>
      </c>
      <c r="K55" t="s">
        <v>109</v>
      </c>
      <c r="L55" t="s">
        <v>284</v>
      </c>
      <c r="M55" t="s">
        <v>73</v>
      </c>
      <c r="P55">
        <f t="shared" si="0"/>
        <v>1</v>
      </c>
      <c r="Q55" t="str">
        <f>IF(AND(P55&gt;1,COUNTIF($E$6:E55,E55)=1),MAX($Q$5:Q54)+1,"")</f>
        <v/>
      </c>
      <c r="R55" t="str">
        <f t="shared" si="1"/>
        <v/>
      </c>
    </row>
    <row r="56" spans="1:18" ht="22.95" customHeight="1">
      <c r="A56" t="s">
        <v>54</v>
      </c>
      <c r="B56" t="s">
        <v>21</v>
      </c>
      <c r="C56" t="s">
        <v>262</v>
      </c>
      <c r="D56" t="s">
        <v>263</v>
      </c>
      <c r="E56" t="s">
        <v>287</v>
      </c>
      <c r="F56">
        <v>1</v>
      </c>
      <c r="G56" t="s">
        <v>139</v>
      </c>
      <c r="I56" t="s">
        <v>288</v>
      </c>
      <c r="K56" t="s">
        <v>109</v>
      </c>
      <c r="L56" t="s">
        <v>289</v>
      </c>
      <c r="M56" t="s">
        <v>62</v>
      </c>
      <c r="N56" t="s">
        <v>63</v>
      </c>
      <c r="P56">
        <f t="shared" si="0"/>
        <v>1</v>
      </c>
      <c r="Q56" t="str">
        <f>IF(AND(P56&gt;1,COUNTIF($E$6:E56,E56)=1),MAX($Q$5:Q55)+1,"")</f>
        <v/>
      </c>
      <c r="R56" t="str">
        <f t="shared" si="1"/>
        <v/>
      </c>
    </row>
    <row r="57" spans="1:18" ht="22.95" customHeight="1">
      <c r="A57" t="s">
        <v>54</v>
      </c>
      <c r="B57" t="s">
        <v>21</v>
      </c>
      <c r="C57" t="s">
        <v>270</v>
      </c>
      <c r="D57" t="s">
        <v>271</v>
      </c>
      <c r="E57" t="s">
        <v>290</v>
      </c>
      <c r="F57">
        <v>1</v>
      </c>
      <c r="G57" t="s">
        <v>92</v>
      </c>
      <c r="I57" t="s">
        <v>291</v>
      </c>
      <c r="K57" t="s">
        <v>109</v>
      </c>
      <c r="L57" t="s">
        <v>292</v>
      </c>
      <c r="M57" t="s">
        <v>73</v>
      </c>
      <c r="P57">
        <f t="shared" si="0"/>
        <v>1</v>
      </c>
      <c r="Q57" t="str">
        <f>IF(AND(P57&gt;1,COUNTIF($E$6:E57,E57)=1),MAX($Q$5:Q56)+1,"")</f>
        <v/>
      </c>
      <c r="R57" t="str">
        <f t="shared" si="1"/>
        <v/>
      </c>
    </row>
    <row r="58" spans="1:18" ht="22.95" customHeight="1">
      <c r="A58" t="s">
        <v>54</v>
      </c>
      <c r="B58" t="s">
        <v>22</v>
      </c>
      <c r="C58" t="s">
        <v>89</v>
      </c>
      <c r="D58" t="s">
        <v>90</v>
      </c>
      <c r="E58" t="s">
        <v>96</v>
      </c>
      <c r="F58">
        <v>1</v>
      </c>
      <c r="G58" t="s">
        <v>92</v>
      </c>
      <c r="I58" t="s">
        <v>93</v>
      </c>
      <c r="K58" t="s">
        <v>94</v>
      </c>
      <c r="L58" t="s">
        <v>95</v>
      </c>
      <c r="M58" t="s">
        <v>73</v>
      </c>
      <c r="P58">
        <f t="shared" si="0"/>
        <v>2</v>
      </c>
      <c r="Q58" t="str">
        <f>IF(AND(P58&gt;1,COUNTIF($E$6:E58,E58)=1),MAX($Q$5:Q57)+1,"")</f>
        <v/>
      </c>
      <c r="R58" t="str">
        <f t="shared" si="1"/>
        <v/>
      </c>
    </row>
    <row r="59" spans="1:18" ht="22.95" customHeight="1">
      <c r="A59" t="s">
        <v>54</v>
      </c>
      <c r="B59" t="s">
        <v>22</v>
      </c>
      <c r="C59" t="s">
        <v>89</v>
      </c>
      <c r="D59" t="s">
        <v>90</v>
      </c>
      <c r="E59" t="s">
        <v>97</v>
      </c>
      <c r="F59">
        <v>1</v>
      </c>
      <c r="G59" t="s">
        <v>92</v>
      </c>
      <c r="I59" t="s">
        <v>98</v>
      </c>
      <c r="J59" t="s">
        <v>99</v>
      </c>
      <c r="K59" t="s">
        <v>100</v>
      </c>
      <c r="L59" t="s">
        <v>293</v>
      </c>
      <c r="M59" t="s">
        <v>102</v>
      </c>
      <c r="P59">
        <f t="shared" si="0"/>
        <v>2</v>
      </c>
      <c r="Q59" t="str">
        <f>IF(AND(P59&gt;1,COUNTIF($E$6:E59,E59)=1),MAX($Q$5:Q58)+1,"")</f>
        <v/>
      </c>
      <c r="R59" t="str">
        <f t="shared" si="1"/>
        <v/>
      </c>
    </row>
    <row r="60" spans="1:18" ht="22.95" customHeight="1">
      <c r="A60" t="s">
        <v>294</v>
      </c>
      <c r="B60" t="s">
        <v>20</v>
      </c>
      <c r="C60" t="s">
        <v>55</v>
      </c>
      <c r="D60" t="s">
        <v>56</v>
      </c>
      <c r="E60" t="s">
        <v>295</v>
      </c>
      <c r="F60">
        <v>1</v>
      </c>
      <c r="G60" t="s">
        <v>296</v>
      </c>
      <c r="H60" t="s">
        <v>297</v>
      </c>
      <c r="I60" t="s">
        <v>112</v>
      </c>
      <c r="K60" t="s">
        <v>112</v>
      </c>
      <c r="L60" t="s">
        <v>298</v>
      </c>
      <c r="M60" t="s">
        <v>62</v>
      </c>
      <c r="N60" t="s">
        <v>299</v>
      </c>
      <c r="P60">
        <f t="shared" si="0"/>
        <v>1</v>
      </c>
      <c r="Q60" t="str">
        <f>IF(AND(P60&gt;1,COUNTIF($E$6:E60,E60)=1),MAX($Q$5:Q59)+1,"")</f>
        <v/>
      </c>
      <c r="R60" t="str">
        <f t="shared" si="1"/>
        <v/>
      </c>
    </row>
    <row r="61" spans="1:18" ht="22.95" customHeight="1">
      <c r="A61" t="s">
        <v>294</v>
      </c>
      <c r="B61" t="s">
        <v>20</v>
      </c>
      <c r="C61" t="s">
        <v>55</v>
      </c>
      <c r="D61" t="s">
        <v>56</v>
      </c>
      <c r="E61" t="s">
        <v>300</v>
      </c>
      <c r="F61">
        <v>1</v>
      </c>
      <c r="G61" t="s">
        <v>58</v>
      </c>
      <c r="H61" t="s">
        <v>301</v>
      </c>
      <c r="I61" t="s">
        <v>112</v>
      </c>
      <c r="K61" t="s">
        <v>112</v>
      </c>
      <c r="L61" t="s">
        <v>302</v>
      </c>
      <c r="M61" t="s">
        <v>62</v>
      </c>
      <c r="N61" t="s">
        <v>303</v>
      </c>
      <c r="P61">
        <f t="shared" si="0"/>
        <v>1</v>
      </c>
      <c r="Q61" t="str">
        <f>IF(AND(P61&gt;1,COUNTIF($E$6:E61,E61)=1),MAX($Q$5:Q60)+1,"")</f>
        <v/>
      </c>
      <c r="R61" t="str">
        <f t="shared" si="1"/>
        <v/>
      </c>
    </row>
    <row r="62" spans="1:18" ht="22.95" customHeight="1">
      <c r="A62" t="s">
        <v>294</v>
      </c>
      <c r="B62" t="s">
        <v>20</v>
      </c>
      <c r="C62" t="s">
        <v>55</v>
      </c>
      <c r="D62" t="s">
        <v>56</v>
      </c>
      <c r="E62" t="s">
        <v>304</v>
      </c>
      <c r="F62">
        <v>1</v>
      </c>
      <c r="G62" t="s">
        <v>58</v>
      </c>
      <c r="H62" t="s">
        <v>301</v>
      </c>
      <c r="I62" t="s">
        <v>112</v>
      </c>
      <c r="K62" t="s">
        <v>112</v>
      </c>
      <c r="L62" t="s">
        <v>305</v>
      </c>
      <c r="M62" t="s">
        <v>62</v>
      </c>
      <c r="N62" t="s">
        <v>63</v>
      </c>
      <c r="P62">
        <f t="shared" si="0"/>
        <v>1</v>
      </c>
      <c r="Q62" t="str">
        <f>IF(AND(P62&gt;1,COUNTIF($E$6:E62,E62)=1),MAX($Q$5:Q61)+1,"")</f>
        <v/>
      </c>
      <c r="R62" t="str">
        <f t="shared" si="1"/>
        <v/>
      </c>
    </row>
    <row r="63" spans="1:18" ht="22.95" customHeight="1">
      <c r="A63" t="s">
        <v>294</v>
      </c>
      <c r="B63" t="s">
        <v>20</v>
      </c>
      <c r="C63" t="s">
        <v>55</v>
      </c>
      <c r="D63" t="s">
        <v>56</v>
      </c>
      <c r="E63" t="s">
        <v>306</v>
      </c>
      <c r="F63">
        <v>1</v>
      </c>
      <c r="G63" t="s">
        <v>296</v>
      </c>
      <c r="H63" t="s">
        <v>297</v>
      </c>
      <c r="I63" t="s">
        <v>307</v>
      </c>
      <c r="K63" t="s">
        <v>308</v>
      </c>
      <c r="L63" t="s">
        <v>309</v>
      </c>
      <c r="M63" t="s">
        <v>62</v>
      </c>
      <c r="N63" t="s">
        <v>187</v>
      </c>
      <c r="P63">
        <f t="shared" si="0"/>
        <v>1</v>
      </c>
      <c r="Q63" t="str">
        <f>IF(AND(P63&gt;1,COUNTIF($E$6:E63,E63)=1),MAX($Q$5:Q62)+1,"")</f>
        <v/>
      </c>
      <c r="R63" t="str">
        <f t="shared" si="1"/>
        <v/>
      </c>
    </row>
    <row r="64" spans="1:18" ht="22.95" customHeight="1">
      <c r="A64" t="s">
        <v>294</v>
      </c>
      <c r="B64" t="s">
        <v>20</v>
      </c>
      <c r="C64" t="s">
        <v>55</v>
      </c>
      <c r="D64" t="s">
        <v>56</v>
      </c>
      <c r="E64" t="s">
        <v>310</v>
      </c>
      <c r="F64">
        <v>1</v>
      </c>
      <c r="G64" t="s">
        <v>311</v>
      </c>
      <c r="H64" t="s">
        <v>312</v>
      </c>
      <c r="I64" t="s">
        <v>112</v>
      </c>
      <c r="K64" t="s">
        <v>112</v>
      </c>
      <c r="L64" t="s">
        <v>313</v>
      </c>
      <c r="M64" t="s">
        <v>62</v>
      </c>
      <c r="N64" t="s">
        <v>299</v>
      </c>
      <c r="P64">
        <f t="shared" si="0"/>
        <v>1</v>
      </c>
      <c r="Q64" t="str">
        <f>IF(AND(P64&gt;1,COUNTIF($E$6:E64,E64)=1),MAX($Q$5:Q63)+1,"")</f>
        <v/>
      </c>
      <c r="R64" t="str">
        <f t="shared" si="1"/>
        <v/>
      </c>
    </row>
    <row r="65" spans="1:18" ht="22.95" customHeight="1">
      <c r="A65" t="s">
        <v>294</v>
      </c>
      <c r="B65" t="s">
        <v>20</v>
      </c>
      <c r="C65" t="s">
        <v>55</v>
      </c>
      <c r="D65" t="s">
        <v>56</v>
      </c>
      <c r="E65" t="s">
        <v>314</v>
      </c>
      <c r="F65">
        <v>1</v>
      </c>
      <c r="G65" t="s">
        <v>58</v>
      </c>
      <c r="H65" t="s">
        <v>301</v>
      </c>
      <c r="I65" t="s">
        <v>315</v>
      </c>
      <c r="K65" t="s">
        <v>316</v>
      </c>
      <c r="L65" t="s">
        <v>317</v>
      </c>
      <c r="M65" t="s">
        <v>62</v>
      </c>
      <c r="N65" t="s">
        <v>187</v>
      </c>
      <c r="P65">
        <f t="shared" si="0"/>
        <v>1</v>
      </c>
      <c r="Q65" t="str">
        <f>IF(AND(P65&gt;1,COUNTIF($E$6:E65,E65)=1),MAX($Q$5:Q64)+1,"")</f>
        <v/>
      </c>
      <c r="R65" t="str">
        <f t="shared" si="1"/>
        <v/>
      </c>
    </row>
    <row r="66" spans="1:18" ht="22.95" customHeight="1">
      <c r="A66" t="s">
        <v>294</v>
      </c>
      <c r="B66" t="s">
        <v>20</v>
      </c>
      <c r="C66" t="s">
        <v>55</v>
      </c>
      <c r="D66" t="s">
        <v>56</v>
      </c>
      <c r="E66" t="s">
        <v>318</v>
      </c>
      <c r="F66">
        <v>1</v>
      </c>
      <c r="G66" t="s">
        <v>311</v>
      </c>
      <c r="H66" t="s">
        <v>312</v>
      </c>
      <c r="I66" t="s">
        <v>319</v>
      </c>
      <c r="K66" t="s">
        <v>320</v>
      </c>
      <c r="L66" t="s">
        <v>321</v>
      </c>
      <c r="M66" t="s">
        <v>62</v>
      </c>
      <c r="N66" t="s">
        <v>130</v>
      </c>
      <c r="P66">
        <f t="shared" si="0"/>
        <v>1</v>
      </c>
      <c r="Q66" t="str">
        <f>IF(AND(P66&gt;1,COUNTIF($E$6:E66,E66)=1),MAX($Q$5:Q65)+1,"")</f>
        <v/>
      </c>
      <c r="R66" t="str">
        <f t="shared" si="1"/>
        <v/>
      </c>
    </row>
    <row r="67" spans="1:18" ht="22.95" customHeight="1">
      <c r="A67" t="s">
        <v>294</v>
      </c>
      <c r="B67" t="s">
        <v>20</v>
      </c>
      <c r="C67" t="s">
        <v>55</v>
      </c>
      <c r="D67" t="s">
        <v>56</v>
      </c>
      <c r="E67" t="s">
        <v>322</v>
      </c>
      <c r="F67">
        <v>1</v>
      </c>
      <c r="G67" t="s">
        <v>311</v>
      </c>
      <c r="H67" t="s">
        <v>312</v>
      </c>
      <c r="I67" t="s">
        <v>323</v>
      </c>
      <c r="K67" t="s">
        <v>320</v>
      </c>
      <c r="L67" t="s">
        <v>321</v>
      </c>
      <c r="M67" t="s">
        <v>62</v>
      </c>
      <c r="N67" t="s">
        <v>130</v>
      </c>
      <c r="P67">
        <f t="shared" si="0"/>
        <v>1</v>
      </c>
      <c r="Q67" t="str">
        <f>IF(AND(P67&gt;1,COUNTIF($E$6:E67,E67)=1),MAX($Q$5:Q66)+1,"")</f>
        <v/>
      </c>
      <c r="R67" t="str">
        <f t="shared" si="1"/>
        <v/>
      </c>
    </row>
    <row r="68" spans="1:18" ht="22.95" customHeight="1">
      <c r="A68" t="s">
        <v>294</v>
      </c>
      <c r="B68" t="s">
        <v>20</v>
      </c>
      <c r="C68" t="s">
        <v>55</v>
      </c>
      <c r="D68" t="s">
        <v>56</v>
      </c>
      <c r="E68" t="s">
        <v>324</v>
      </c>
      <c r="F68">
        <v>1</v>
      </c>
      <c r="G68" t="s">
        <v>311</v>
      </c>
      <c r="H68" t="s">
        <v>312</v>
      </c>
      <c r="I68" t="s">
        <v>325</v>
      </c>
      <c r="K68" t="s">
        <v>320</v>
      </c>
      <c r="L68" t="s">
        <v>326</v>
      </c>
      <c r="M68" t="s">
        <v>62</v>
      </c>
      <c r="N68" t="s">
        <v>130</v>
      </c>
      <c r="P68">
        <f t="shared" si="0"/>
        <v>1</v>
      </c>
      <c r="Q68" t="str">
        <f>IF(AND(P68&gt;1,COUNTIF($E$6:E68,E68)=1),MAX($Q$5:Q67)+1,"")</f>
        <v/>
      </c>
      <c r="R68" t="str">
        <f t="shared" si="1"/>
        <v/>
      </c>
    </row>
    <row r="69" spans="1:18" ht="22.95" customHeight="1">
      <c r="A69" t="s">
        <v>294</v>
      </c>
      <c r="B69" t="s">
        <v>20</v>
      </c>
      <c r="C69" t="s">
        <v>55</v>
      </c>
      <c r="D69" t="s">
        <v>56</v>
      </c>
      <c r="E69" t="s">
        <v>327</v>
      </c>
      <c r="F69">
        <v>1</v>
      </c>
      <c r="G69" t="s">
        <v>311</v>
      </c>
      <c r="H69" t="s">
        <v>312</v>
      </c>
      <c r="I69" t="s">
        <v>328</v>
      </c>
      <c r="K69" t="s">
        <v>320</v>
      </c>
      <c r="L69" t="s">
        <v>329</v>
      </c>
      <c r="M69" t="s">
        <v>62</v>
      </c>
      <c r="N69" t="s">
        <v>130</v>
      </c>
      <c r="P69">
        <f t="shared" si="0"/>
        <v>1</v>
      </c>
      <c r="Q69" t="str">
        <f>IF(AND(P69&gt;1,COUNTIF($E$6:E69,E69)=1),MAX($Q$5:Q68)+1,"")</f>
        <v/>
      </c>
      <c r="R69" t="str">
        <f t="shared" si="1"/>
        <v/>
      </c>
    </row>
    <row r="70" spans="1:18" ht="22.95" customHeight="1">
      <c r="A70" t="s">
        <v>294</v>
      </c>
      <c r="B70" t="s">
        <v>20</v>
      </c>
      <c r="C70" t="s">
        <v>55</v>
      </c>
      <c r="D70" t="s">
        <v>56</v>
      </c>
      <c r="E70" t="s">
        <v>330</v>
      </c>
      <c r="F70">
        <v>1</v>
      </c>
      <c r="G70" t="s">
        <v>311</v>
      </c>
      <c r="H70" t="s">
        <v>312</v>
      </c>
      <c r="I70" t="s">
        <v>328</v>
      </c>
      <c r="K70" t="s">
        <v>320</v>
      </c>
      <c r="L70" t="s">
        <v>326</v>
      </c>
      <c r="M70" t="s">
        <v>62</v>
      </c>
      <c r="N70" t="s">
        <v>130</v>
      </c>
      <c r="P70">
        <f t="shared" ref="P70:P133" si="2">COUNTIF($E$6:$E$1740,E70)</f>
        <v>1</v>
      </c>
      <c r="Q70" t="str">
        <f>IF(AND(P70&gt;1,COUNTIF($E$6:E70,E70)=1),MAX($Q$5:Q69)+1,"")</f>
        <v/>
      </c>
      <c r="R70" t="str">
        <f t="shared" ref="R70:R133" si="3">IF(Q70="","",IF(COUNTIFS($E$6:$E$1740,E70,$A$6:$A$1740,A70,$C$6:$C$1740,C70)&lt;P70,"LÉGITIME",IF(COUNTIFS($E$6:$E$1740,E70,$A$6:$A$1740,A70,$C$6:$C$1740,C70,$M$6:$M$1740,M70)&lt;P70,"STATUT DIFFÉRENT","VRAI DOUBLON")))</f>
        <v/>
      </c>
    </row>
    <row r="71" spans="1:18" ht="22.95" customHeight="1">
      <c r="A71" t="s">
        <v>294</v>
      </c>
      <c r="B71" t="s">
        <v>20</v>
      </c>
      <c r="C71" t="s">
        <v>55</v>
      </c>
      <c r="D71" t="s">
        <v>56</v>
      </c>
      <c r="E71" t="s">
        <v>331</v>
      </c>
      <c r="F71">
        <v>1</v>
      </c>
      <c r="G71" t="s">
        <v>311</v>
      </c>
      <c r="H71" t="s">
        <v>312</v>
      </c>
      <c r="I71" t="s">
        <v>319</v>
      </c>
      <c r="K71" t="s">
        <v>320</v>
      </c>
      <c r="L71" t="s">
        <v>326</v>
      </c>
      <c r="M71" t="s">
        <v>62</v>
      </c>
      <c r="N71" t="s">
        <v>130</v>
      </c>
      <c r="P71">
        <f t="shared" si="2"/>
        <v>1</v>
      </c>
      <c r="Q71" t="str">
        <f>IF(AND(P71&gt;1,COUNTIF($E$6:E71,E71)=1),MAX($Q$5:Q70)+1,"")</f>
        <v/>
      </c>
      <c r="R71" t="str">
        <f t="shared" si="3"/>
        <v/>
      </c>
    </row>
    <row r="72" spans="1:18" ht="22.95" customHeight="1">
      <c r="A72" t="s">
        <v>294</v>
      </c>
      <c r="B72" t="s">
        <v>20</v>
      </c>
      <c r="C72" t="s">
        <v>55</v>
      </c>
      <c r="D72" t="s">
        <v>56</v>
      </c>
      <c r="E72" t="s">
        <v>332</v>
      </c>
      <c r="F72">
        <v>1</v>
      </c>
      <c r="G72" t="s">
        <v>311</v>
      </c>
      <c r="H72" t="s">
        <v>312</v>
      </c>
      <c r="I72" t="s">
        <v>333</v>
      </c>
      <c r="K72" t="s">
        <v>320</v>
      </c>
      <c r="L72" t="s">
        <v>326</v>
      </c>
      <c r="M72" t="s">
        <v>62</v>
      </c>
      <c r="N72" t="s">
        <v>130</v>
      </c>
      <c r="P72">
        <f t="shared" si="2"/>
        <v>2</v>
      </c>
      <c r="Q72">
        <f>IF(AND(P72&gt;1,COUNTIF($E$6:E72,E72)=1),MAX($Q$5:Q71)+1,"")</f>
        <v>3</v>
      </c>
      <c r="R72" t="str">
        <f t="shared" si="3"/>
        <v>VRAI DOUBLON</v>
      </c>
    </row>
    <row r="73" spans="1:18" ht="22.95" customHeight="1">
      <c r="A73" t="s">
        <v>294</v>
      </c>
      <c r="B73" t="s">
        <v>20</v>
      </c>
      <c r="C73" t="s">
        <v>55</v>
      </c>
      <c r="D73" t="s">
        <v>56</v>
      </c>
      <c r="E73" t="s">
        <v>334</v>
      </c>
      <c r="F73">
        <v>1</v>
      </c>
      <c r="G73" t="s">
        <v>311</v>
      </c>
      <c r="H73" t="s">
        <v>312</v>
      </c>
      <c r="I73" t="s">
        <v>315</v>
      </c>
      <c r="K73" t="s">
        <v>320</v>
      </c>
      <c r="L73" t="s">
        <v>335</v>
      </c>
      <c r="M73" t="s">
        <v>62</v>
      </c>
      <c r="N73" t="s">
        <v>130</v>
      </c>
      <c r="P73">
        <f t="shared" si="2"/>
        <v>1</v>
      </c>
      <c r="Q73" t="str">
        <f>IF(AND(P73&gt;1,COUNTIF($E$6:E73,E73)=1),MAX($Q$5:Q72)+1,"")</f>
        <v/>
      </c>
      <c r="R73" t="str">
        <f t="shared" si="3"/>
        <v/>
      </c>
    </row>
    <row r="74" spans="1:18" ht="22.95" customHeight="1">
      <c r="A74" t="s">
        <v>294</v>
      </c>
      <c r="B74" t="s">
        <v>20</v>
      </c>
      <c r="C74" t="s">
        <v>55</v>
      </c>
      <c r="D74" t="s">
        <v>56</v>
      </c>
      <c r="E74" t="s">
        <v>336</v>
      </c>
      <c r="F74">
        <v>1</v>
      </c>
      <c r="G74" t="s">
        <v>311</v>
      </c>
      <c r="H74" t="s">
        <v>312</v>
      </c>
      <c r="I74" t="s">
        <v>333</v>
      </c>
      <c r="K74" t="s">
        <v>320</v>
      </c>
      <c r="L74" t="s">
        <v>335</v>
      </c>
      <c r="M74" t="s">
        <v>62</v>
      </c>
      <c r="N74" t="s">
        <v>130</v>
      </c>
      <c r="P74">
        <f t="shared" si="2"/>
        <v>1</v>
      </c>
      <c r="Q74" t="str">
        <f>IF(AND(P74&gt;1,COUNTIF($E$6:E74,E74)=1),MAX($Q$5:Q73)+1,"")</f>
        <v/>
      </c>
      <c r="R74" t="str">
        <f t="shared" si="3"/>
        <v/>
      </c>
    </row>
    <row r="75" spans="1:18" ht="22.95" customHeight="1">
      <c r="A75" t="s">
        <v>294</v>
      </c>
      <c r="B75" t="s">
        <v>20</v>
      </c>
      <c r="C75" t="s">
        <v>55</v>
      </c>
      <c r="D75" t="s">
        <v>56</v>
      </c>
      <c r="E75" t="s">
        <v>337</v>
      </c>
      <c r="F75">
        <v>1</v>
      </c>
      <c r="G75" t="s">
        <v>311</v>
      </c>
      <c r="H75" t="s">
        <v>312</v>
      </c>
      <c r="I75" t="s">
        <v>315</v>
      </c>
      <c r="K75" t="s">
        <v>320</v>
      </c>
      <c r="L75" t="s">
        <v>335</v>
      </c>
      <c r="M75" t="s">
        <v>62</v>
      </c>
      <c r="N75" t="s">
        <v>130</v>
      </c>
      <c r="P75">
        <f t="shared" si="2"/>
        <v>1</v>
      </c>
      <c r="Q75" t="str">
        <f>IF(AND(P75&gt;1,COUNTIF($E$6:E75,E75)=1),MAX($Q$5:Q74)+1,"")</f>
        <v/>
      </c>
      <c r="R75" t="str">
        <f t="shared" si="3"/>
        <v/>
      </c>
    </row>
    <row r="76" spans="1:18" ht="22.95" customHeight="1">
      <c r="A76" t="s">
        <v>294</v>
      </c>
      <c r="B76" t="s">
        <v>20</v>
      </c>
      <c r="C76" t="s">
        <v>55</v>
      </c>
      <c r="D76" t="s">
        <v>56</v>
      </c>
      <c r="E76" t="s">
        <v>338</v>
      </c>
      <c r="F76">
        <v>1</v>
      </c>
      <c r="G76" t="s">
        <v>311</v>
      </c>
      <c r="H76" t="s">
        <v>312</v>
      </c>
      <c r="I76" t="s">
        <v>319</v>
      </c>
      <c r="K76" t="s">
        <v>320</v>
      </c>
      <c r="L76" t="s">
        <v>335</v>
      </c>
      <c r="M76" t="s">
        <v>62</v>
      </c>
      <c r="N76" t="s">
        <v>130</v>
      </c>
      <c r="P76">
        <f t="shared" si="2"/>
        <v>1</v>
      </c>
      <c r="Q76" t="str">
        <f>IF(AND(P76&gt;1,COUNTIF($E$6:E76,E76)=1),MAX($Q$5:Q75)+1,"")</f>
        <v/>
      </c>
      <c r="R76" t="str">
        <f t="shared" si="3"/>
        <v/>
      </c>
    </row>
    <row r="77" spans="1:18" ht="22.95" customHeight="1">
      <c r="A77" t="s">
        <v>294</v>
      </c>
      <c r="B77" t="s">
        <v>20</v>
      </c>
      <c r="C77" t="s">
        <v>55</v>
      </c>
      <c r="D77" t="s">
        <v>56</v>
      </c>
      <c r="E77" t="s">
        <v>339</v>
      </c>
      <c r="F77">
        <v>1</v>
      </c>
      <c r="G77" t="s">
        <v>311</v>
      </c>
      <c r="H77" t="s">
        <v>312</v>
      </c>
      <c r="I77" t="s">
        <v>325</v>
      </c>
      <c r="K77" t="s">
        <v>320</v>
      </c>
      <c r="L77" t="s">
        <v>335</v>
      </c>
      <c r="M77" t="s">
        <v>62</v>
      </c>
      <c r="N77" t="s">
        <v>130</v>
      </c>
      <c r="P77">
        <f t="shared" si="2"/>
        <v>1</v>
      </c>
      <c r="Q77" t="str">
        <f>IF(AND(P77&gt;1,COUNTIF($E$6:E77,E77)=1),MAX($Q$5:Q76)+1,"")</f>
        <v/>
      </c>
      <c r="R77" t="str">
        <f t="shared" si="3"/>
        <v/>
      </c>
    </row>
    <row r="78" spans="1:18" ht="22.95" customHeight="1">
      <c r="A78" t="s">
        <v>294</v>
      </c>
      <c r="B78" t="s">
        <v>20</v>
      </c>
      <c r="C78" t="s">
        <v>55</v>
      </c>
      <c r="D78" t="s">
        <v>56</v>
      </c>
      <c r="E78" t="s">
        <v>340</v>
      </c>
      <c r="F78">
        <v>1</v>
      </c>
      <c r="G78" t="s">
        <v>311</v>
      </c>
      <c r="H78" t="s">
        <v>312</v>
      </c>
      <c r="I78" t="s">
        <v>323</v>
      </c>
      <c r="K78" t="s">
        <v>320</v>
      </c>
      <c r="L78" t="s">
        <v>341</v>
      </c>
      <c r="M78" t="s">
        <v>62</v>
      </c>
      <c r="N78" t="s">
        <v>130</v>
      </c>
      <c r="P78">
        <f t="shared" si="2"/>
        <v>1</v>
      </c>
      <c r="Q78" t="str">
        <f>IF(AND(P78&gt;1,COUNTIF($E$6:E78,E78)=1),MAX($Q$5:Q77)+1,"")</f>
        <v/>
      </c>
      <c r="R78" t="str">
        <f t="shared" si="3"/>
        <v/>
      </c>
    </row>
    <row r="79" spans="1:18" ht="22.95" customHeight="1">
      <c r="A79" t="s">
        <v>294</v>
      </c>
      <c r="B79" t="s">
        <v>20</v>
      </c>
      <c r="C79" t="s">
        <v>55</v>
      </c>
      <c r="D79" t="s">
        <v>56</v>
      </c>
      <c r="E79" t="s">
        <v>342</v>
      </c>
      <c r="F79">
        <v>1</v>
      </c>
      <c r="G79" t="s">
        <v>311</v>
      </c>
      <c r="H79" t="s">
        <v>312</v>
      </c>
      <c r="I79" t="s">
        <v>343</v>
      </c>
      <c r="K79" t="s">
        <v>320</v>
      </c>
      <c r="L79" t="s">
        <v>341</v>
      </c>
      <c r="M79" t="s">
        <v>62</v>
      </c>
      <c r="N79" t="s">
        <v>130</v>
      </c>
      <c r="P79">
        <f t="shared" si="2"/>
        <v>1</v>
      </c>
      <c r="Q79" t="str">
        <f>IF(AND(P79&gt;1,COUNTIF($E$6:E79,E79)=1),MAX($Q$5:Q78)+1,"")</f>
        <v/>
      </c>
      <c r="R79" t="str">
        <f t="shared" si="3"/>
        <v/>
      </c>
    </row>
    <row r="80" spans="1:18" ht="22.95" customHeight="1">
      <c r="A80" t="s">
        <v>294</v>
      </c>
      <c r="B80" t="s">
        <v>20</v>
      </c>
      <c r="C80" t="s">
        <v>55</v>
      </c>
      <c r="D80" t="s">
        <v>56</v>
      </c>
      <c r="E80" t="s">
        <v>344</v>
      </c>
      <c r="F80">
        <v>1</v>
      </c>
      <c r="G80" t="s">
        <v>311</v>
      </c>
      <c r="H80" t="s">
        <v>312</v>
      </c>
      <c r="I80" t="s">
        <v>343</v>
      </c>
      <c r="K80" t="s">
        <v>320</v>
      </c>
      <c r="L80" t="s">
        <v>341</v>
      </c>
      <c r="M80" t="s">
        <v>62</v>
      </c>
      <c r="N80" t="s">
        <v>130</v>
      </c>
      <c r="P80">
        <f t="shared" si="2"/>
        <v>1</v>
      </c>
      <c r="Q80" t="str">
        <f>IF(AND(P80&gt;1,COUNTIF($E$6:E80,E80)=1),MAX($Q$5:Q79)+1,"")</f>
        <v/>
      </c>
      <c r="R80" t="str">
        <f t="shared" si="3"/>
        <v/>
      </c>
    </row>
    <row r="81" spans="1:18" ht="22.95" customHeight="1">
      <c r="A81" t="s">
        <v>294</v>
      </c>
      <c r="B81" t="s">
        <v>20</v>
      </c>
      <c r="C81" t="s">
        <v>55</v>
      </c>
      <c r="D81" t="s">
        <v>56</v>
      </c>
      <c r="E81" t="s">
        <v>345</v>
      </c>
      <c r="F81">
        <v>1</v>
      </c>
      <c r="G81" t="s">
        <v>311</v>
      </c>
      <c r="H81" t="s">
        <v>312</v>
      </c>
      <c r="I81" t="s">
        <v>346</v>
      </c>
      <c r="K81" t="s">
        <v>320</v>
      </c>
      <c r="L81" t="s">
        <v>329</v>
      </c>
      <c r="M81" t="s">
        <v>62</v>
      </c>
      <c r="N81" t="s">
        <v>130</v>
      </c>
      <c r="P81">
        <f t="shared" si="2"/>
        <v>1</v>
      </c>
      <c r="Q81" t="str">
        <f>IF(AND(P81&gt;1,COUNTIF($E$6:E81,E81)=1),MAX($Q$5:Q80)+1,"")</f>
        <v/>
      </c>
      <c r="R81" t="str">
        <f t="shared" si="3"/>
        <v/>
      </c>
    </row>
    <row r="82" spans="1:18" ht="22.95" customHeight="1">
      <c r="A82" t="s">
        <v>294</v>
      </c>
      <c r="B82" t="s">
        <v>20</v>
      </c>
      <c r="C82" t="s">
        <v>55</v>
      </c>
      <c r="D82" t="s">
        <v>56</v>
      </c>
      <c r="E82" t="s">
        <v>347</v>
      </c>
      <c r="F82">
        <v>1</v>
      </c>
      <c r="G82" t="s">
        <v>311</v>
      </c>
      <c r="H82" t="s">
        <v>312</v>
      </c>
      <c r="I82" t="s">
        <v>348</v>
      </c>
      <c r="K82" t="s">
        <v>320</v>
      </c>
      <c r="L82" t="s">
        <v>326</v>
      </c>
      <c r="M82" t="s">
        <v>62</v>
      </c>
      <c r="N82" t="s">
        <v>130</v>
      </c>
      <c r="P82">
        <f t="shared" si="2"/>
        <v>1</v>
      </c>
      <c r="Q82" t="str">
        <f>IF(AND(P82&gt;1,COUNTIF($E$6:E82,E82)=1),MAX($Q$5:Q81)+1,"")</f>
        <v/>
      </c>
      <c r="R82" t="str">
        <f t="shared" si="3"/>
        <v/>
      </c>
    </row>
    <row r="83" spans="1:18" ht="22.95" customHeight="1">
      <c r="A83" t="s">
        <v>294</v>
      </c>
      <c r="B83" t="s">
        <v>20</v>
      </c>
      <c r="C83" t="s">
        <v>55</v>
      </c>
      <c r="D83" t="s">
        <v>56</v>
      </c>
      <c r="E83" t="s">
        <v>349</v>
      </c>
      <c r="F83">
        <v>1</v>
      </c>
      <c r="G83" t="s">
        <v>311</v>
      </c>
      <c r="H83" t="s">
        <v>312</v>
      </c>
      <c r="I83" t="s">
        <v>348</v>
      </c>
      <c r="K83" t="s">
        <v>320</v>
      </c>
      <c r="L83" t="s">
        <v>326</v>
      </c>
      <c r="M83" t="s">
        <v>62</v>
      </c>
      <c r="N83" t="s">
        <v>130</v>
      </c>
      <c r="P83">
        <f t="shared" si="2"/>
        <v>1</v>
      </c>
      <c r="Q83" t="str">
        <f>IF(AND(P83&gt;1,COUNTIF($E$6:E83,E83)=1),MAX($Q$5:Q82)+1,"")</f>
        <v/>
      </c>
      <c r="R83" t="str">
        <f t="shared" si="3"/>
        <v/>
      </c>
    </row>
    <row r="84" spans="1:18" ht="22.95" customHeight="1">
      <c r="A84" t="s">
        <v>294</v>
      </c>
      <c r="B84" t="s">
        <v>20</v>
      </c>
      <c r="C84" t="s">
        <v>55</v>
      </c>
      <c r="D84" t="s">
        <v>56</v>
      </c>
      <c r="E84" t="s">
        <v>350</v>
      </c>
      <c r="F84">
        <v>1</v>
      </c>
      <c r="G84" t="s">
        <v>311</v>
      </c>
      <c r="H84" t="s">
        <v>312</v>
      </c>
      <c r="I84" t="s">
        <v>351</v>
      </c>
      <c r="K84" t="s">
        <v>320</v>
      </c>
      <c r="L84" t="s">
        <v>329</v>
      </c>
      <c r="M84" t="s">
        <v>62</v>
      </c>
      <c r="N84" t="s">
        <v>130</v>
      </c>
      <c r="P84">
        <f t="shared" si="2"/>
        <v>1</v>
      </c>
      <c r="Q84" t="str">
        <f>IF(AND(P84&gt;1,COUNTIF($E$6:E84,E84)=1),MAX($Q$5:Q83)+1,"")</f>
        <v/>
      </c>
      <c r="R84" t="str">
        <f t="shared" si="3"/>
        <v/>
      </c>
    </row>
    <row r="85" spans="1:18" ht="22.95" customHeight="1">
      <c r="A85" t="s">
        <v>294</v>
      </c>
      <c r="B85" t="s">
        <v>20</v>
      </c>
      <c r="C85" t="s">
        <v>55</v>
      </c>
      <c r="D85" t="s">
        <v>56</v>
      </c>
      <c r="E85" t="s">
        <v>352</v>
      </c>
      <c r="F85">
        <v>1</v>
      </c>
      <c r="G85" t="s">
        <v>311</v>
      </c>
      <c r="H85" t="s">
        <v>312</v>
      </c>
      <c r="I85" t="s">
        <v>351</v>
      </c>
      <c r="K85" t="s">
        <v>320</v>
      </c>
      <c r="L85" t="s">
        <v>329</v>
      </c>
      <c r="M85" t="s">
        <v>62</v>
      </c>
      <c r="N85" t="s">
        <v>130</v>
      </c>
      <c r="P85">
        <f t="shared" si="2"/>
        <v>1</v>
      </c>
      <c r="Q85" t="str">
        <f>IF(AND(P85&gt;1,COUNTIF($E$6:E85,E85)=1),MAX($Q$5:Q84)+1,"")</f>
        <v/>
      </c>
      <c r="R85" t="str">
        <f t="shared" si="3"/>
        <v/>
      </c>
    </row>
    <row r="86" spans="1:18" ht="22.95" customHeight="1">
      <c r="A86" t="s">
        <v>294</v>
      </c>
      <c r="B86" t="s">
        <v>20</v>
      </c>
      <c r="C86" t="s">
        <v>55</v>
      </c>
      <c r="D86" t="s">
        <v>56</v>
      </c>
      <c r="E86" t="s">
        <v>353</v>
      </c>
      <c r="F86">
        <v>1</v>
      </c>
      <c r="G86" t="s">
        <v>311</v>
      </c>
      <c r="H86" t="s">
        <v>312</v>
      </c>
      <c r="I86" t="s">
        <v>351</v>
      </c>
      <c r="K86" t="s">
        <v>320</v>
      </c>
      <c r="L86" t="s">
        <v>329</v>
      </c>
      <c r="M86" t="s">
        <v>62</v>
      </c>
      <c r="N86" t="s">
        <v>130</v>
      </c>
      <c r="P86">
        <f t="shared" si="2"/>
        <v>1</v>
      </c>
      <c r="Q86" t="str">
        <f>IF(AND(P86&gt;1,COUNTIF($E$6:E86,E86)=1),MAX($Q$5:Q85)+1,"")</f>
        <v/>
      </c>
      <c r="R86" t="str">
        <f t="shared" si="3"/>
        <v/>
      </c>
    </row>
    <row r="87" spans="1:18" ht="22.95" customHeight="1">
      <c r="A87" t="s">
        <v>294</v>
      </c>
      <c r="B87" t="s">
        <v>20</v>
      </c>
      <c r="C87" t="s">
        <v>55</v>
      </c>
      <c r="D87" t="s">
        <v>56</v>
      </c>
      <c r="E87" t="s">
        <v>354</v>
      </c>
      <c r="F87">
        <v>1</v>
      </c>
      <c r="G87" t="s">
        <v>311</v>
      </c>
      <c r="H87" t="s">
        <v>312</v>
      </c>
      <c r="I87" t="s">
        <v>351</v>
      </c>
      <c r="K87" t="s">
        <v>320</v>
      </c>
      <c r="L87" t="s">
        <v>329</v>
      </c>
      <c r="M87" t="s">
        <v>62</v>
      </c>
      <c r="N87" t="s">
        <v>130</v>
      </c>
      <c r="P87">
        <f t="shared" si="2"/>
        <v>1</v>
      </c>
      <c r="Q87" t="str">
        <f>IF(AND(P87&gt;1,COUNTIF($E$6:E87,E87)=1),MAX($Q$5:Q86)+1,"")</f>
        <v/>
      </c>
      <c r="R87" t="str">
        <f t="shared" si="3"/>
        <v/>
      </c>
    </row>
    <row r="88" spans="1:18" ht="22.95" customHeight="1">
      <c r="A88" t="s">
        <v>294</v>
      </c>
      <c r="B88" t="s">
        <v>20</v>
      </c>
      <c r="C88" t="s">
        <v>55</v>
      </c>
      <c r="D88" t="s">
        <v>56</v>
      </c>
      <c r="E88" t="s">
        <v>355</v>
      </c>
      <c r="F88">
        <v>1</v>
      </c>
      <c r="G88" t="s">
        <v>311</v>
      </c>
      <c r="H88" t="s">
        <v>312</v>
      </c>
      <c r="I88" t="s">
        <v>351</v>
      </c>
      <c r="K88" t="s">
        <v>320</v>
      </c>
      <c r="L88" t="s">
        <v>326</v>
      </c>
      <c r="M88" t="s">
        <v>62</v>
      </c>
      <c r="N88" t="s">
        <v>130</v>
      </c>
      <c r="P88">
        <f t="shared" si="2"/>
        <v>1</v>
      </c>
      <c r="Q88" t="str">
        <f>IF(AND(P88&gt;1,COUNTIF($E$6:E88,E88)=1),MAX($Q$5:Q87)+1,"")</f>
        <v/>
      </c>
      <c r="R88" t="str">
        <f t="shared" si="3"/>
        <v/>
      </c>
    </row>
    <row r="89" spans="1:18" ht="22.95" customHeight="1">
      <c r="A89" t="s">
        <v>294</v>
      </c>
      <c r="B89" t="s">
        <v>20</v>
      </c>
      <c r="C89" t="s">
        <v>55</v>
      </c>
      <c r="D89" t="s">
        <v>56</v>
      </c>
      <c r="E89" t="s">
        <v>356</v>
      </c>
      <c r="F89">
        <v>1</v>
      </c>
      <c r="G89" t="s">
        <v>311</v>
      </c>
      <c r="H89" t="s">
        <v>312</v>
      </c>
      <c r="I89" t="s">
        <v>351</v>
      </c>
      <c r="K89" t="s">
        <v>320</v>
      </c>
      <c r="L89" t="s">
        <v>326</v>
      </c>
      <c r="M89" t="s">
        <v>62</v>
      </c>
      <c r="N89" t="s">
        <v>130</v>
      </c>
      <c r="P89">
        <f t="shared" si="2"/>
        <v>1</v>
      </c>
      <c r="Q89" t="str">
        <f>IF(AND(P89&gt;1,COUNTIF($E$6:E89,E89)=1),MAX($Q$5:Q88)+1,"")</f>
        <v/>
      </c>
      <c r="R89" t="str">
        <f t="shared" si="3"/>
        <v/>
      </c>
    </row>
    <row r="90" spans="1:18" ht="22.95" customHeight="1">
      <c r="A90" t="s">
        <v>294</v>
      </c>
      <c r="B90" t="s">
        <v>20</v>
      </c>
      <c r="C90" t="s">
        <v>55</v>
      </c>
      <c r="D90" t="s">
        <v>56</v>
      </c>
      <c r="E90" t="s">
        <v>357</v>
      </c>
      <c r="F90">
        <v>1</v>
      </c>
      <c r="G90" t="s">
        <v>311</v>
      </c>
      <c r="H90" t="s">
        <v>312</v>
      </c>
      <c r="I90" t="s">
        <v>351</v>
      </c>
      <c r="K90" t="s">
        <v>320</v>
      </c>
      <c r="L90" t="s">
        <v>341</v>
      </c>
      <c r="M90" t="s">
        <v>62</v>
      </c>
      <c r="N90" t="s">
        <v>130</v>
      </c>
      <c r="P90">
        <f t="shared" si="2"/>
        <v>1</v>
      </c>
      <c r="Q90" t="str">
        <f>IF(AND(P90&gt;1,COUNTIF($E$6:E90,E90)=1),MAX($Q$5:Q89)+1,"")</f>
        <v/>
      </c>
      <c r="R90" t="str">
        <f t="shared" si="3"/>
        <v/>
      </c>
    </row>
    <row r="91" spans="1:18" ht="22.95" customHeight="1">
      <c r="A91" t="s">
        <v>294</v>
      </c>
      <c r="B91" t="s">
        <v>20</v>
      </c>
      <c r="C91" t="s">
        <v>65</v>
      </c>
      <c r="D91" t="s">
        <v>66</v>
      </c>
      <c r="E91" t="s">
        <v>358</v>
      </c>
      <c r="F91">
        <v>1</v>
      </c>
      <c r="G91" t="s">
        <v>359</v>
      </c>
      <c r="H91" t="s">
        <v>266</v>
      </c>
      <c r="I91" t="s">
        <v>360</v>
      </c>
      <c r="K91" t="s">
        <v>361</v>
      </c>
      <c r="L91" t="s">
        <v>362</v>
      </c>
      <c r="M91" t="s">
        <v>73</v>
      </c>
      <c r="P91">
        <f t="shared" si="2"/>
        <v>1</v>
      </c>
      <c r="Q91" t="str">
        <f>IF(AND(P91&gt;1,COUNTIF($E$6:E91,E91)=1),MAX($Q$5:Q90)+1,"")</f>
        <v/>
      </c>
      <c r="R91" t="str">
        <f t="shared" si="3"/>
        <v/>
      </c>
    </row>
    <row r="92" spans="1:18" ht="22.95" customHeight="1">
      <c r="A92" t="s">
        <v>294</v>
      </c>
      <c r="B92" t="s">
        <v>20</v>
      </c>
      <c r="C92" t="s">
        <v>65</v>
      </c>
      <c r="D92" t="s">
        <v>66</v>
      </c>
      <c r="E92" t="s">
        <v>363</v>
      </c>
      <c r="F92">
        <v>1</v>
      </c>
      <c r="G92" t="s">
        <v>92</v>
      </c>
      <c r="I92" t="s">
        <v>364</v>
      </c>
      <c r="K92" t="s">
        <v>109</v>
      </c>
      <c r="L92" t="s">
        <v>365</v>
      </c>
      <c r="M92" t="s">
        <v>73</v>
      </c>
      <c r="P92">
        <f t="shared" si="2"/>
        <v>1</v>
      </c>
      <c r="Q92" t="str">
        <f>IF(AND(P92&gt;1,COUNTIF($E$6:E92,E92)=1),MAX($Q$5:Q91)+1,"")</f>
        <v/>
      </c>
      <c r="R92" t="str">
        <f t="shared" si="3"/>
        <v/>
      </c>
    </row>
    <row r="93" spans="1:18" ht="22.95" customHeight="1">
      <c r="A93" t="s">
        <v>294</v>
      </c>
      <c r="B93" t="s">
        <v>20</v>
      </c>
      <c r="C93" t="s">
        <v>65</v>
      </c>
      <c r="D93" t="s">
        <v>66</v>
      </c>
      <c r="E93" t="s">
        <v>366</v>
      </c>
      <c r="F93">
        <v>1</v>
      </c>
      <c r="G93" t="s">
        <v>92</v>
      </c>
      <c r="I93" t="s">
        <v>367</v>
      </c>
      <c r="K93" t="s">
        <v>368</v>
      </c>
      <c r="L93" t="s">
        <v>369</v>
      </c>
      <c r="M93" t="s">
        <v>73</v>
      </c>
      <c r="P93">
        <f t="shared" si="2"/>
        <v>1</v>
      </c>
      <c r="Q93" t="str">
        <f>IF(AND(P93&gt;1,COUNTIF($E$6:E93,E93)=1),MAX($Q$5:Q92)+1,"")</f>
        <v/>
      </c>
      <c r="R93" t="str">
        <f t="shared" si="3"/>
        <v/>
      </c>
    </row>
    <row r="94" spans="1:18" ht="22.95" customHeight="1">
      <c r="A94" t="s">
        <v>294</v>
      </c>
      <c r="B94" t="s">
        <v>22</v>
      </c>
      <c r="C94" t="s">
        <v>370</v>
      </c>
      <c r="D94" t="s">
        <v>371</v>
      </c>
      <c r="E94" t="s">
        <v>372</v>
      </c>
      <c r="F94">
        <v>1</v>
      </c>
      <c r="G94" t="s">
        <v>92</v>
      </c>
      <c r="I94" t="s">
        <v>373</v>
      </c>
      <c r="K94" t="s">
        <v>374</v>
      </c>
      <c r="L94" t="s">
        <v>375</v>
      </c>
      <c r="M94" t="s">
        <v>73</v>
      </c>
      <c r="P94">
        <f t="shared" si="2"/>
        <v>1</v>
      </c>
      <c r="Q94" t="str">
        <f>IF(AND(P94&gt;1,COUNTIF($E$6:E94,E94)=1),MAX($Q$5:Q93)+1,"")</f>
        <v/>
      </c>
      <c r="R94" t="str">
        <f t="shared" si="3"/>
        <v/>
      </c>
    </row>
    <row r="95" spans="1:18" ht="22.95" customHeight="1">
      <c r="A95" t="s">
        <v>294</v>
      </c>
      <c r="B95" t="s">
        <v>22</v>
      </c>
      <c r="C95" t="s">
        <v>370</v>
      </c>
      <c r="D95" t="s">
        <v>371</v>
      </c>
      <c r="E95" t="s">
        <v>376</v>
      </c>
      <c r="F95">
        <v>1</v>
      </c>
      <c r="G95" t="s">
        <v>92</v>
      </c>
      <c r="I95" t="s">
        <v>373</v>
      </c>
      <c r="K95" t="s">
        <v>374</v>
      </c>
      <c r="L95" t="s">
        <v>375</v>
      </c>
      <c r="M95" t="s">
        <v>73</v>
      </c>
      <c r="P95">
        <f t="shared" si="2"/>
        <v>1</v>
      </c>
      <c r="Q95" t="str">
        <f>IF(AND(P95&gt;1,COUNTIF($E$6:E95,E95)=1),MAX($Q$5:Q94)+1,"")</f>
        <v/>
      </c>
      <c r="R95" t="str">
        <f t="shared" si="3"/>
        <v/>
      </c>
    </row>
    <row r="96" spans="1:18" ht="22.95" customHeight="1">
      <c r="A96" t="s">
        <v>294</v>
      </c>
      <c r="B96" t="s">
        <v>22</v>
      </c>
      <c r="C96" t="s">
        <v>370</v>
      </c>
      <c r="D96" t="s">
        <v>371</v>
      </c>
      <c r="E96" t="s">
        <v>377</v>
      </c>
      <c r="F96">
        <v>1</v>
      </c>
      <c r="G96" t="s">
        <v>92</v>
      </c>
      <c r="I96" t="s">
        <v>378</v>
      </c>
      <c r="K96" t="s">
        <v>374</v>
      </c>
      <c r="L96" t="s">
        <v>375</v>
      </c>
      <c r="M96" t="s">
        <v>73</v>
      </c>
      <c r="P96">
        <f t="shared" si="2"/>
        <v>1</v>
      </c>
      <c r="Q96" t="str">
        <f>IF(AND(P96&gt;1,COUNTIF($E$6:E96,E96)=1),MAX($Q$5:Q95)+1,"")</f>
        <v/>
      </c>
      <c r="R96" t="str">
        <f t="shared" si="3"/>
        <v/>
      </c>
    </row>
    <row r="97" spans="1:18" ht="22.95" customHeight="1">
      <c r="A97" t="s">
        <v>294</v>
      </c>
      <c r="B97" t="s">
        <v>22</v>
      </c>
      <c r="C97" t="s">
        <v>370</v>
      </c>
      <c r="D97" t="s">
        <v>371</v>
      </c>
      <c r="E97" t="s">
        <v>379</v>
      </c>
      <c r="F97">
        <v>1</v>
      </c>
      <c r="G97" t="s">
        <v>92</v>
      </c>
      <c r="I97" t="s">
        <v>380</v>
      </c>
      <c r="K97" t="s">
        <v>109</v>
      </c>
      <c r="L97" t="s">
        <v>381</v>
      </c>
      <c r="M97" t="s">
        <v>73</v>
      </c>
      <c r="P97">
        <f t="shared" si="2"/>
        <v>1</v>
      </c>
      <c r="Q97" t="str">
        <f>IF(AND(P97&gt;1,COUNTIF($E$6:E97,E97)=1),MAX($Q$5:Q96)+1,"")</f>
        <v/>
      </c>
      <c r="R97" t="str">
        <f t="shared" si="3"/>
        <v/>
      </c>
    </row>
    <row r="98" spans="1:18" ht="22.95" customHeight="1">
      <c r="A98" t="s">
        <v>294</v>
      </c>
      <c r="B98" t="s">
        <v>22</v>
      </c>
      <c r="C98" t="s">
        <v>370</v>
      </c>
      <c r="D98" t="s">
        <v>371</v>
      </c>
      <c r="E98" t="s">
        <v>382</v>
      </c>
      <c r="F98">
        <v>1</v>
      </c>
      <c r="G98" t="s">
        <v>92</v>
      </c>
      <c r="I98" t="s">
        <v>383</v>
      </c>
      <c r="K98" t="s">
        <v>109</v>
      </c>
      <c r="L98" t="s">
        <v>384</v>
      </c>
      <c r="M98" t="s">
        <v>73</v>
      </c>
      <c r="P98">
        <f t="shared" si="2"/>
        <v>1</v>
      </c>
      <c r="Q98" t="str">
        <f>IF(AND(P98&gt;1,COUNTIF($E$6:E98,E98)=1),MAX($Q$5:Q97)+1,"")</f>
        <v/>
      </c>
      <c r="R98" t="str">
        <f t="shared" si="3"/>
        <v/>
      </c>
    </row>
    <row r="99" spans="1:18" ht="22.95" customHeight="1">
      <c r="A99" t="s">
        <v>294</v>
      </c>
      <c r="B99" t="s">
        <v>23</v>
      </c>
      <c r="C99" t="s">
        <v>103</v>
      </c>
      <c r="D99" t="s">
        <v>104</v>
      </c>
      <c r="E99" t="s">
        <v>385</v>
      </c>
      <c r="F99">
        <v>1</v>
      </c>
      <c r="G99" t="s">
        <v>386</v>
      </c>
      <c r="H99" t="s">
        <v>387</v>
      </c>
      <c r="I99" t="s">
        <v>388</v>
      </c>
      <c r="K99" t="s">
        <v>109</v>
      </c>
      <c r="L99" t="s">
        <v>389</v>
      </c>
      <c r="M99" t="s">
        <v>73</v>
      </c>
      <c r="P99">
        <f t="shared" si="2"/>
        <v>1</v>
      </c>
      <c r="Q99" t="str">
        <f>IF(AND(P99&gt;1,COUNTIF($E$6:E99,E99)=1),MAX($Q$5:Q98)+1,"")</f>
        <v/>
      </c>
      <c r="R99" t="str">
        <f t="shared" si="3"/>
        <v/>
      </c>
    </row>
    <row r="100" spans="1:18" ht="22.95" customHeight="1">
      <c r="A100" t="s">
        <v>294</v>
      </c>
      <c r="B100" t="s">
        <v>23</v>
      </c>
      <c r="C100" t="s">
        <v>103</v>
      </c>
      <c r="D100" t="s">
        <v>104</v>
      </c>
      <c r="E100" t="s">
        <v>390</v>
      </c>
      <c r="F100">
        <v>1</v>
      </c>
      <c r="G100" t="s">
        <v>391</v>
      </c>
      <c r="H100" t="s">
        <v>392</v>
      </c>
      <c r="I100" t="s">
        <v>393</v>
      </c>
      <c r="K100" t="s">
        <v>109</v>
      </c>
      <c r="L100" t="s">
        <v>394</v>
      </c>
      <c r="M100" t="s">
        <v>73</v>
      </c>
      <c r="P100">
        <f t="shared" si="2"/>
        <v>1</v>
      </c>
      <c r="Q100" t="str">
        <f>IF(AND(P100&gt;1,COUNTIF($E$6:E100,E100)=1),MAX($Q$5:Q99)+1,"")</f>
        <v/>
      </c>
      <c r="R100" t="str">
        <f t="shared" si="3"/>
        <v/>
      </c>
    </row>
    <row r="101" spans="1:18" ht="22.95" customHeight="1">
      <c r="A101" t="s">
        <v>294</v>
      </c>
      <c r="B101" t="s">
        <v>23</v>
      </c>
      <c r="C101" t="s">
        <v>103</v>
      </c>
      <c r="D101" t="s">
        <v>104</v>
      </c>
      <c r="E101" t="s">
        <v>395</v>
      </c>
      <c r="F101">
        <v>1</v>
      </c>
      <c r="G101" t="s">
        <v>396</v>
      </c>
      <c r="H101" t="s">
        <v>397</v>
      </c>
      <c r="I101" t="s">
        <v>398</v>
      </c>
      <c r="K101" t="s">
        <v>109</v>
      </c>
      <c r="L101" t="s">
        <v>399</v>
      </c>
      <c r="M101" t="s">
        <v>62</v>
      </c>
      <c r="N101" t="s">
        <v>303</v>
      </c>
      <c r="P101">
        <f t="shared" si="2"/>
        <v>1</v>
      </c>
      <c r="Q101" t="str">
        <f>IF(AND(P101&gt;1,COUNTIF($E$6:E101,E101)=1),MAX($Q$5:Q100)+1,"")</f>
        <v/>
      </c>
      <c r="R101" t="str">
        <f t="shared" si="3"/>
        <v/>
      </c>
    </row>
    <row r="102" spans="1:18" ht="22.95" customHeight="1">
      <c r="A102" t="s">
        <v>294</v>
      </c>
      <c r="B102" t="s">
        <v>23</v>
      </c>
      <c r="C102" t="s">
        <v>103</v>
      </c>
      <c r="D102" t="s">
        <v>104</v>
      </c>
      <c r="E102" t="s">
        <v>400</v>
      </c>
      <c r="F102">
        <v>1</v>
      </c>
      <c r="G102" t="s">
        <v>396</v>
      </c>
      <c r="H102" t="s">
        <v>397</v>
      </c>
      <c r="I102" t="s">
        <v>398</v>
      </c>
      <c r="K102" t="s">
        <v>109</v>
      </c>
      <c r="L102" t="s">
        <v>399</v>
      </c>
      <c r="M102" t="s">
        <v>62</v>
      </c>
      <c r="N102" t="s">
        <v>303</v>
      </c>
      <c r="P102">
        <f t="shared" si="2"/>
        <v>1</v>
      </c>
      <c r="Q102" t="str">
        <f>IF(AND(P102&gt;1,COUNTIF($E$6:E102,E102)=1),MAX($Q$5:Q101)+1,"")</f>
        <v/>
      </c>
      <c r="R102" t="str">
        <f t="shared" si="3"/>
        <v/>
      </c>
    </row>
    <row r="103" spans="1:18" ht="22.95" customHeight="1">
      <c r="A103" t="s">
        <v>294</v>
      </c>
      <c r="B103" t="s">
        <v>23</v>
      </c>
      <c r="C103" t="s">
        <v>103</v>
      </c>
      <c r="D103" t="s">
        <v>104</v>
      </c>
      <c r="E103" t="s">
        <v>401</v>
      </c>
      <c r="F103">
        <v>1</v>
      </c>
      <c r="G103" t="s">
        <v>396</v>
      </c>
      <c r="H103" t="s">
        <v>397</v>
      </c>
      <c r="I103" t="s">
        <v>398</v>
      </c>
      <c r="K103" t="s">
        <v>109</v>
      </c>
      <c r="L103" t="s">
        <v>399</v>
      </c>
      <c r="M103" t="s">
        <v>62</v>
      </c>
      <c r="N103" t="s">
        <v>303</v>
      </c>
      <c r="P103">
        <f t="shared" si="2"/>
        <v>1</v>
      </c>
      <c r="Q103" t="str">
        <f>IF(AND(P103&gt;1,COUNTIF($E$6:E103,E103)=1),MAX($Q$5:Q102)+1,"")</f>
        <v/>
      </c>
      <c r="R103" t="str">
        <f t="shared" si="3"/>
        <v/>
      </c>
    </row>
    <row r="104" spans="1:18" ht="22.95" customHeight="1">
      <c r="A104" t="s">
        <v>294</v>
      </c>
      <c r="B104" t="s">
        <v>23</v>
      </c>
      <c r="C104" t="s">
        <v>103</v>
      </c>
      <c r="D104" t="s">
        <v>104</v>
      </c>
      <c r="E104" t="s">
        <v>402</v>
      </c>
      <c r="F104">
        <v>1</v>
      </c>
      <c r="G104" t="s">
        <v>396</v>
      </c>
      <c r="H104" t="s">
        <v>397</v>
      </c>
      <c r="I104" t="s">
        <v>398</v>
      </c>
      <c r="K104" t="s">
        <v>109</v>
      </c>
      <c r="L104" t="s">
        <v>399</v>
      </c>
      <c r="M104" t="s">
        <v>62</v>
      </c>
      <c r="N104" t="s">
        <v>303</v>
      </c>
      <c r="P104">
        <f t="shared" si="2"/>
        <v>1</v>
      </c>
      <c r="Q104" t="str">
        <f>IF(AND(P104&gt;1,COUNTIF($E$6:E104,E104)=1),MAX($Q$5:Q103)+1,"")</f>
        <v/>
      </c>
      <c r="R104" t="str">
        <f t="shared" si="3"/>
        <v/>
      </c>
    </row>
    <row r="105" spans="1:18" ht="22.95" customHeight="1">
      <c r="A105" t="s">
        <v>294</v>
      </c>
      <c r="B105" t="s">
        <v>23</v>
      </c>
      <c r="C105" t="s">
        <v>103</v>
      </c>
      <c r="D105" t="s">
        <v>104</v>
      </c>
      <c r="E105" t="s">
        <v>403</v>
      </c>
      <c r="F105">
        <v>1</v>
      </c>
      <c r="G105" t="s">
        <v>396</v>
      </c>
      <c r="H105" t="s">
        <v>397</v>
      </c>
      <c r="I105" t="s">
        <v>398</v>
      </c>
      <c r="K105" t="s">
        <v>109</v>
      </c>
      <c r="L105" t="s">
        <v>399</v>
      </c>
      <c r="M105" t="s">
        <v>62</v>
      </c>
      <c r="N105" t="s">
        <v>303</v>
      </c>
      <c r="P105">
        <f t="shared" si="2"/>
        <v>1</v>
      </c>
      <c r="Q105" t="str">
        <f>IF(AND(P105&gt;1,COUNTIF($E$6:E105,E105)=1),MAX($Q$5:Q104)+1,"")</f>
        <v/>
      </c>
      <c r="R105" t="str">
        <f t="shared" si="3"/>
        <v/>
      </c>
    </row>
    <row r="106" spans="1:18" ht="22.95" customHeight="1">
      <c r="A106" t="s">
        <v>294</v>
      </c>
      <c r="B106" t="s">
        <v>23</v>
      </c>
      <c r="C106" t="s">
        <v>103</v>
      </c>
      <c r="D106" t="s">
        <v>104</v>
      </c>
      <c r="E106" t="s">
        <v>404</v>
      </c>
      <c r="F106">
        <v>1</v>
      </c>
      <c r="G106" t="s">
        <v>396</v>
      </c>
      <c r="H106" t="s">
        <v>405</v>
      </c>
      <c r="I106" t="s">
        <v>406</v>
      </c>
      <c r="K106" t="s">
        <v>406</v>
      </c>
      <c r="L106" t="s">
        <v>399</v>
      </c>
      <c r="M106" t="s">
        <v>62</v>
      </c>
      <c r="N106" t="s">
        <v>303</v>
      </c>
      <c r="P106">
        <f t="shared" si="2"/>
        <v>1</v>
      </c>
      <c r="Q106" t="str">
        <f>IF(AND(P106&gt;1,COUNTIF($E$6:E106,E106)=1),MAX($Q$5:Q105)+1,"")</f>
        <v/>
      </c>
      <c r="R106" t="str">
        <f t="shared" si="3"/>
        <v/>
      </c>
    </row>
    <row r="107" spans="1:18" ht="22.95" customHeight="1">
      <c r="A107" t="s">
        <v>294</v>
      </c>
      <c r="B107" t="s">
        <v>23</v>
      </c>
      <c r="C107" t="s">
        <v>103</v>
      </c>
      <c r="D107" t="s">
        <v>104</v>
      </c>
      <c r="E107" t="s">
        <v>407</v>
      </c>
      <c r="F107">
        <v>1</v>
      </c>
      <c r="G107" t="s">
        <v>396</v>
      </c>
      <c r="H107" t="s">
        <v>405</v>
      </c>
      <c r="I107" t="s">
        <v>408</v>
      </c>
      <c r="K107" t="s">
        <v>406</v>
      </c>
      <c r="L107" t="s">
        <v>399</v>
      </c>
      <c r="M107" t="s">
        <v>62</v>
      </c>
      <c r="N107" t="s">
        <v>303</v>
      </c>
      <c r="P107">
        <f t="shared" si="2"/>
        <v>1</v>
      </c>
      <c r="Q107" t="str">
        <f>IF(AND(P107&gt;1,COUNTIF($E$6:E107,E107)=1),MAX($Q$5:Q106)+1,"")</f>
        <v/>
      </c>
      <c r="R107" t="str">
        <f t="shared" si="3"/>
        <v/>
      </c>
    </row>
    <row r="108" spans="1:18" ht="22.95" customHeight="1">
      <c r="A108" t="s">
        <v>294</v>
      </c>
      <c r="B108" t="s">
        <v>25</v>
      </c>
      <c r="C108" t="s">
        <v>115</v>
      </c>
      <c r="D108" t="s">
        <v>409</v>
      </c>
      <c r="E108" t="s">
        <v>410</v>
      </c>
      <c r="F108">
        <v>1</v>
      </c>
      <c r="G108" t="s">
        <v>411</v>
      </c>
      <c r="H108" t="s">
        <v>409</v>
      </c>
      <c r="I108" t="s">
        <v>412</v>
      </c>
      <c r="K108" t="s">
        <v>109</v>
      </c>
      <c r="L108" t="s">
        <v>413</v>
      </c>
      <c r="M108" t="s">
        <v>73</v>
      </c>
      <c r="P108">
        <f t="shared" si="2"/>
        <v>1</v>
      </c>
      <c r="Q108" t="str">
        <f>IF(AND(P108&gt;1,COUNTIF($E$6:E108,E108)=1),MAX($Q$5:Q107)+1,"")</f>
        <v/>
      </c>
      <c r="R108" t="str">
        <f t="shared" si="3"/>
        <v/>
      </c>
    </row>
    <row r="109" spans="1:18" ht="22.95" customHeight="1">
      <c r="A109" t="s">
        <v>294</v>
      </c>
      <c r="B109" t="s">
        <v>25</v>
      </c>
      <c r="C109" t="s">
        <v>115</v>
      </c>
      <c r="D109" t="s">
        <v>409</v>
      </c>
      <c r="E109" t="s">
        <v>414</v>
      </c>
      <c r="F109">
        <v>1</v>
      </c>
      <c r="G109" t="s">
        <v>411</v>
      </c>
      <c r="H109" t="s">
        <v>409</v>
      </c>
      <c r="I109" t="s">
        <v>415</v>
      </c>
      <c r="K109" t="s">
        <v>109</v>
      </c>
      <c r="L109" t="s">
        <v>416</v>
      </c>
      <c r="M109" t="s">
        <v>73</v>
      </c>
      <c r="P109">
        <f t="shared" si="2"/>
        <v>1</v>
      </c>
      <c r="Q109" t="str">
        <f>IF(AND(P109&gt;1,COUNTIF($E$6:E109,E109)=1),MAX($Q$5:Q108)+1,"")</f>
        <v/>
      </c>
      <c r="R109" t="str">
        <f t="shared" si="3"/>
        <v/>
      </c>
    </row>
    <row r="110" spans="1:18" ht="22.95" customHeight="1">
      <c r="A110" t="s">
        <v>294</v>
      </c>
      <c r="B110" t="s">
        <v>25</v>
      </c>
      <c r="C110" t="s">
        <v>115</v>
      </c>
      <c r="D110" t="s">
        <v>409</v>
      </c>
      <c r="E110" t="s">
        <v>417</v>
      </c>
      <c r="F110">
        <v>1</v>
      </c>
      <c r="G110" t="s">
        <v>411</v>
      </c>
      <c r="H110" t="s">
        <v>409</v>
      </c>
      <c r="I110" t="s">
        <v>415</v>
      </c>
      <c r="K110" t="s">
        <v>109</v>
      </c>
      <c r="L110" t="s">
        <v>416</v>
      </c>
      <c r="M110" t="s">
        <v>73</v>
      </c>
      <c r="P110">
        <f t="shared" si="2"/>
        <v>1</v>
      </c>
      <c r="Q110" t="str">
        <f>IF(AND(P110&gt;1,COUNTIF($E$6:E110,E110)=1),MAX($Q$5:Q109)+1,"")</f>
        <v/>
      </c>
      <c r="R110" t="str">
        <f t="shared" si="3"/>
        <v/>
      </c>
    </row>
    <row r="111" spans="1:18" ht="22.95" customHeight="1">
      <c r="A111" t="s">
        <v>294</v>
      </c>
      <c r="B111" t="s">
        <v>25</v>
      </c>
      <c r="C111" t="s">
        <v>131</v>
      </c>
      <c r="D111" t="s">
        <v>132</v>
      </c>
      <c r="E111" t="s">
        <v>418</v>
      </c>
      <c r="F111">
        <v>1</v>
      </c>
      <c r="G111" t="s">
        <v>92</v>
      </c>
      <c r="I111" t="s">
        <v>419</v>
      </c>
      <c r="K111" t="s">
        <v>109</v>
      </c>
      <c r="L111" t="s">
        <v>420</v>
      </c>
      <c r="M111" t="s">
        <v>62</v>
      </c>
      <c r="N111" t="s">
        <v>161</v>
      </c>
      <c r="P111">
        <f t="shared" si="2"/>
        <v>1</v>
      </c>
      <c r="Q111" t="str">
        <f>IF(AND(P111&gt;1,COUNTIF($E$6:E111,E111)=1),MAX($Q$5:Q110)+1,"")</f>
        <v/>
      </c>
      <c r="R111" t="str">
        <f t="shared" si="3"/>
        <v/>
      </c>
    </row>
    <row r="112" spans="1:18" ht="22.95" customHeight="1">
      <c r="A112" t="s">
        <v>294</v>
      </c>
      <c r="B112" t="s">
        <v>25</v>
      </c>
      <c r="C112" t="s">
        <v>131</v>
      </c>
      <c r="D112" t="s">
        <v>132</v>
      </c>
      <c r="E112" t="s">
        <v>421</v>
      </c>
      <c r="F112">
        <v>1</v>
      </c>
      <c r="G112" t="s">
        <v>422</v>
      </c>
      <c r="H112" t="s">
        <v>423</v>
      </c>
      <c r="I112" t="s">
        <v>424</v>
      </c>
      <c r="L112" t="s">
        <v>425</v>
      </c>
      <c r="M112" t="s">
        <v>73</v>
      </c>
      <c r="P112">
        <f t="shared" si="2"/>
        <v>1</v>
      </c>
      <c r="Q112" t="str">
        <f>IF(AND(P112&gt;1,COUNTIF($E$6:E112,E112)=1),MAX($Q$5:Q111)+1,"")</f>
        <v/>
      </c>
      <c r="R112" t="str">
        <f t="shared" si="3"/>
        <v/>
      </c>
    </row>
    <row r="113" spans="1:18" ht="22.95" customHeight="1">
      <c r="A113" t="s">
        <v>294</v>
      </c>
      <c r="B113" t="s">
        <v>24</v>
      </c>
      <c r="C113" t="s">
        <v>426</v>
      </c>
      <c r="D113" t="s">
        <v>427</v>
      </c>
      <c r="E113" t="s">
        <v>428</v>
      </c>
      <c r="F113">
        <v>1</v>
      </c>
      <c r="G113" t="s">
        <v>429</v>
      </c>
      <c r="I113" t="s">
        <v>406</v>
      </c>
      <c r="K113" t="s">
        <v>406</v>
      </c>
      <c r="L113" t="s">
        <v>430</v>
      </c>
      <c r="M113" t="s">
        <v>62</v>
      </c>
      <c r="N113" t="s">
        <v>299</v>
      </c>
      <c r="P113">
        <f t="shared" si="2"/>
        <v>1</v>
      </c>
      <c r="Q113" t="str">
        <f>IF(AND(P113&gt;1,COUNTIF($E$6:E113,E113)=1),MAX($Q$5:Q112)+1,"")</f>
        <v/>
      </c>
      <c r="R113" t="str">
        <f t="shared" si="3"/>
        <v/>
      </c>
    </row>
    <row r="114" spans="1:18" ht="22.95" customHeight="1">
      <c r="A114" t="s">
        <v>294</v>
      </c>
      <c r="B114" t="s">
        <v>24</v>
      </c>
      <c r="C114" t="s">
        <v>431</v>
      </c>
      <c r="D114" t="s">
        <v>216</v>
      </c>
      <c r="E114" t="s">
        <v>432</v>
      </c>
      <c r="F114">
        <v>1</v>
      </c>
      <c r="G114" t="s">
        <v>433</v>
      </c>
      <c r="I114" t="s">
        <v>434</v>
      </c>
      <c r="L114" t="s">
        <v>435</v>
      </c>
      <c r="M114" t="s">
        <v>62</v>
      </c>
      <c r="N114" t="s">
        <v>63</v>
      </c>
      <c r="P114">
        <f t="shared" si="2"/>
        <v>1</v>
      </c>
      <c r="Q114" t="str">
        <f>IF(AND(P114&gt;1,COUNTIF($E$6:E114,E114)=1),MAX($Q$5:Q113)+1,"")</f>
        <v/>
      </c>
      <c r="R114" t="str">
        <f t="shared" si="3"/>
        <v/>
      </c>
    </row>
    <row r="115" spans="1:18" ht="22.95" customHeight="1">
      <c r="A115" t="s">
        <v>294</v>
      </c>
      <c r="B115" t="s">
        <v>24</v>
      </c>
      <c r="C115" t="s">
        <v>436</v>
      </c>
      <c r="D115" t="s">
        <v>437</v>
      </c>
      <c r="E115" t="s">
        <v>438</v>
      </c>
      <c r="F115">
        <v>1</v>
      </c>
      <c r="G115" t="s">
        <v>92</v>
      </c>
      <c r="I115" t="s">
        <v>112</v>
      </c>
      <c r="K115" t="s">
        <v>112</v>
      </c>
      <c r="L115" t="s">
        <v>439</v>
      </c>
      <c r="M115" t="s">
        <v>102</v>
      </c>
      <c r="P115">
        <f t="shared" si="2"/>
        <v>1</v>
      </c>
      <c r="Q115" t="str">
        <f>IF(AND(P115&gt;1,COUNTIF($E$6:E115,E115)=1),MAX($Q$5:Q114)+1,"")</f>
        <v/>
      </c>
      <c r="R115" t="str">
        <f t="shared" si="3"/>
        <v/>
      </c>
    </row>
    <row r="116" spans="1:18" ht="22.95" customHeight="1">
      <c r="A116" t="s">
        <v>294</v>
      </c>
      <c r="B116" t="s">
        <v>24</v>
      </c>
      <c r="C116" t="s">
        <v>436</v>
      </c>
      <c r="D116" t="s">
        <v>437</v>
      </c>
      <c r="E116" t="s">
        <v>440</v>
      </c>
      <c r="F116">
        <v>1</v>
      </c>
      <c r="G116" t="s">
        <v>92</v>
      </c>
      <c r="I116" t="s">
        <v>112</v>
      </c>
      <c r="K116" t="s">
        <v>441</v>
      </c>
      <c r="L116" t="s">
        <v>442</v>
      </c>
      <c r="M116" t="s">
        <v>62</v>
      </c>
      <c r="N116" t="s">
        <v>187</v>
      </c>
      <c r="P116">
        <f t="shared" si="2"/>
        <v>1</v>
      </c>
      <c r="Q116" t="str">
        <f>IF(AND(P116&gt;1,COUNTIF($E$6:E116,E116)=1),MAX($Q$5:Q115)+1,"")</f>
        <v/>
      </c>
      <c r="R116" t="str">
        <f t="shared" si="3"/>
        <v/>
      </c>
    </row>
    <row r="117" spans="1:18" ht="22.95" customHeight="1">
      <c r="A117" t="s">
        <v>294</v>
      </c>
      <c r="B117" t="s">
        <v>24</v>
      </c>
      <c r="C117" t="s">
        <v>443</v>
      </c>
      <c r="D117" t="s">
        <v>444</v>
      </c>
      <c r="E117" t="s">
        <v>445</v>
      </c>
      <c r="F117">
        <v>1</v>
      </c>
      <c r="G117" t="s">
        <v>139</v>
      </c>
      <c r="I117" t="s">
        <v>406</v>
      </c>
      <c r="J117" t="s">
        <v>446</v>
      </c>
      <c r="K117" t="s">
        <v>141</v>
      </c>
      <c r="L117" t="s">
        <v>447</v>
      </c>
      <c r="M117" t="s">
        <v>102</v>
      </c>
      <c r="P117">
        <f t="shared" si="2"/>
        <v>1</v>
      </c>
      <c r="Q117" t="str">
        <f>IF(AND(P117&gt;1,COUNTIF($E$6:E117,E117)=1),MAX($Q$5:Q116)+1,"")</f>
        <v/>
      </c>
      <c r="R117" t="str">
        <f t="shared" si="3"/>
        <v/>
      </c>
    </row>
    <row r="118" spans="1:18" ht="22.95" customHeight="1">
      <c r="A118" t="s">
        <v>294</v>
      </c>
      <c r="B118" t="s">
        <v>28</v>
      </c>
      <c r="C118" t="s">
        <v>448</v>
      </c>
      <c r="D118" t="s">
        <v>449</v>
      </c>
      <c r="E118" t="s">
        <v>450</v>
      </c>
      <c r="F118">
        <v>1</v>
      </c>
      <c r="G118" t="s">
        <v>92</v>
      </c>
      <c r="I118" t="s">
        <v>451</v>
      </c>
      <c r="K118" t="s">
        <v>109</v>
      </c>
      <c r="L118" t="s">
        <v>452</v>
      </c>
      <c r="M118" t="s">
        <v>62</v>
      </c>
      <c r="N118" t="s">
        <v>187</v>
      </c>
      <c r="P118">
        <f t="shared" si="2"/>
        <v>1</v>
      </c>
      <c r="Q118" t="str">
        <f>IF(AND(P118&gt;1,COUNTIF($E$6:E118,E118)=1),MAX($Q$5:Q117)+1,"")</f>
        <v/>
      </c>
      <c r="R118" t="str">
        <f t="shared" si="3"/>
        <v/>
      </c>
    </row>
    <row r="119" spans="1:18" ht="22.95" customHeight="1">
      <c r="A119" t="s">
        <v>294</v>
      </c>
      <c r="B119" t="s">
        <v>28</v>
      </c>
      <c r="C119" t="s">
        <v>167</v>
      </c>
      <c r="D119" t="s">
        <v>168</v>
      </c>
      <c r="E119" t="s">
        <v>453</v>
      </c>
      <c r="F119">
        <v>1</v>
      </c>
      <c r="G119" t="s">
        <v>454</v>
      </c>
      <c r="H119" t="s">
        <v>455</v>
      </c>
      <c r="I119" t="s">
        <v>456</v>
      </c>
      <c r="K119" t="s">
        <v>457</v>
      </c>
      <c r="L119" t="s">
        <v>458</v>
      </c>
      <c r="M119" t="s">
        <v>62</v>
      </c>
      <c r="N119" t="s">
        <v>303</v>
      </c>
      <c r="P119">
        <f t="shared" si="2"/>
        <v>1</v>
      </c>
      <c r="Q119" t="str">
        <f>IF(AND(P119&gt;1,COUNTIF($E$6:E119,E119)=1),MAX($Q$5:Q118)+1,"")</f>
        <v/>
      </c>
      <c r="R119" t="str">
        <f t="shared" si="3"/>
        <v/>
      </c>
    </row>
    <row r="120" spans="1:18" ht="22.95" customHeight="1">
      <c r="A120" t="s">
        <v>294</v>
      </c>
      <c r="B120" t="s">
        <v>28</v>
      </c>
      <c r="C120" t="s">
        <v>167</v>
      </c>
      <c r="D120" t="s">
        <v>168</v>
      </c>
      <c r="E120" t="s">
        <v>459</v>
      </c>
      <c r="F120">
        <v>1</v>
      </c>
      <c r="G120" t="s">
        <v>460</v>
      </c>
      <c r="H120" t="s">
        <v>461</v>
      </c>
      <c r="I120" t="s">
        <v>462</v>
      </c>
      <c r="K120" t="s">
        <v>78</v>
      </c>
      <c r="L120" t="s">
        <v>463</v>
      </c>
      <c r="M120" t="s">
        <v>73</v>
      </c>
      <c r="P120">
        <f t="shared" si="2"/>
        <v>1</v>
      </c>
      <c r="Q120" t="str">
        <f>IF(AND(P120&gt;1,COUNTIF($E$6:E120,E120)=1),MAX($Q$5:Q119)+1,"")</f>
        <v/>
      </c>
      <c r="R120" t="str">
        <f t="shared" si="3"/>
        <v/>
      </c>
    </row>
    <row r="121" spans="1:18" ht="22.95" customHeight="1">
      <c r="A121" t="s">
        <v>294</v>
      </c>
      <c r="B121" t="s">
        <v>28</v>
      </c>
      <c r="C121" t="s">
        <v>167</v>
      </c>
      <c r="D121" t="s">
        <v>168</v>
      </c>
      <c r="E121" t="s">
        <v>464</v>
      </c>
      <c r="F121">
        <v>1</v>
      </c>
      <c r="G121" t="s">
        <v>454</v>
      </c>
      <c r="H121" t="s">
        <v>455</v>
      </c>
      <c r="I121" t="s">
        <v>465</v>
      </c>
      <c r="K121" t="s">
        <v>78</v>
      </c>
      <c r="L121" t="s">
        <v>466</v>
      </c>
      <c r="M121" t="s">
        <v>73</v>
      </c>
      <c r="P121">
        <f t="shared" si="2"/>
        <v>1</v>
      </c>
      <c r="Q121" t="str">
        <f>IF(AND(P121&gt;1,COUNTIF($E$6:E121,E121)=1),MAX($Q$5:Q120)+1,"")</f>
        <v/>
      </c>
      <c r="R121" t="str">
        <f t="shared" si="3"/>
        <v/>
      </c>
    </row>
    <row r="122" spans="1:18" ht="22.95" customHeight="1">
      <c r="A122" t="s">
        <v>294</v>
      </c>
      <c r="B122" t="s">
        <v>28</v>
      </c>
      <c r="C122" t="s">
        <v>167</v>
      </c>
      <c r="D122" t="s">
        <v>168</v>
      </c>
      <c r="E122" t="s">
        <v>467</v>
      </c>
      <c r="F122">
        <v>1</v>
      </c>
      <c r="G122" t="s">
        <v>460</v>
      </c>
      <c r="H122" t="s">
        <v>461</v>
      </c>
      <c r="I122" t="s">
        <v>468</v>
      </c>
      <c r="K122" t="s">
        <v>78</v>
      </c>
      <c r="L122" t="s">
        <v>469</v>
      </c>
      <c r="M122" t="s">
        <v>73</v>
      </c>
      <c r="P122">
        <f t="shared" si="2"/>
        <v>1</v>
      </c>
      <c r="Q122" t="str">
        <f>IF(AND(P122&gt;1,COUNTIF($E$6:E122,E122)=1),MAX($Q$5:Q121)+1,"")</f>
        <v/>
      </c>
      <c r="R122" t="str">
        <f t="shared" si="3"/>
        <v/>
      </c>
    </row>
    <row r="123" spans="1:18" ht="22.95" customHeight="1">
      <c r="A123" t="s">
        <v>294</v>
      </c>
      <c r="B123" t="s">
        <v>28</v>
      </c>
      <c r="C123" t="s">
        <v>167</v>
      </c>
      <c r="D123" t="s">
        <v>168</v>
      </c>
      <c r="E123" t="s">
        <v>470</v>
      </c>
      <c r="F123">
        <v>1</v>
      </c>
      <c r="G123" t="s">
        <v>454</v>
      </c>
      <c r="H123" t="s">
        <v>455</v>
      </c>
      <c r="I123" t="s">
        <v>468</v>
      </c>
      <c r="K123" t="s">
        <v>78</v>
      </c>
      <c r="L123" t="s">
        <v>469</v>
      </c>
      <c r="M123" t="s">
        <v>73</v>
      </c>
      <c r="P123">
        <f t="shared" si="2"/>
        <v>1</v>
      </c>
      <c r="Q123" t="str">
        <f>IF(AND(P123&gt;1,COUNTIF($E$6:E123,E123)=1),MAX($Q$5:Q122)+1,"")</f>
        <v/>
      </c>
      <c r="R123" t="str">
        <f t="shared" si="3"/>
        <v/>
      </c>
    </row>
    <row r="124" spans="1:18" ht="22.95" customHeight="1">
      <c r="A124" t="s">
        <v>294</v>
      </c>
      <c r="B124" t="s">
        <v>28</v>
      </c>
      <c r="C124" t="s">
        <v>167</v>
      </c>
      <c r="D124" t="s">
        <v>168</v>
      </c>
      <c r="E124" t="s">
        <v>471</v>
      </c>
      <c r="F124">
        <v>1</v>
      </c>
      <c r="G124" t="s">
        <v>454</v>
      </c>
      <c r="H124" t="s">
        <v>455</v>
      </c>
      <c r="I124" t="s">
        <v>468</v>
      </c>
      <c r="K124" t="s">
        <v>78</v>
      </c>
      <c r="L124" t="s">
        <v>469</v>
      </c>
      <c r="M124" t="s">
        <v>73</v>
      </c>
      <c r="P124">
        <f t="shared" si="2"/>
        <v>1</v>
      </c>
      <c r="Q124" t="str">
        <f>IF(AND(P124&gt;1,COUNTIF($E$6:E124,E124)=1),MAX($Q$5:Q123)+1,"")</f>
        <v/>
      </c>
      <c r="R124" t="str">
        <f t="shared" si="3"/>
        <v/>
      </c>
    </row>
    <row r="125" spans="1:18" ht="22.95" customHeight="1">
      <c r="A125" t="s">
        <v>294</v>
      </c>
      <c r="B125" t="s">
        <v>28</v>
      </c>
      <c r="C125" t="s">
        <v>167</v>
      </c>
      <c r="D125" t="s">
        <v>168</v>
      </c>
      <c r="E125" t="s">
        <v>472</v>
      </c>
      <c r="F125">
        <v>1</v>
      </c>
      <c r="G125" t="s">
        <v>454</v>
      </c>
      <c r="H125" t="s">
        <v>455</v>
      </c>
      <c r="I125" t="s">
        <v>473</v>
      </c>
      <c r="K125" t="s">
        <v>78</v>
      </c>
      <c r="L125" t="s">
        <v>469</v>
      </c>
      <c r="M125" t="s">
        <v>73</v>
      </c>
      <c r="P125">
        <f t="shared" si="2"/>
        <v>1</v>
      </c>
      <c r="Q125" t="str">
        <f>IF(AND(P125&gt;1,COUNTIF($E$6:E125,E125)=1),MAX($Q$5:Q124)+1,"")</f>
        <v/>
      </c>
      <c r="R125" t="str">
        <f t="shared" si="3"/>
        <v/>
      </c>
    </row>
    <row r="126" spans="1:18" ht="22.95" customHeight="1">
      <c r="A126" t="s">
        <v>294</v>
      </c>
      <c r="B126" t="s">
        <v>28</v>
      </c>
      <c r="C126" t="s">
        <v>167</v>
      </c>
      <c r="D126" t="s">
        <v>168</v>
      </c>
      <c r="E126" t="s">
        <v>474</v>
      </c>
      <c r="F126">
        <v>1</v>
      </c>
      <c r="G126" t="s">
        <v>454</v>
      </c>
      <c r="H126" t="s">
        <v>455</v>
      </c>
      <c r="I126" t="s">
        <v>468</v>
      </c>
      <c r="K126" t="s">
        <v>78</v>
      </c>
      <c r="L126" t="s">
        <v>469</v>
      </c>
      <c r="M126" t="s">
        <v>73</v>
      </c>
      <c r="P126">
        <f t="shared" si="2"/>
        <v>1</v>
      </c>
      <c r="Q126" t="str">
        <f>IF(AND(P126&gt;1,COUNTIF($E$6:E126,E126)=1),MAX($Q$5:Q125)+1,"")</f>
        <v/>
      </c>
      <c r="R126" t="str">
        <f t="shared" si="3"/>
        <v/>
      </c>
    </row>
    <row r="127" spans="1:18" ht="22.95" customHeight="1">
      <c r="A127" t="s">
        <v>294</v>
      </c>
      <c r="B127" t="s">
        <v>27</v>
      </c>
      <c r="C127" t="s">
        <v>475</v>
      </c>
      <c r="D127" t="s">
        <v>476</v>
      </c>
      <c r="E127" t="s">
        <v>477</v>
      </c>
      <c r="F127">
        <v>1</v>
      </c>
      <c r="G127" t="s">
        <v>92</v>
      </c>
      <c r="K127" t="s">
        <v>478</v>
      </c>
      <c r="L127" t="s">
        <v>479</v>
      </c>
      <c r="M127" t="s">
        <v>102</v>
      </c>
      <c r="P127">
        <f t="shared" si="2"/>
        <v>1</v>
      </c>
      <c r="Q127" t="str">
        <f>IF(AND(P127&gt;1,COUNTIF($E$6:E127,E127)=1),MAX($Q$5:Q126)+1,"")</f>
        <v/>
      </c>
      <c r="R127" t="str">
        <f t="shared" si="3"/>
        <v/>
      </c>
    </row>
    <row r="128" spans="1:18" ht="22.95" customHeight="1">
      <c r="A128" t="s">
        <v>294</v>
      </c>
      <c r="B128" t="s">
        <v>30</v>
      </c>
      <c r="C128" t="s">
        <v>188</v>
      </c>
      <c r="D128" t="s">
        <v>189</v>
      </c>
      <c r="E128" t="s">
        <v>480</v>
      </c>
      <c r="F128">
        <v>1</v>
      </c>
      <c r="G128" t="s">
        <v>481</v>
      </c>
      <c r="H128" t="s">
        <v>76</v>
      </c>
      <c r="I128" t="s">
        <v>482</v>
      </c>
      <c r="K128" t="s">
        <v>78</v>
      </c>
      <c r="L128" t="s">
        <v>483</v>
      </c>
      <c r="M128" t="s">
        <v>73</v>
      </c>
      <c r="P128">
        <f t="shared" si="2"/>
        <v>1</v>
      </c>
      <c r="Q128" t="str">
        <f>IF(AND(P128&gt;1,COUNTIF($E$6:E128,E128)=1),MAX($Q$5:Q127)+1,"")</f>
        <v/>
      </c>
      <c r="R128" t="str">
        <f t="shared" si="3"/>
        <v/>
      </c>
    </row>
    <row r="129" spans="1:18" ht="22.95" customHeight="1">
      <c r="A129" t="s">
        <v>294</v>
      </c>
      <c r="B129" t="s">
        <v>30</v>
      </c>
      <c r="C129" t="s">
        <v>188</v>
      </c>
      <c r="D129" t="s">
        <v>189</v>
      </c>
      <c r="E129" t="s">
        <v>484</v>
      </c>
      <c r="F129">
        <v>1</v>
      </c>
      <c r="G129" t="s">
        <v>481</v>
      </c>
      <c r="H129" t="s">
        <v>76</v>
      </c>
      <c r="I129" t="s">
        <v>485</v>
      </c>
      <c r="K129" t="s">
        <v>78</v>
      </c>
      <c r="L129" t="s">
        <v>483</v>
      </c>
      <c r="M129" t="s">
        <v>73</v>
      </c>
      <c r="P129">
        <f t="shared" si="2"/>
        <v>1</v>
      </c>
      <c r="Q129" t="str">
        <f>IF(AND(P129&gt;1,COUNTIF($E$6:E129,E129)=1),MAX($Q$5:Q128)+1,"")</f>
        <v/>
      </c>
      <c r="R129" t="str">
        <f t="shared" si="3"/>
        <v/>
      </c>
    </row>
    <row r="130" spans="1:18" ht="22.95" customHeight="1">
      <c r="A130" t="s">
        <v>294</v>
      </c>
      <c r="B130" t="s">
        <v>26</v>
      </c>
      <c r="C130" t="s">
        <v>196</v>
      </c>
      <c r="D130" t="s">
        <v>197</v>
      </c>
      <c r="E130" t="s">
        <v>486</v>
      </c>
      <c r="F130">
        <v>1</v>
      </c>
      <c r="G130" t="s">
        <v>487</v>
      </c>
      <c r="H130" t="s">
        <v>488</v>
      </c>
      <c r="I130" t="s">
        <v>406</v>
      </c>
      <c r="L130" t="s">
        <v>489</v>
      </c>
      <c r="M130" t="s">
        <v>73</v>
      </c>
      <c r="P130">
        <f t="shared" si="2"/>
        <v>1</v>
      </c>
      <c r="Q130" t="str">
        <f>IF(AND(P130&gt;1,COUNTIF($E$6:E130,E130)=1),MAX($Q$5:Q129)+1,"")</f>
        <v/>
      </c>
      <c r="R130" t="str">
        <f t="shared" si="3"/>
        <v/>
      </c>
    </row>
    <row r="131" spans="1:18" ht="22.95" customHeight="1">
      <c r="A131" t="s">
        <v>294</v>
      </c>
      <c r="B131" t="s">
        <v>26</v>
      </c>
      <c r="C131" t="s">
        <v>196</v>
      </c>
      <c r="D131" t="s">
        <v>197</v>
      </c>
      <c r="E131" t="s">
        <v>490</v>
      </c>
      <c r="F131">
        <v>1</v>
      </c>
      <c r="G131" t="s">
        <v>487</v>
      </c>
      <c r="H131" t="s">
        <v>488</v>
      </c>
      <c r="I131" t="s">
        <v>406</v>
      </c>
      <c r="L131" t="s">
        <v>489</v>
      </c>
      <c r="M131" t="s">
        <v>73</v>
      </c>
      <c r="P131">
        <f t="shared" si="2"/>
        <v>1</v>
      </c>
      <c r="Q131" t="str">
        <f>IF(AND(P131&gt;1,COUNTIF($E$6:E131,E131)=1),MAX($Q$5:Q130)+1,"")</f>
        <v/>
      </c>
      <c r="R131" t="str">
        <f t="shared" si="3"/>
        <v/>
      </c>
    </row>
    <row r="132" spans="1:18" ht="22.95" customHeight="1">
      <c r="A132" t="s">
        <v>294</v>
      </c>
      <c r="B132" t="s">
        <v>31</v>
      </c>
      <c r="C132" t="s">
        <v>491</v>
      </c>
      <c r="D132" t="s">
        <v>492</v>
      </c>
      <c r="E132" t="s">
        <v>493</v>
      </c>
      <c r="F132">
        <v>1</v>
      </c>
      <c r="G132" t="s">
        <v>494</v>
      </c>
      <c r="H132" t="s">
        <v>495</v>
      </c>
      <c r="I132" t="s">
        <v>496</v>
      </c>
      <c r="K132" t="s">
        <v>109</v>
      </c>
      <c r="L132" t="s">
        <v>497</v>
      </c>
      <c r="M132" t="s">
        <v>62</v>
      </c>
      <c r="N132" t="s">
        <v>187</v>
      </c>
      <c r="P132">
        <f t="shared" si="2"/>
        <v>1</v>
      </c>
      <c r="Q132" t="str">
        <f>IF(AND(P132&gt;1,COUNTIF($E$6:E132,E132)=1),MAX($Q$5:Q131)+1,"")</f>
        <v/>
      </c>
      <c r="R132" t="str">
        <f t="shared" si="3"/>
        <v/>
      </c>
    </row>
    <row r="133" spans="1:18" ht="22.95" customHeight="1">
      <c r="A133" t="s">
        <v>294</v>
      </c>
      <c r="B133" t="s">
        <v>31</v>
      </c>
      <c r="C133" t="s">
        <v>491</v>
      </c>
      <c r="D133" t="s">
        <v>492</v>
      </c>
      <c r="E133" t="s">
        <v>498</v>
      </c>
      <c r="F133">
        <v>1</v>
      </c>
      <c r="G133" t="s">
        <v>494</v>
      </c>
      <c r="H133" t="s">
        <v>495</v>
      </c>
      <c r="I133" t="s">
        <v>496</v>
      </c>
      <c r="K133" t="s">
        <v>109</v>
      </c>
      <c r="L133" t="s">
        <v>497</v>
      </c>
      <c r="M133" t="s">
        <v>62</v>
      </c>
      <c r="N133" t="s">
        <v>187</v>
      </c>
      <c r="P133">
        <f t="shared" si="2"/>
        <v>1</v>
      </c>
      <c r="Q133" t="str">
        <f>IF(AND(P133&gt;1,COUNTIF($E$6:E133,E133)=1),MAX($Q$5:Q132)+1,"")</f>
        <v/>
      </c>
      <c r="R133" t="str">
        <f t="shared" si="3"/>
        <v/>
      </c>
    </row>
    <row r="134" spans="1:18" ht="22.95" customHeight="1">
      <c r="A134" t="s">
        <v>294</v>
      </c>
      <c r="B134" t="s">
        <v>21</v>
      </c>
      <c r="C134" t="s">
        <v>207</v>
      </c>
      <c r="D134" t="s">
        <v>208</v>
      </c>
      <c r="E134" t="s">
        <v>499</v>
      </c>
      <c r="F134">
        <v>1</v>
      </c>
      <c r="G134" t="s">
        <v>500</v>
      </c>
      <c r="H134" t="s">
        <v>488</v>
      </c>
      <c r="I134" t="s">
        <v>501</v>
      </c>
      <c r="K134" t="s">
        <v>406</v>
      </c>
      <c r="L134" t="s">
        <v>502</v>
      </c>
      <c r="M134" t="s">
        <v>62</v>
      </c>
      <c r="N134" t="s">
        <v>130</v>
      </c>
      <c r="P134">
        <f t="shared" ref="P134:P197" si="4">COUNTIF($E$6:$E$1740,E134)</f>
        <v>1</v>
      </c>
      <c r="Q134" t="str">
        <f>IF(AND(P134&gt;1,COUNTIF($E$6:E134,E134)=1),MAX($Q$5:Q133)+1,"")</f>
        <v/>
      </c>
      <c r="R134" t="str">
        <f t="shared" ref="R134:R197" si="5">IF(Q134="","",IF(COUNTIFS($E$6:$E$1740,E134,$A$6:$A$1740,A134,$C$6:$C$1740,C134)&lt;P134,"LÉGITIME",IF(COUNTIFS($E$6:$E$1740,E134,$A$6:$A$1740,A134,$C$6:$C$1740,C134,$M$6:$M$1740,M134)&lt;P134,"STATUT DIFFÉRENT","VRAI DOUBLON")))</f>
        <v/>
      </c>
    </row>
    <row r="135" spans="1:18" ht="22.95" customHeight="1">
      <c r="A135" t="s">
        <v>294</v>
      </c>
      <c r="B135" t="s">
        <v>21</v>
      </c>
      <c r="C135" t="s">
        <v>207</v>
      </c>
      <c r="D135" t="s">
        <v>208</v>
      </c>
      <c r="E135" t="s">
        <v>503</v>
      </c>
      <c r="F135">
        <v>1</v>
      </c>
      <c r="G135" t="s">
        <v>504</v>
      </c>
      <c r="H135" t="s">
        <v>505</v>
      </c>
      <c r="I135" t="s">
        <v>501</v>
      </c>
      <c r="K135" t="s">
        <v>406</v>
      </c>
      <c r="L135" t="s">
        <v>506</v>
      </c>
      <c r="M135" t="s">
        <v>62</v>
      </c>
      <c r="N135" t="s">
        <v>130</v>
      </c>
      <c r="P135">
        <f t="shared" si="4"/>
        <v>1</v>
      </c>
      <c r="Q135" t="str">
        <f>IF(AND(P135&gt;1,COUNTIF($E$6:E135,E135)=1),MAX($Q$5:Q134)+1,"")</f>
        <v/>
      </c>
      <c r="R135" t="str">
        <f t="shared" si="5"/>
        <v/>
      </c>
    </row>
    <row r="136" spans="1:18" ht="22.95" customHeight="1">
      <c r="A136" t="s">
        <v>294</v>
      </c>
      <c r="B136" t="s">
        <v>21</v>
      </c>
      <c r="C136" t="s">
        <v>215</v>
      </c>
      <c r="D136" t="s">
        <v>216</v>
      </c>
      <c r="E136" t="s">
        <v>507</v>
      </c>
      <c r="F136">
        <v>1</v>
      </c>
      <c r="G136" t="s">
        <v>508</v>
      </c>
      <c r="H136" t="s">
        <v>509</v>
      </c>
      <c r="I136" t="s">
        <v>205</v>
      </c>
      <c r="K136" t="s">
        <v>109</v>
      </c>
      <c r="L136" t="s">
        <v>510</v>
      </c>
      <c r="M136" t="s">
        <v>62</v>
      </c>
      <c r="N136" t="s">
        <v>130</v>
      </c>
      <c r="P136">
        <f t="shared" si="4"/>
        <v>1</v>
      </c>
      <c r="Q136" t="str">
        <f>IF(AND(P136&gt;1,COUNTIF($E$6:E136,E136)=1),MAX($Q$5:Q135)+1,"")</f>
        <v/>
      </c>
      <c r="R136" t="str">
        <f t="shared" si="5"/>
        <v/>
      </c>
    </row>
    <row r="137" spans="1:18" ht="22.95" customHeight="1">
      <c r="A137" t="s">
        <v>294</v>
      </c>
      <c r="B137" t="s">
        <v>21</v>
      </c>
      <c r="C137" t="s">
        <v>228</v>
      </c>
      <c r="D137" t="s">
        <v>229</v>
      </c>
      <c r="E137" t="s">
        <v>511</v>
      </c>
      <c r="F137">
        <v>1</v>
      </c>
      <c r="G137" t="s">
        <v>512</v>
      </c>
      <c r="H137" t="s">
        <v>513</v>
      </c>
      <c r="I137" t="s">
        <v>514</v>
      </c>
      <c r="K137" t="s">
        <v>185</v>
      </c>
      <c r="L137" t="s">
        <v>515</v>
      </c>
      <c r="M137" t="s">
        <v>62</v>
      </c>
      <c r="N137" t="s">
        <v>130</v>
      </c>
      <c r="P137">
        <f t="shared" si="4"/>
        <v>1</v>
      </c>
      <c r="Q137" t="str">
        <f>IF(AND(P137&gt;1,COUNTIF($E$6:E137,E137)=1),MAX($Q$5:Q136)+1,"")</f>
        <v/>
      </c>
      <c r="R137" t="str">
        <f t="shared" si="5"/>
        <v/>
      </c>
    </row>
    <row r="138" spans="1:18" ht="22.95" customHeight="1">
      <c r="A138" t="s">
        <v>294</v>
      </c>
      <c r="B138" t="s">
        <v>21</v>
      </c>
      <c r="C138" t="s">
        <v>239</v>
      </c>
      <c r="D138" t="s">
        <v>147</v>
      </c>
      <c r="E138" t="s">
        <v>516</v>
      </c>
      <c r="F138">
        <v>1</v>
      </c>
      <c r="I138" t="s">
        <v>517</v>
      </c>
      <c r="K138" t="s">
        <v>518</v>
      </c>
      <c r="L138" t="s">
        <v>519</v>
      </c>
      <c r="M138" t="s">
        <v>62</v>
      </c>
      <c r="N138" t="s">
        <v>520</v>
      </c>
      <c r="P138">
        <f t="shared" si="4"/>
        <v>1</v>
      </c>
      <c r="Q138" t="str">
        <f>IF(AND(P138&gt;1,COUNTIF($E$6:E138,E138)=1),MAX($Q$5:Q137)+1,"")</f>
        <v/>
      </c>
      <c r="R138" t="str">
        <f t="shared" si="5"/>
        <v/>
      </c>
    </row>
    <row r="139" spans="1:18" ht="22.95" customHeight="1">
      <c r="A139" t="s">
        <v>294</v>
      </c>
      <c r="B139" t="s">
        <v>21</v>
      </c>
      <c r="C139" t="s">
        <v>239</v>
      </c>
      <c r="D139" t="s">
        <v>147</v>
      </c>
      <c r="E139" t="s">
        <v>521</v>
      </c>
      <c r="F139">
        <v>1</v>
      </c>
      <c r="I139" t="s">
        <v>517</v>
      </c>
      <c r="K139" t="s">
        <v>518</v>
      </c>
      <c r="L139" t="s">
        <v>522</v>
      </c>
      <c r="M139" t="s">
        <v>62</v>
      </c>
      <c r="N139" t="s">
        <v>520</v>
      </c>
      <c r="P139">
        <f t="shared" si="4"/>
        <v>1</v>
      </c>
      <c r="Q139" t="str">
        <f>IF(AND(P139&gt;1,COUNTIF($E$6:E139,E139)=1),MAX($Q$5:Q138)+1,"")</f>
        <v/>
      </c>
      <c r="R139" t="str">
        <f t="shared" si="5"/>
        <v/>
      </c>
    </row>
    <row r="140" spans="1:18" ht="22.95" customHeight="1">
      <c r="A140" t="s">
        <v>294</v>
      </c>
      <c r="B140" t="s">
        <v>21</v>
      </c>
      <c r="C140" t="s">
        <v>239</v>
      </c>
      <c r="D140" t="s">
        <v>147</v>
      </c>
      <c r="E140" t="s">
        <v>523</v>
      </c>
      <c r="F140">
        <v>1</v>
      </c>
      <c r="G140" t="s">
        <v>249</v>
      </c>
      <c r="H140" t="s">
        <v>524</v>
      </c>
      <c r="I140" t="s">
        <v>501</v>
      </c>
      <c r="L140" t="s">
        <v>525</v>
      </c>
      <c r="M140" t="s">
        <v>62</v>
      </c>
      <c r="N140" t="s">
        <v>130</v>
      </c>
      <c r="P140">
        <f t="shared" si="4"/>
        <v>1</v>
      </c>
      <c r="Q140" t="str">
        <f>IF(AND(P140&gt;1,COUNTIF($E$6:E140,E140)=1),MAX($Q$5:Q139)+1,"")</f>
        <v/>
      </c>
      <c r="R140" t="str">
        <f t="shared" si="5"/>
        <v/>
      </c>
    </row>
    <row r="141" spans="1:18" ht="22.95" customHeight="1">
      <c r="A141" t="s">
        <v>294</v>
      </c>
      <c r="B141" t="s">
        <v>21</v>
      </c>
      <c r="C141" t="s">
        <v>239</v>
      </c>
      <c r="D141" t="s">
        <v>147</v>
      </c>
      <c r="E141" t="s">
        <v>526</v>
      </c>
      <c r="F141">
        <v>1</v>
      </c>
      <c r="G141" t="s">
        <v>527</v>
      </c>
      <c r="H141" t="s">
        <v>528</v>
      </c>
      <c r="I141" t="s">
        <v>529</v>
      </c>
      <c r="L141" t="s">
        <v>530</v>
      </c>
      <c r="M141" t="s">
        <v>62</v>
      </c>
      <c r="N141" t="s">
        <v>187</v>
      </c>
      <c r="P141">
        <f t="shared" si="4"/>
        <v>1</v>
      </c>
      <c r="Q141" t="str">
        <f>IF(AND(P141&gt;1,COUNTIF($E$6:E141,E141)=1),MAX($Q$5:Q140)+1,"")</f>
        <v/>
      </c>
      <c r="R141" t="str">
        <f t="shared" si="5"/>
        <v/>
      </c>
    </row>
    <row r="142" spans="1:18" ht="22.95" customHeight="1">
      <c r="A142" t="s">
        <v>294</v>
      </c>
      <c r="B142" t="s">
        <v>20</v>
      </c>
      <c r="C142" t="s">
        <v>55</v>
      </c>
      <c r="D142" t="s">
        <v>56</v>
      </c>
      <c r="E142" t="s">
        <v>332</v>
      </c>
      <c r="F142">
        <v>1</v>
      </c>
      <c r="G142" t="s">
        <v>311</v>
      </c>
      <c r="H142" t="s">
        <v>312</v>
      </c>
      <c r="I142" t="s">
        <v>351</v>
      </c>
      <c r="K142" t="s">
        <v>320</v>
      </c>
      <c r="L142" t="s">
        <v>326</v>
      </c>
      <c r="M142" t="s">
        <v>62</v>
      </c>
      <c r="N142" t="s">
        <v>130</v>
      </c>
      <c r="P142">
        <f t="shared" si="4"/>
        <v>2</v>
      </c>
      <c r="Q142" t="str">
        <f>IF(AND(P142&gt;1,COUNTIF($E$6:E142,E142)=1),MAX($Q$5:Q141)+1,"")</f>
        <v/>
      </c>
      <c r="R142" t="str">
        <f t="shared" si="5"/>
        <v/>
      </c>
    </row>
    <row r="143" spans="1:18" ht="22.95" customHeight="1">
      <c r="A143" t="s">
        <v>531</v>
      </c>
      <c r="B143" t="s">
        <v>20</v>
      </c>
      <c r="C143" t="s">
        <v>55</v>
      </c>
      <c r="D143" t="s">
        <v>56</v>
      </c>
      <c r="E143" t="s">
        <v>532</v>
      </c>
      <c r="F143">
        <v>1</v>
      </c>
      <c r="G143" t="s">
        <v>296</v>
      </c>
      <c r="H143" t="s">
        <v>533</v>
      </c>
      <c r="I143" t="s">
        <v>141</v>
      </c>
      <c r="K143" t="s">
        <v>406</v>
      </c>
      <c r="L143" t="s">
        <v>534</v>
      </c>
      <c r="M143" t="s">
        <v>62</v>
      </c>
      <c r="N143" t="s">
        <v>299</v>
      </c>
      <c r="P143">
        <f t="shared" si="4"/>
        <v>2</v>
      </c>
      <c r="Q143">
        <f>IF(AND(P143&gt;1,COUNTIF($E$6:E143,E143)=1),MAX($Q$5:Q142)+1,"")</f>
        <v>4</v>
      </c>
      <c r="R143" t="str">
        <f t="shared" si="5"/>
        <v>LÉGITIME</v>
      </c>
    </row>
    <row r="144" spans="1:18" ht="22.95" customHeight="1">
      <c r="A144" t="s">
        <v>531</v>
      </c>
      <c r="B144" t="s">
        <v>20</v>
      </c>
      <c r="C144" t="s">
        <v>55</v>
      </c>
      <c r="D144" t="s">
        <v>56</v>
      </c>
      <c r="E144" t="s">
        <v>535</v>
      </c>
      <c r="F144">
        <v>1</v>
      </c>
      <c r="G144" t="s">
        <v>296</v>
      </c>
      <c r="H144" t="s">
        <v>533</v>
      </c>
      <c r="I144" t="s">
        <v>141</v>
      </c>
      <c r="K144" t="s">
        <v>406</v>
      </c>
      <c r="L144" t="s">
        <v>536</v>
      </c>
      <c r="M144" t="s">
        <v>62</v>
      </c>
      <c r="N144" t="s">
        <v>299</v>
      </c>
      <c r="P144">
        <f t="shared" si="4"/>
        <v>1</v>
      </c>
      <c r="Q144" t="str">
        <f>IF(AND(P144&gt;1,COUNTIF($E$6:E144,E144)=1),MAX($Q$5:Q143)+1,"")</f>
        <v/>
      </c>
      <c r="R144" t="str">
        <f t="shared" si="5"/>
        <v/>
      </c>
    </row>
    <row r="145" spans="1:18" ht="22.95" customHeight="1">
      <c r="A145" t="s">
        <v>531</v>
      </c>
      <c r="B145" t="s">
        <v>20</v>
      </c>
      <c r="C145" t="s">
        <v>55</v>
      </c>
      <c r="D145" t="s">
        <v>56</v>
      </c>
      <c r="E145" t="s">
        <v>537</v>
      </c>
      <c r="F145">
        <v>1</v>
      </c>
      <c r="G145" t="s">
        <v>296</v>
      </c>
      <c r="H145" t="s">
        <v>533</v>
      </c>
      <c r="I145" t="s">
        <v>141</v>
      </c>
      <c r="K145" t="s">
        <v>406</v>
      </c>
      <c r="L145" t="s">
        <v>538</v>
      </c>
      <c r="M145" t="s">
        <v>62</v>
      </c>
      <c r="N145" t="s">
        <v>299</v>
      </c>
      <c r="P145">
        <f t="shared" si="4"/>
        <v>2</v>
      </c>
      <c r="Q145">
        <f>IF(AND(P145&gt;1,COUNTIF($E$6:E145,E145)=1),MAX($Q$5:Q144)+1,"")</f>
        <v>5</v>
      </c>
      <c r="R145" t="str">
        <f t="shared" si="5"/>
        <v>LÉGITIME</v>
      </c>
    </row>
    <row r="146" spans="1:18" ht="22.95" customHeight="1">
      <c r="A146" t="s">
        <v>531</v>
      </c>
      <c r="B146" t="s">
        <v>20</v>
      </c>
      <c r="C146" t="s">
        <v>55</v>
      </c>
      <c r="D146" t="s">
        <v>56</v>
      </c>
      <c r="E146" t="s">
        <v>539</v>
      </c>
      <c r="F146">
        <v>1</v>
      </c>
      <c r="G146" t="s">
        <v>296</v>
      </c>
      <c r="H146" t="s">
        <v>533</v>
      </c>
      <c r="I146" t="s">
        <v>141</v>
      </c>
      <c r="K146" t="s">
        <v>406</v>
      </c>
      <c r="L146" t="s">
        <v>540</v>
      </c>
      <c r="M146" t="s">
        <v>62</v>
      </c>
      <c r="N146" t="s">
        <v>299</v>
      </c>
      <c r="P146">
        <f t="shared" si="4"/>
        <v>2</v>
      </c>
      <c r="Q146">
        <f>IF(AND(P146&gt;1,COUNTIF($E$6:E146,E146)=1),MAX($Q$5:Q145)+1,"")</f>
        <v>6</v>
      </c>
      <c r="R146" t="str">
        <f t="shared" si="5"/>
        <v>LÉGITIME</v>
      </c>
    </row>
    <row r="147" spans="1:18" ht="22.95" customHeight="1">
      <c r="A147" t="s">
        <v>531</v>
      </c>
      <c r="B147" t="s">
        <v>20</v>
      </c>
      <c r="C147" t="s">
        <v>55</v>
      </c>
      <c r="D147" t="s">
        <v>56</v>
      </c>
      <c r="E147" t="s">
        <v>541</v>
      </c>
      <c r="F147">
        <v>1</v>
      </c>
      <c r="G147" t="s">
        <v>296</v>
      </c>
      <c r="H147" t="s">
        <v>533</v>
      </c>
      <c r="I147" t="s">
        <v>141</v>
      </c>
      <c r="K147" t="s">
        <v>406</v>
      </c>
      <c r="L147" t="s">
        <v>538</v>
      </c>
      <c r="M147" t="s">
        <v>62</v>
      </c>
      <c r="N147" t="s">
        <v>299</v>
      </c>
      <c r="P147">
        <f t="shared" si="4"/>
        <v>2</v>
      </c>
      <c r="Q147">
        <f>IF(AND(P147&gt;1,COUNTIF($E$6:E147,E147)=1),MAX($Q$5:Q146)+1,"")</f>
        <v>7</v>
      </c>
      <c r="R147" t="str">
        <f t="shared" si="5"/>
        <v>LÉGITIME</v>
      </c>
    </row>
    <row r="148" spans="1:18" ht="22.95" customHeight="1">
      <c r="A148" t="s">
        <v>531</v>
      </c>
      <c r="B148" t="s">
        <v>20</v>
      </c>
      <c r="C148" t="s">
        <v>55</v>
      </c>
      <c r="D148" t="s">
        <v>56</v>
      </c>
      <c r="E148" t="s">
        <v>542</v>
      </c>
      <c r="F148">
        <v>1</v>
      </c>
      <c r="G148" t="s">
        <v>296</v>
      </c>
      <c r="H148" t="s">
        <v>533</v>
      </c>
      <c r="I148" t="s">
        <v>141</v>
      </c>
      <c r="K148" t="s">
        <v>406</v>
      </c>
      <c r="L148" t="s">
        <v>538</v>
      </c>
      <c r="M148" t="s">
        <v>62</v>
      </c>
      <c r="N148" t="s">
        <v>299</v>
      </c>
      <c r="P148">
        <f t="shared" si="4"/>
        <v>2</v>
      </c>
      <c r="Q148">
        <f>IF(AND(P148&gt;1,COUNTIF($E$6:E148,E148)=1),MAX($Q$5:Q147)+1,"")</f>
        <v>8</v>
      </c>
      <c r="R148" t="str">
        <f t="shared" si="5"/>
        <v>LÉGITIME</v>
      </c>
    </row>
    <row r="149" spans="1:18" ht="22.95" customHeight="1">
      <c r="A149" t="s">
        <v>531</v>
      </c>
      <c r="B149" t="s">
        <v>20</v>
      </c>
      <c r="C149" t="s">
        <v>65</v>
      </c>
      <c r="D149" t="s">
        <v>66</v>
      </c>
      <c r="E149" t="s">
        <v>543</v>
      </c>
      <c r="F149">
        <v>1</v>
      </c>
      <c r="G149" t="s">
        <v>58</v>
      </c>
      <c r="H149" t="s">
        <v>544</v>
      </c>
      <c r="I149" t="s">
        <v>545</v>
      </c>
      <c r="J149" t="s">
        <v>245</v>
      </c>
      <c r="L149" t="s">
        <v>546</v>
      </c>
      <c r="M149" t="s">
        <v>73</v>
      </c>
      <c r="P149">
        <f t="shared" si="4"/>
        <v>1</v>
      </c>
      <c r="Q149" t="str">
        <f>IF(AND(P149&gt;1,COUNTIF($E$6:E149,E149)=1),MAX($Q$5:Q148)+1,"")</f>
        <v/>
      </c>
      <c r="R149" t="str">
        <f t="shared" si="5"/>
        <v/>
      </c>
    </row>
    <row r="150" spans="1:18" ht="22.95" customHeight="1">
      <c r="A150" t="s">
        <v>531</v>
      </c>
      <c r="B150" t="s">
        <v>20</v>
      </c>
      <c r="C150" t="s">
        <v>65</v>
      </c>
      <c r="D150" t="s">
        <v>66</v>
      </c>
      <c r="E150" t="s">
        <v>547</v>
      </c>
      <c r="F150">
        <v>1</v>
      </c>
      <c r="G150" t="s">
        <v>58</v>
      </c>
      <c r="H150" t="s">
        <v>544</v>
      </c>
      <c r="I150" t="s">
        <v>548</v>
      </c>
      <c r="J150" t="s">
        <v>245</v>
      </c>
      <c r="L150" t="s">
        <v>549</v>
      </c>
      <c r="M150" t="s">
        <v>73</v>
      </c>
      <c r="P150">
        <f t="shared" si="4"/>
        <v>1</v>
      </c>
      <c r="Q150" t="str">
        <f>IF(AND(P150&gt;1,COUNTIF($E$6:E150,E150)=1),MAX($Q$5:Q149)+1,"")</f>
        <v/>
      </c>
      <c r="R150" t="str">
        <f t="shared" si="5"/>
        <v/>
      </c>
    </row>
    <row r="151" spans="1:18" ht="22.95" customHeight="1">
      <c r="A151" t="s">
        <v>531</v>
      </c>
      <c r="B151" t="s">
        <v>20</v>
      </c>
      <c r="C151" t="s">
        <v>65</v>
      </c>
      <c r="D151" t="s">
        <v>66</v>
      </c>
      <c r="E151" t="s">
        <v>550</v>
      </c>
      <c r="F151">
        <v>1</v>
      </c>
      <c r="G151" t="s">
        <v>92</v>
      </c>
      <c r="I151" t="s">
        <v>140</v>
      </c>
      <c r="K151" t="s">
        <v>551</v>
      </c>
      <c r="L151" t="s">
        <v>552</v>
      </c>
      <c r="M151" t="s">
        <v>73</v>
      </c>
      <c r="P151">
        <f t="shared" si="4"/>
        <v>1</v>
      </c>
      <c r="Q151" t="str">
        <f>IF(AND(P151&gt;1,COUNTIF($E$6:E151,E151)=1),MAX($Q$5:Q150)+1,"")</f>
        <v/>
      </c>
      <c r="R151" t="str">
        <f t="shared" si="5"/>
        <v/>
      </c>
    </row>
    <row r="152" spans="1:18" ht="22.95" customHeight="1">
      <c r="A152" t="s">
        <v>531</v>
      </c>
      <c r="B152" t="s">
        <v>20</v>
      </c>
      <c r="C152" t="s">
        <v>65</v>
      </c>
      <c r="D152" t="s">
        <v>66</v>
      </c>
      <c r="E152" t="s">
        <v>553</v>
      </c>
      <c r="F152">
        <v>1</v>
      </c>
      <c r="G152" t="s">
        <v>92</v>
      </c>
      <c r="I152" t="s">
        <v>554</v>
      </c>
      <c r="K152" t="s">
        <v>555</v>
      </c>
      <c r="L152" t="s">
        <v>556</v>
      </c>
      <c r="M152" t="s">
        <v>102</v>
      </c>
      <c r="P152">
        <f t="shared" si="4"/>
        <v>1</v>
      </c>
      <c r="Q152" t="str">
        <f>IF(AND(P152&gt;1,COUNTIF($E$6:E152,E152)=1),MAX($Q$5:Q151)+1,"")</f>
        <v/>
      </c>
      <c r="R152" t="str">
        <f t="shared" si="5"/>
        <v/>
      </c>
    </row>
    <row r="153" spans="1:18" ht="22.95" customHeight="1">
      <c r="A153" t="s">
        <v>531</v>
      </c>
      <c r="B153" t="s">
        <v>20</v>
      </c>
      <c r="C153" t="s">
        <v>65</v>
      </c>
      <c r="D153" t="s">
        <v>66</v>
      </c>
      <c r="E153" t="s">
        <v>557</v>
      </c>
      <c r="F153">
        <v>1</v>
      </c>
      <c r="G153" t="s">
        <v>92</v>
      </c>
      <c r="I153" t="s">
        <v>554</v>
      </c>
      <c r="K153" t="s">
        <v>555</v>
      </c>
      <c r="L153" t="s">
        <v>556</v>
      </c>
      <c r="M153" t="s">
        <v>102</v>
      </c>
      <c r="P153">
        <f t="shared" si="4"/>
        <v>1</v>
      </c>
      <c r="Q153" t="str">
        <f>IF(AND(P153&gt;1,COUNTIF($E$6:E153,E153)=1),MAX($Q$5:Q152)+1,"")</f>
        <v/>
      </c>
      <c r="R153" t="str">
        <f t="shared" si="5"/>
        <v/>
      </c>
    </row>
    <row r="154" spans="1:18" ht="22.95" customHeight="1">
      <c r="A154" t="s">
        <v>531</v>
      </c>
      <c r="B154" t="s">
        <v>20</v>
      </c>
      <c r="C154" t="s">
        <v>65</v>
      </c>
      <c r="D154" t="s">
        <v>66</v>
      </c>
      <c r="E154" t="s">
        <v>558</v>
      </c>
      <c r="F154">
        <v>1</v>
      </c>
      <c r="G154" t="s">
        <v>92</v>
      </c>
      <c r="I154" t="s">
        <v>140</v>
      </c>
      <c r="K154" t="s">
        <v>559</v>
      </c>
      <c r="L154" t="s">
        <v>552</v>
      </c>
      <c r="M154" t="s">
        <v>73</v>
      </c>
      <c r="P154">
        <f t="shared" si="4"/>
        <v>1</v>
      </c>
      <c r="Q154" t="str">
        <f>IF(AND(P154&gt;1,COUNTIF($E$6:E154,E154)=1),MAX($Q$5:Q153)+1,"")</f>
        <v/>
      </c>
      <c r="R154" t="str">
        <f t="shared" si="5"/>
        <v/>
      </c>
    </row>
    <row r="155" spans="1:18" ht="22.95" customHeight="1">
      <c r="A155" t="s">
        <v>531</v>
      </c>
      <c r="B155" t="s">
        <v>22</v>
      </c>
      <c r="C155" t="s">
        <v>370</v>
      </c>
      <c r="D155" t="s">
        <v>371</v>
      </c>
      <c r="E155" t="s">
        <v>560</v>
      </c>
      <c r="F155">
        <v>1</v>
      </c>
      <c r="G155" t="s">
        <v>561</v>
      </c>
      <c r="H155" t="s">
        <v>562</v>
      </c>
      <c r="I155" t="s">
        <v>563</v>
      </c>
      <c r="K155" t="s">
        <v>109</v>
      </c>
      <c r="L155" t="s">
        <v>564</v>
      </c>
      <c r="M155" t="s">
        <v>73</v>
      </c>
      <c r="P155">
        <f t="shared" si="4"/>
        <v>1</v>
      </c>
      <c r="Q155" t="str">
        <f>IF(AND(P155&gt;1,COUNTIF($E$6:E155,E155)=1),MAX($Q$5:Q154)+1,"")</f>
        <v/>
      </c>
      <c r="R155" t="str">
        <f t="shared" si="5"/>
        <v/>
      </c>
    </row>
    <row r="156" spans="1:18" ht="22.95" customHeight="1">
      <c r="A156" t="s">
        <v>531</v>
      </c>
      <c r="B156" t="s">
        <v>22</v>
      </c>
      <c r="C156" t="s">
        <v>370</v>
      </c>
      <c r="D156" t="s">
        <v>371</v>
      </c>
      <c r="E156" t="s">
        <v>565</v>
      </c>
      <c r="F156">
        <v>1</v>
      </c>
      <c r="G156" t="s">
        <v>92</v>
      </c>
      <c r="I156" t="s">
        <v>566</v>
      </c>
      <c r="K156" t="s">
        <v>567</v>
      </c>
      <c r="L156" t="s">
        <v>568</v>
      </c>
      <c r="M156" t="s">
        <v>73</v>
      </c>
      <c r="P156">
        <f t="shared" si="4"/>
        <v>1</v>
      </c>
      <c r="Q156" t="str">
        <f>IF(AND(P156&gt;1,COUNTIF($E$6:E156,E156)=1),MAX($Q$5:Q155)+1,"")</f>
        <v/>
      </c>
      <c r="R156" t="str">
        <f t="shared" si="5"/>
        <v/>
      </c>
    </row>
    <row r="157" spans="1:18" ht="22.95" customHeight="1">
      <c r="A157" t="s">
        <v>531</v>
      </c>
      <c r="B157" t="s">
        <v>22</v>
      </c>
      <c r="C157" t="s">
        <v>370</v>
      </c>
      <c r="D157" t="s">
        <v>371</v>
      </c>
      <c r="E157" t="s">
        <v>569</v>
      </c>
      <c r="F157">
        <v>1</v>
      </c>
      <c r="G157" t="s">
        <v>92</v>
      </c>
      <c r="I157" t="s">
        <v>570</v>
      </c>
      <c r="K157" t="s">
        <v>571</v>
      </c>
      <c r="L157" t="s">
        <v>568</v>
      </c>
      <c r="M157" t="s">
        <v>73</v>
      </c>
      <c r="P157">
        <f t="shared" si="4"/>
        <v>1</v>
      </c>
      <c r="Q157" t="str">
        <f>IF(AND(P157&gt;1,COUNTIF($E$6:E157,E157)=1),MAX($Q$5:Q156)+1,"")</f>
        <v/>
      </c>
      <c r="R157" t="str">
        <f t="shared" si="5"/>
        <v/>
      </c>
    </row>
    <row r="158" spans="1:18" ht="22.95" customHeight="1">
      <c r="A158" t="s">
        <v>531</v>
      </c>
      <c r="B158" t="s">
        <v>22</v>
      </c>
      <c r="C158" t="s">
        <v>370</v>
      </c>
      <c r="D158" t="s">
        <v>371</v>
      </c>
      <c r="E158" t="s">
        <v>572</v>
      </c>
      <c r="F158">
        <v>1</v>
      </c>
      <c r="G158" t="s">
        <v>92</v>
      </c>
      <c r="I158" t="s">
        <v>573</v>
      </c>
      <c r="K158" t="s">
        <v>574</v>
      </c>
      <c r="L158" t="s">
        <v>568</v>
      </c>
      <c r="M158" t="s">
        <v>73</v>
      </c>
      <c r="P158">
        <f t="shared" si="4"/>
        <v>1</v>
      </c>
      <c r="Q158" t="str">
        <f>IF(AND(P158&gt;1,COUNTIF($E$6:E158,E158)=1),MAX($Q$5:Q157)+1,"")</f>
        <v/>
      </c>
      <c r="R158" t="str">
        <f t="shared" si="5"/>
        <v/>
      </c>
    </row>
    <row r="159" spans="1:18" ht="22.95" customHeight="1">
      <c r="A159" t="s">
        <v>531</v>
      </c>
      <c r="B159" t="s">
        <v>22</v>
      </c>
      <c r="C159" t="s">
        <v>370</v>
      </c>
      <c r="D159" t="s">
        <v>371</v>
      </c>
      <c r="E159" t="s">
        <v>575</v>
      </c>
      <c r="F159">
        <v>1</v>
      </c>
      <c r="G159" t="s">
        <v>92</v>
      </c>
      <c r="I159" t="s">
        <v>576</v>
      </c>
      <c r="K159" t="s">
        <v>574</v>
      </c>
      <c r="L159" t="s">
        <v>568</v>
      </c>
      <c r="M159" t="s">
        <v>73</v>
      </c>
      <c r="P159">
        <f t="shared" si="4"/>
        <v>1</v>
      </c>
      <c r="Q159" t="str">
        <f>IF(AND(P159&gt;1,COUNTIF($E$6:E159,E159)=1),MAX($Q$5:Q158)+1,"")</f>
        <v/>
      </c>
      <c r="R159" t="str">
        <f t="shared" si="5"/>
        <v/>
      </c>
    </row>
    <row r="160" spans="1:18" ht="22.95" customHeight="1">
      <c r="A160" t="s">
        <v>531</v>
      </c>
      <c r="B160" t="s">
        <v>22</v>
      </c>
      <c r="C160" t="s">
        <v>370</v>
      </c>
      <c r="D160" t="s">
        <v>371</v>
      </c>
      <c r="E160" t="s">
        <v>577</v>
      </c>
      <c r="F160">
        <v>1</v>
      </c>
      <c r="G160" t="s">
        <v>92</v>
      </c>
      <c r="I160" t="s">
        <v>576</v>
      </c>
      <c r="K160" t="s">
        <v>574</v>
      </c>
      <c r="L160" t="s">
        <v>568</v>
      </c>
      <c r="M160" t="s">
        <v>73</v>
      </c>
      <c r="P160">
        <f t="shared" si="4"/>
        <v>1</v>
      </c>
      <c r="Q160" t="str">
        <f>IF(AND(P160&gt;1,COUNTIF($E$6:E160,E160)=1),MAX($Q$5:Q159)+1,"")</f>
        <v/>
      </c>
      <c r="R160" t="str">
        <f t="shared" si="5"/>
        <v/>
      </c>
    </row>
    <row r="161" spans="1:18" ht="22.95" customHeight="1">
      <c r="A161" t="s">
        <v>531</v>
      </c>
      <c r="B161" t="s">
        <v>22</v>
      </c>
      <c r="C161" t="s">
        <v>370</v>
      </c>
      <c r="D161" t="s">
        <v>371</v>
      </c>
      <c r="E161" t="s">
        <v>578</v>
      </c>
      <c r="F161">
        <v>1</v>
      </c>
      <c r="G161" t="s">
        <v>92</v>
      </c>
      <c r="I161" t="s">
        <v>406</v>
      </c>
      <c r="K161" t="s">
        <v>579</v>
      </c>
      <c r="L161" t="s">
        <v>580</v>
      </c>
      <c r="M161" t="s">
        <v>102</v>
      </c>
      <c r="P161">
        <f t="shared" si="4"/>
        <v>1</v>
      </c>
      <c r="Q161" t="str">
        <f>IF(AND(P161&gt;1,COUNTIF($E$6:E161,E161)=1),MAX($Q$5:Q160)+1,"")</f>
        <v/>
      </c>
      <c r="R161" t="str">
        <f t="shared" si="5"/>
        <v/>
      </c>
    </row>
    <row r="162" spans="1:18" ht="22.95" customHeight="1">
      <c r="A162" t="s">
        <v>531</v>
      </c>
      <c r="B162" t="s">
        <v>22</v>
      </c>
      <c r="C162" t="s">
        <v>370</v>
      </c>
      <c r="D162" t="s">
        <v>371</v>
      </c>
      <c r="E162" t="s">
        <v>581</v>
      </c>
      <c r="F162">
        <v>1</v>
      </c>
      <c r="G162" t="s">
        <v>92</v>
      </c>
      <c r="I162" t="s">
        <v>406</v>
      </c>
      <c r="J162" t="s">
        <v>582</v>
      </c>
      <c r="K162" t="s">
        <v>583</v>
      </c>
      <c r="L162" t="s">
        <v>584</v>
      </c>
      <c r="M162" t="s">
        <v>73</v>
      </c>
      <c r="P162">
        <f t="shared" si="4"/>
        <v>1</v>
      </c>
      <c r="Q162" t="str">
        <f>IF(AND(P162&gt;1,COUNTIF($E$6:E162,E162)=1),MAX($Q$5:Q161)+1,"")</f>
        <v/>
      </c>
      <c r="R162" t="str">
        <f t="shared" si="5"/>
        <v/>
      </c>
    </row>
    <row r="163" spans="1:18" ht="22.95" customHeight="1">
      <c r="A163" t="s">
        <v>531</v>
      </c>
      <c r="B163" t="s">
        <v>22</v>
      </c>
      <c r="C163" t="s">
        <v>370</v>
      </c>
      <c r="D163" t="s">
        <v>371</v>
      </c>
      <c r="E163" t="s">
        <v>585</v>
      </c>
      <c r="F163">
        <v>1</v>
      </c>
      <c r="G163" t="s">
        <v>92</v>
      </c>
      <c r="I163" t="s">
        <v>406</v>
      </c>
      <c r="K163" t="s">
        <v>586</v>
      </c>
      <c r="L163" t="s">
        <v>587</v>
      </c>
      <c r="M163" t="s">
        <v>102</v>
      </c>
      <c r="P163">
        <f t="shared" si="4"/>
        <v>1</v>
      </c>
      <c r="Q163" t="str">
        <f>IF(AND(P163&gt;1,COUNTIF($E$6:E163,E163)=1),MAX($Q$5:Q162)+1,"")</f>
        <v/>
      </c>
      <c r="R163" t="str">
        <f t="shared" si="5"/>
        <v/>
      </c>
    </row>
    <row r="164" spans="1:18" ht="22.95" customHeight="1">
      <c r="A164" t="s">
        <v>531</v>
      </c>
      <c r="B164" t="s">
        <v>22</v>
      </c>
      <c r="C164" t="s">
        <v>89</v>
      </c>
      <c r="D164" t="s">
        <v>90</v>
      </c>
      <c r="E164" t="s">
        <v>588</v>
      </c>
      <c r="F164">
        <v>1</v>
      </c>
      <c r="G164" t="s">
        <v>589</v>
      </c>
      <c r="H164" t="s">
        <v>590</v>
      </c>
      <c r="I164" t="s">
        <v>140</v>
      </c>
      <c r="J164" t="s">
        <v>245</v>
      </c>
      <c r="K164" t="s">
        <v>591</v>
      </c>
      <c r="L164" t="s">
        <v>592</v>
      </c>
      <c r="M164" t="s">
        <v>62</v>
      </c>
      <c r="N164" t="s">
        <v>63</v>
      </c>
      <c r="P164">
        <f t="shared" si="4"/>
        <v>1</v>
      </c>
      <c r="Q164" t="str">
        <f>IF(AND(P164&gt;1,COUNTIF($E$6:E164,E164)=1),MAX($Q$5:Q163)+1,"")</f>
        <v/>
      </c>
      <c r="R164" t="str">
        <f t="shared" si="5"/>
        <v/>
      </c>
    </row>
    <row r="165" spans="1:18" ht="22.95" customHeight="1">
      <c r="A165" t="s">
        <v>531</v>
      </c>
      <c r="B165" t="s">
        <v>23</v>
      </c>
      <c r="C165" t="s">
        <v>103</v>
      </c>
      <c r="D165" t="s">
        <v>104</v>
      </c>
      <c r="E165" t="s">
        <v>593</v>
      </c>
      <c r="F165">
        <v>1</v>
      </c>
      <c r="G165" t="s">
        <v>386</v>
      </c>
      <c r="H165" t="s">
        <v>594</v>
      </c>
      <c r="I165" t="s">
        <v>595</v>
      </c>
      <c r="L165" t="s">
        <v>596</v>
      </c>
      <c r="M165" t="s">
        <v>73</v>
      </c>
      <c r="P165">
        <f t="shared" si="4"/>
        <v>1</v>
      </c>
      <c r="Q165" t="str">
        <f>IF(AND(P165&gt;1,COUNTIF($E$6:E165,E165)=1),MAX($Q$5:Q164)+1,"")</f>
        <v/>
      </c>
      <c r="R165" t="str">
        <f t="shared" si="5"/>
        <v/>
      </c>
    </row>
    <row r="166" spans="1:18" ht="22.95" customHeight="1">
      <c r="A166" t="s">
        <v>531</v>
      </c>
      <c r="B166" t="s">
        <v>23</v>
      </c>
      <c r="C166" t="s">
        <v>103</v>
      </c>
      <c r="D166" t="s">
        <v>104</v>
      </c>
      <c r="E166" t="s">
        <v>597</v>
      </c>
      <c r="F166">
        <v>1</v>
      </c>
      <c r="G166" t="s">
        <v>92</v>
      </c>
      <c r="I166" t="s">
        <v>598</v>
      </c>
      <c r="K166" t="s">
        <v>599</v>
      </c>
      <c r="L166" t="s">
        <v>600</v>
      </c>
      <c r="M166" t="s">
        <v>102</v>
      </c>
      <c r="P166">
        <f t="shared" si="4"/>
        <v>1</v>
      </c>
      <c r="Q166" t="str">
        <f>IF(AND(P166&gt;1,COUNTIF($E$6:E166,E166)=1),MAX($Q$5:Q165)+1,"")</f>
        <v/>
      </c>
      <c r="R166" t="str">
        <f t="shared" si="5"/>
        <v/>
      </c>
    </row>
    <row r="167" spans="1:18" ht="22.95" customHeight="1">
      <c r="A167" t="s">
        <v>531</v>
      </c>
      <c r="B167" t="s">
        <v>23</v>
      </c>
      <c r="C167" t="s">
        <v>103</v>
      </c>
      <c r="D167" t="s">
        <v>104</v>
      </c>
      <c r="E167" t="s">
        <v>601</v>
      </c>
      <c r="F167">
        <v>1</v>
      </c>
      <c r="G167" t="s">
        <v>92</v>
      </c>
      <c r="L167" t="s">
        <v>602</v>
      </c>
      <c r="M167" t="s">
        <v>102</v>
      </c>
      <c r="P167">
        <f t="shared" si="4"/>
        <v>1</v>
      </c>
      <c r="Q167" t="str">
        <f>IF(AND(P167&gt;1,COUNTIF($E$6:E167,E167)=1),MAX($Q$5:Q166)+1,"")</f>
        <v/>
      </c>
      <c r="R167" t="str">
        <f t="shared" si="5"/>
        <v/>
      </c>
    </row>
    <row r="168" spans="1:18" ht="22.95" customHeight="1">
      <c r="A168" t="s">
        <v>531</v>
      </c>
      <c r="B168" t="s">
        <v>25</v>
      </c>
      <c r="C168" t="s">
        <v>131</v>
      </c>
      <c r="D168" t="s">
        <v>132</v>
      </c>
      <c r="E168" t="s">
        <v>603</v>
      </c>
      <c r="F168">
        <v>1</v>
      </c>
      <c r="G168" t="s">
        <v>604</v>
      </c>
      <c r="H168" t="s">
        <v>605</v>
      </c>
      <c r="I168" t="s">
        <v>606</v>
      </c>
      <c r="L168" t="s">
        <v>607</v>
      </c>
      <c r="M168" t="s">
        <v>73</v>
      </c>
      <c r="P168">
        <f t="shared" si="4"/>
        <v>1</v>
      </c>
      <c r="Q168" t="str">
        <f>IF(AND(P168&gt;1,COUNTIF($E$6:E168,E168)=1),MAX($Q$5:Q167)+1,"")</f>
        <v/>
      </c>
      <c r="R168" t="str">
        <f t="shared" si="5"/>
        <v/>
      </c>
    </row>
    <row r="169" spans="1:18" ht="22.95" customHeight="1">
      <c r="A169" t="s">
        <v>531</v>
      </c>
      <c r="B169" t="s">
        <v>25</v>
      </c>
      <c r="C169" t="s">
        <v>131</v>
      </c>
      <c r="D169" t="s">
        <v>132</v>
      </c>
      <c r="E169" t="s">
        <v>608</v>
      </c>
      <c r="F169">
        <v>1</v>
      </c>
      <c r="G169" t="s">
        <v>604</v>
      </c>
      <c r="H169" t="s">
        <v>605</v>
      </c>
      <c r="I169" t="s">
        <v>606</v>
      </c>
      <c r="L169" t="s">
        <v>607</v>
      </c>
      <c r="M169" t="s">
        <v>73</v>
      </c>
      <c r="P169">
        <f t="shared" si="4"/>
        <v>1</v>
      </c>
      <c r="Q169" t="str">
        <f>IF(AND(P169&gt;1,COUNTIF($E$6:E169,E169)=1),MAX($Q$5:Q168)+1,"")</f>
        <v/>
      </c>
      <c r="R169" t="str">
        <f t="shared" si="5"/>
        <v/>
      </c>
    </row>
    <row r="170" spans="1:18" ht="22.95" customHeight="1">
      <c r="A170" t="s">
        <v>531</v>
      </c>
      <c r="B170" t="s">
        <v>25</v>
      </c>
      <c r="C170" t="s">
        <v>131</v>
      </c>
      <c r="D170" t="s">
        <v>132</v>
      </c>
      <c r="E170" t="s">
        <v>609</v>
      </c>
      <c r="F170">
        <v>1</v>
      </c>
      <c r="G170" t="s">
        <v>604</v>
      </c>
      <c r="H170" t="s">
        <v>605</v>
      </c>
      <c r="I170" t="s">
        <v>606</v>
      </c>
      <c r="L170" t="s">
        <v>607</v>
      </c>
      <c r="M170" t="s">
        <v>73</v>
      </c>
      <c r="P170">
        <f t="shared" si="4"/>
        <v>1</v>
      </c>
      <c r="Q170" t="str">
        <f>IF(AND(P170&gt;1,COUNTIF($E$6:E170,E170)=1),MAX($Q$5:Q169)+1,"")</f>
        <v/>
      </c>
      <c r="R170" t="str">
        <f t="shared" si="5"/>
        <v/>
      </c>
    </row>
    <row r="171" spans="1:18" ht="22.95" customHeight="1">
      <c r="A171" t="s">
        <v>531</v>
      </c>
      <c r="B171" t="s">
        <v>25</v>
      </c>
      <c r="C171" t="s">
        <v>131</v>
      </c>
      <c r="D171" t="s">
        <v>132</v>
      </c>
      <c r="E171" t="s">
        <v>610</v>
      </c>
      <c r="F171">
        <v>1</v>
      </c>
      <c r="G171" t="s">
        <v>604</v>
      </c>
      <c r="H171" t="s">
        <v>605</v>
      </c>
      <c r="I171" t="s">
        <v>606</v>
      </c>
      <c r="L171" t="s">
        <v>607</v>
      </c>
      <c r="M171" t="s">
        <v>73</v>
      </c>
      <c r="P171">
        <f t="shared" si="4"/>
        <v>1</v>
      </c>
      <c r="Q171" t="str">
        <f>IF(AND(P171&gt;1,COUNTIF($E$6:E171,E171)=1),MAX($Q$5:Q170)+1,"")</f>
        <v/>
      </c>
      <c r="R171" t="str">
        <f t="shared" si="5"/>
        <v/>
      </c>
    </row>
    <row r="172" spans="1:18" ht="22.95" customHeight="1">
      <c r="A172" t="s">
        <v>531</v>
      </c>
      <c r="B172" t="s">
        <v>25</v>
      </c>
      <c r="C172" t="s">
        <v>131</v>
      </c>
      <c r="D172" t="s">
        <v>132</v>
      </c>
      <c r="E172" t="s">
        <v>611</v>
      </c>
      <c r="F172">
        <v>1</v>
      </c>
      <c r="G172" t="s">
        <v>604</v>
      </c>
      <c r="H172" t="s">
        <v>605</v>
      </c>
      <c r="I172" t="s">
        <v>606</v>
      </c>
      <c r="L172" t="s">
        <v>607</v>
      </c>
      <c r="M172" t="s">
        <v>73</v>
      </c>
      <c r="P172">
        <f t="shared" si="4"/>
        <v>1</v>
      </c>
      <c r="Q172" t="str">
        <f>IF(AND(P172&gt;1,COUNTIF($E$6:E172,E172)=1),MAX($Q$5:Q171)+1,"")</f>
        <v/>
      </c>
      <c r="R172" t="str">
        <f t="shared" si="5"/>
        <v/>
      </c>
    </row>
    <row r="173" spans="1:18" ht="22.95" customHeight="1">
      <c r="A173" t="s">
        <v>531</v>
      </c>
      <c r="B173" t="s">
        <v>25</v>
      </c>
      <c r="C173" t="s">
        <v>131</v>
      </c>
      <c r="D173" t="s">
        <v>132</v>
      </c>
      <c r="E173" t="s">
        <v>612</v>
      </c>
      <c r="F173">
        <v>1</v>
      </c>
      <c r="G173" t="s">
        <v>604</v>
      </c>
      <c r="H173" t="s">
        <v>605</v>
      </c>
      <c r="I173" t="s">
        <v>606</v>
      </c>
      <c r="L173" t="s">
        <v>607</v>
      </c>
      <c r="M173" t="s">
        <v>73</v>
      </c>
      <c r="P173">
        <f t="shared" si="4"/>
        <v>1</v>
      </c>
      <c r="Q173" t="str">
        <f>IF(AND(P173&gt;1,COUNTIF($E$6:E173,E173)=1),MAX($Q$5:Q172)+1,"")</f>
        <v/>
      </c>
      <c r="R173" t="str">
        <f t="shared" si="5"/>
        <v/>
      </c>
    </row>
    <row r="174" spans="1:18" ht="22.95" customHeight="1">
      <c r="A174" t="s">
        <v>531</v>
      </c>
      <c r="B174" t="s">
        <v>25</v>
      </c>
      <c r="C174" t="s">
        <v>131</v>
      </c>
      <c r="D174" t="s">
        <v>132</v>
      </c>
      <c r="E174" t="s">
        <v>613</v>
      </c>
      <c r="F174">
        <v>1</v>
      </c>
      <c r="G174" t="s">
        <v>604</v>
      </c>
      <c r="H174" t="s">
        <v>605</v>
      </c>
      <c r="I174" t="s">
        <v>606</v>
      </c>
      <c r="L174" t="s">
        <v>607</v>
      </c>
      <c r="M174" t="s">
        <v>73</v>
      </c>
      <c r="P174">
        <f t="shared" si="4"/>
        <v>1</v>
      </c>
      <c r="Q174" t="str">
        <f>IF(AND(P174&gt;1,COUNTIF($E$6:E174,E174)=1),MAX($Q$5:Q173)+1,"")</f>
        <v/>
      </c>
      <c r="R174" t="str">
        <f t="shared" si="5"/>
        <v/>
      </c>
    </row>
    <row r="175" spans="1:18" ht="22.95" customHeight="1">
      <c r="A175" t="s">
        <v>531</v>
      </c>
      <c r="B175" t="s">
        <v>25</v>
      </c>
      <c r="C175" t="s">
        <v>131</v>
      </c>
      <c r="D175" t="s">
        <v>132</v>
      </c>
      <c r="E175" t="s">
        <v>614</v>
      </c>
      <c r="F175">
        <v>1</v>
      </c>
      <c r="G175" t="s">
        <v>604</v>
      </c>
      <c r="H175" t="s">
        <v>605</v>
      </c>
      <c r="I175" t="s">
        <v>606</v>
      </c>
      <c r="L175" t="s">
        <v>607</v>
      </c>
      <c r="M175" t="s">
        <v>73</v>
      </c>
      <c r="P175">
        <f t="shared" si="4"/>
        <v>1</v>
      </c>
      <c r="Q175" t="str">
        <f>IF(AND(P175&gt;1,COUNTIF($E$6:E175,E175)=1),MAX($Q$5:Q174)+1,"")</f>
        <v/>
      </c>
      <c r="R175" t="str">
        <f t="shared" si="5"/>
        <v/>
      </c>
    </row>
    <row r="176" spans="1:18" ht="22.95" customHeight="1">
      <c r="A176" t="s">
        <v>531</v>
      </c>
      <c r="B176" t="s">
        <v>25</v>
      </c>
      <c r="C176" t="s">
        <v>131</v>
      </c>
      <c r="D176" t="s">
        <v>132</v>
      </c>
      <c r="E176" t="s">
        <v>615</v>
      </c>
      <c r="F176">
        <v>1</v>
      </c>
      <c r="G176" t="s">
        <v>604</v>
      </c>
      <c r="H176" t="s">
        <v>605</v>
      </c>
      <c r="I176" t="s">
        <v>606</v>
      </c>
      <c r="L176" t="s">
        <v>607</v>
      </c>
      <c r="M176" t="s">
        <v>73</v>
      </c>
      <c r="P176">
        <f t="shared" si="4"/>
        <v>1</v>
      </c>
      <c r="Q176" t="str">
        <f>IF(AND(P176&gt;1,COUNTIF($E$6:E176,E176)=1),MAX($Q$5:Q175)+1,"")</f>
        <v/>
      </c>
      <c r="R176" t="str">
        <f t="shared" si="5"/>
        <v/>
      </c>
    </row>
    <row r="177" spans="1:18" ht="22.95" customHeight="1">
      <c r="A177" t="s">
        <v>531</v>
      </c>
      <c r="B177" t="s">
        <v>25</v>
      </c>
      <c r="C177" t="s">
        <v>131</v>
      </c>
      <c r="D177" t="s">
        <v>132</v>
      </c>
      <c r="E177" t="s">
        <v>616</v>
      </c>
      <c r="F177">
        <v>1</v>
      </c>
      <c r="G177" t="s">
        <v>139</v>
      </c>
      <c r="I177" t="s">
        <v>140</v>
      </c>
      <c r="J177" t="s">
        <v>446</v>
      </c>
      <c r="K177" t="s">
        <v>617</v>
      </c>
      <c r="L177" t="s">
        <v>618</v>
      </c>
      <c r="M177" t="s">
        <v>102</v>
      </c>
      <c r="P177">
        <f t="shared" si="4"/>
        <v>1</v>
      </c>
      <c r="Q177" t="str">
        <f>IF(AND(P177&gt;1,COUNTIF($E$6:E177,E177)=1),MAX($Q$5:Q176)+1,"")</f>
        <v/>
      </c>
      <c r="R177" t="str">
        <f t="shared" si="5"/>
        <v/>
      </c>
    </row>
    <row r="178" spans="1:18" ht="22.95" customHeight="1">
      <c r="A178" t="s">
        <v>531</v>
      </c>
      <c r="B178" t="s">
        <v>24</v>
      </c>
      <c r="C178" t="s">
        <v>619</v>
      </c>
      <c r="D178" t="s">
        <v>116</v>
      </c>
      <c r="E178" t="s">
        <v>620</v>
      </c>
      <c r="F178">
        <v>1</v>
      </c>
      <c r="G178" t="s">
        <v>92</v>
      </c>
      <c r="I178" t="s">
        <v>621</v>
      </c>
      <c r="K178" t="s">
        <v>622</v>
      </c>
      <c r="L178" t="s">
        <v>623</v>
      </c>
      <c r="M178" t="s">
        <v>62</v>
      </c>
      <c r="N178" t="s">
        <v>624</v>
      </c>
      <c r="P178">
        <f t="shared" si="4"/>
        <v>1</v>
      </c>
      <c r="Q178" t="str">
        <f>IF(AND(P178&gt;1,COUNTIF($E$6:E178,E178)=1),MAX($Q$5:Q177)+1,"")</f>
        <v/>
      </c>
      <c r="R178" t="str">
        <f t="shared" si="5"/>
        <v/>
      </c>
    </row>
    <row r="179" spans="1:18" ht="22.95" customHeight="1">
      <c r="A179" t="s">
        <v>531</v>
      </c>
      <c r="B179" t="s">
        <v>24</v>
      </c>
      <c r="C179" t="s">
        <v>619</v>
      </c>
      <c r="D179" t="s">
        <v>116</v>
      </c>
      <c r="E179" t="s">
        <v>625</v>
      </c>
      <c r="F179">
        <v>1</v>
      </c>
      <c r="G179" t="s">
        <v>92</v>
      </c>
      <c r="I179" t="s">
        <v>626</v>
      </c>
      <c r="L179" t="s">
        <v>627</v>
      </c>
      <c r="M179" t="s">
        <v>62</v>
      </c>
      <c r="N179" t="s">
        <v>624</v>
      </c>
      <c r="P179">
        <f t="shared" si="4"/>
        <v>1</v>
      </c>
      <c r="Q179" t="str">
        <f>IF(AND(P179&gt;1,COUNTIF($E$6:E179,E179)=1),MAX($Q$5:Q178)+1,"")</f>
        <v/>
      </c>
      <c r="R179" t="str">
        <f t="shared" si="5"/>
        <v/>
      </c>
    </row>
    <row r="180" spans="1:18" ht="22.95" customHeight="1">
      <c r="A180" t="s">
        <v>531</v>
      </c>
      <c r="B180" t="s">
        <v>24</v>
      </c>
      <c r="C180" t="s">
        <v>619</v>
      </c>
      <c r="D180" t="s">
        <v>116</v>
      </c>
      <c r="E180" t="s">
        <v>628</v>
      </c>
      <c r="F180">
        <v>1</v>
      </c>
      <c r="G180" t="s">
        <v>629</v>
      </c>
      <c r="H180" t="s">
        <v>630</v>
      </c>
      <c r="I180" t="s">
        <v>626</v>
      </c>
      <c r="K180" t="s">
        <v>320</v>
      </c>
      <c r="L180" t="s">
        <v>631</v>
      </c>
      <c r="M180" t="s">
        <v>62</v>
      </c>
      <c r="N180" t="s">
        <v>624</v>
      </c>
      <c r="P180">
        <f t="shared" si="4"/>
        <v>1</v>
      </c>
      <c r="Q180" t="str">
        <f>IF(AND(P180&gt;1,COUNTIF($E$6:E180,E180)=1),MAX($Q$5:Q179)+1,"")</f>
        <v/>
      </c>
      <c r="R180" t="str">
        <f t="shared" si="5"/>
        <v/>
      </c>
    </row>
    <row r="181" spans="1:18" ht="22.95" customHeight="1">
      <c r="A181" t="s">
        <v>531</v>
      </c>
      <c r="B181" t="s">
        <v>24</v>
      </c>
      <c r="C181" t="s">
        <v>431</v>
      </c>
      <c r="D181" t="s">
        <v>216</v>
      </c>
      <c r="E181" t="s">
        <v>632</v>
      </c>
      <c r="F181">
        <v>1</v>
      </c>
      <c r="G181" t="s">
        <v>92</v>
      </c>
      <c r="I181" t="s">
        <v>633</v>
      </c>
      <c r="L181" t="s">
        <v>634</v>
      </c>
      <c r="M181" t="s">
        <v>62</v>
      </c>
      <c r="N181" t="s">
        <v>187</v>
      </c>
      <c r="P181">
        <f t="shared" si="4"/>
        <v>1</v>
      </c>
      <c r="Q181" t="str">
        <f>IF(AND(P181&gt;1,COUNTIF($E$6:E181,E181)=1),MAX($Q$5:Q180)+1,"")</f>
        <v/>
      </c>
      <c r="R181" t="str">
        <f t="shared" si="5"/>
        <v/>
      </c>
    </row>
    <row r="182" spans="1:18" ht="22.95" customHeight="1">
      <c r="A182" t="s">
        <v>531</v>
      </c>
      <c r="B182" t="s">
        <v>24</v>
      </c>
      <c r="C182" t="s">
        <v>431</v>
      </c>
      <c r="D182" t="s">
        <v>216</v>
      </c>
      <c r="E182" t="s">
        <v>635</v>
      </c>
      <c r="F182">
        <v>1</v>
      </c>
      <c r="G182" t="s">
        <v>92</v>
      </c>
      <c r="I182" t="s">
        <v>636</v>
      </c>
      <c r="K182" t="s">
        <v>637</v>
      </c>
      <c r="L182" t="s">
        <v>638</v>
      </c>
      <c r="M182" t="s">
        <v>62</v>
      </c>
      <c r="N182" t="s">
        <v>187</v>
      </c>
      <c r="P182">
        <f t="shared" si="4"/>
        <v>1</v>
      </c>
      <c r="Q182" t="str">
        <f>IF(AND(P182&gt;1,COUNTIF($E$6:E182,E182)=1),MAX($Q$5:Q181)+1,"")</f>
        <v/>
      </c>
      <c r="R182" t="str">
        <f t="shared" si="5"/>
        <v/>
      </c>
    </row>
    <row r="183" spans="1:18" ht="22.95" customHeight="1">
      <c r="A183" t="s">
        <v>531</v>
      </c>
      <c r="B183" t="s">
        <v>24</v>
      </c>
      <c r="C183" t="s">
        <v>431</v>
      </c>
      <c r="D183" t="s">
        <v>216</v>
      </c>
      <c r="E183" t="s">
        <v>639</v>
      </c>
      <c r="F183">
        <v>1</v>
      </c>
      <c r="G183" t="s">
        <v>640</v>
      </c>
      <c r="H183" t="s">
        <v>641</v>
      </c>
      <c r="I183" t="s">
        <v>642</v>
      </c>
      <c r="K183" t="s">
        <v>637</v>
      </c>
      <c r="L183" t="s">
        <v>643</v>
      </c>
      <c r="M183" t="s">
        <v>62</v>
      </c>
      <c r="N183" t="s">
        <v>187</v>
      </c>
      <c r="P183">
        <f t="shared" si="4"/>
        <v>1</v>
      </c>
      <c r="Q183" t="str">
        <f>IF(AND(P183&gt;1,COUNTIF($E$6:E183,E183)=1),MAX($Q$5:Q182)+1,"")</f>
        <v/>
      </c>
      <c r="R183" t="str">
        <f t="shared" si="5"/>
        <v/>
      </c>
    </row>
    <row r="184" spans="1:18" ht="22.95" customHeight="1">
      <c r="A184" t="s">
        <v>531</v>
      </c>
      <c r="B184" t="s">
        <v>24</v>
      </c>
      <c r="C184" t="s">
        <v>431</v>
      </c>
      <c r="D184" t="s">
        <v>216</v>
      </c>
      <c r="E184" t="s">
        <v>644</v>
      </c>
      <c r="F184">
        <v>1</v>
      </c>
      <c r="G184" t="s">
        <v>640</v>
      </c>
      <c r="H184" t="s">
        <v>641</v>
      </c>
      <c r="I184" t="s">
        <v>645</v>
      </c>
      <c r="K184" t="s">
        <v>637</v>
      </c>
      <c r="L184" t="s">
        <v>643</v>
      </c>
      <c r="M184" t="s">
        <v>62</v>
      </c>
      <c r="N184" t="s">
        <v>187</v>
      </c>
      <c r="P184">
        <f t="shared" si="4"/>
        <v>1</v>
      </c>
      <c r="Q184" t="str">
        <f>IF(AND(P184&gt;1,COUNTIF($E$6:E184,E184)=1),MAX($Q$5:Q183)+1,"")</f>
        <v/>
      </c>
      <c r="R184" t="str">
        <f t="shared" si="5"/>
        <v/>
      </c>
    </row>
    <row r="185" spans="1:18" ht="22.95" customHeight="1">
      <c r="A185" t="s">
        <v>531</v>
      </c>
      <c r="B185" t="s">
        <v>24</v>
      </c>
      <c r="C185" t="s">
        <v>431</v>
      </c>
      <c r="D185" t="s">
        <v>216</v>
      </c>
      <c r="E185" t="s">
        <v>646</v>
      </c>
      <c r="F185">
        <v>1</v>
      </c>
      <c r="G185" t="s">
        <v>640</v>
      </c>
      <c r="H185" t="s">
        <v>641</v>
      </c>
      <c r="I185" t="s">
        <v>642</v>
      </c>
      <c r="K185" t="s">
        <v>637</v>
      </c>
      <c r="L185" t="s">
        <v>643</v>
      </c>
      <c r="M185" t="s">
        <v>62</v>
      </c>
      <c r="N185" t="s">
        <v>187</v>
      </c>
      <c r="P185">
        <f t="shared" si="4"/>
        <v>1</v>
      </c>
      <c r="Q185" t="str">
        <f>IF(AND(P185&gt;1,COUNTIF($E$6:E185,E185)=1),MAX($Q$5:Q184)+1,"")</f>
        <v/>
      </c>
      <c r="R185" t="str">
        <f t="shared" si="5"/>
        <v/>
      </c>
    </row>
    <row r="186" spans="1:18" ht="22.95" customHeight="1">
      <c r="A186" t="s">
        <v>531</v>
      </c>
      <c r="B186" t="s">
        <v>24</v>
      </c>
      <c r="C186" t="s">
        <v>431</v>
      </c>
      <c r="D186" t="s">
        <v>216</v>
      </c>
      <c r="E186" t="s">
        <v>647</v>
      </c>
      <c r="F186">
        <v>1</v>
      </c>
      <c r="G186" t="s">
        <v>629</v>
      </c>
      <c r="H186" t="s">
        <v>630</v>
      </c>
      <c r="I186" t="s">
        <v>648</v>
      </c>
      <c r="K186" t="s">
        <v>637</v>
      </c>
      <c r="L186" t="s">
        <v>649</v>
      </c>
      <c r="M186" t="s">
        <v>62</v>
      </c>
      <c r="N186" t="s">
        <v>187</v>
      </c>
      <c r="P186">
        <f t="shared" si="4"/>
        <v>1</v>
      </c>
      <c r="Q186" t="str">
        <f>IF(AND(P186&gt;1,COUNTIF($E$6:E186,E186)=1),MAX($Q$5:Q185)+1,"")</f>
        <v/>
      </c>
      <c r="R186" t="str">
        <f t="shared" si="5"/>
        <v/>
      </c>
    </row>
    <row r="187" spans="1:18" ht="22.95" customHeight="1">
      <c r="A187" t="s">
        <v>531</v>
      </c>
      <c r="B187" t="s">
        <v>24</v>
      </c>
      <c r="C187" t="s">
        <v>431</v>
      </c>
      <c r="D187" t="s">
        <v>216</v>
      </c>
      <c r="E187" t="s">
        <v>650</v>
      </c>
      <c r="F187">
        <v>1</v>
      </c>
      <c r="G187" t="s">
        <v>629</v>
      </c>
      <c r="H187" t="s">
        <v>630</v>
      </c>
      <c r="I187" t="s">
        <v>651</v>
      </c>
      <c r="K187" t="s">
        <v>637</v>
      </c>
      <c r="L187" t="s">
        <v>649</v>
      </c>
      <c r="M187" t="s">
        <v>62</v>
      </c>
      <c r="N187" t="s">
        <v>187</v>
      </c>
      <c r="P187">
        <f t="shared" si="4"/>
        <v>1</v>
      </c>
      <c r="Q187" t="str">
        <f>IF(AND(P187&gt;1,COUNTIF($E$6:E187,E187)=1),MAX($Q$5:Q186)+1,"")</f>
        <v/>
      </c>
      <c r="R187" t="str">
        <f t="shared" si="5"/>
        <v/>
      </c>
    </row>
    <row r="188" spans="1:18" ht="22.95" customHeight="1">
      <c r="A188" t="s">
        <v>531</v>
      </c>
      <c r="B188" t="s">
        <v>24</v>
      </c>
      <c r="C188" t="s">
        <v>431</v>
      </c>
      <c r="D188" t="s">
        <v>216</v>
      </c>
      <c r="E188" t="s">
        <v>652</v>
      </c>
      <c r="F188">
        <v>1</v>
      </c>
      <c r="G188" t="s">
        <v>629</v>
      </c>
      <c r="H188" t="s">
        <v>630</v>
      </c>
      <c r="I188" t="s">
        <v>651</v>
      </c>
      <c r="K188" t="s">
        <v>637</v>
      </c>
      <c r="L188" t="s">
        <v>649</v>
      </c>
      <c r="M188" t="s">
        <v>62</v>
      </c>
      <c r="N188" t="s">
        <v>187</v>
      </c>
      <c r="P188">
        <f t="shared" si="4"/>
        <v>1</v>
      </c>
      <c r="Q188" t="str">
        <f>IF(AND(P188&gt;1,COUNTIF($E$6:E188,E188)=1),MAX($Q$5:Q187)+1,"")</f>
        <v/>
      </c>
      <c r="R188" t="str">
        <f t="shared" si="5"/>
        <v/>
      </c>
    </row>
    <row r="189" spans="1:18" ht="22.95" customHeight="1">
      <c r="A189" t="s">
        <v>531</v>
      </c>
      <c r="B189" t="s">
        <v>24</v>
      </c>
      <c r="C189" t="s">
        <v>431</v>
      </c>
      <c r="D189" t="s">
        <v>216</v>
      </c>
      <c r="E189" t="s">
        <v>653</v>
      </c>
      <c r="F189">
        <v>1</v>
      </c>
      <c r="G189" t="s">
        <v>629</v>
      </c>
      <c r="H189" t="s">
        <v>630</v>
      </c>
      <c r="I189" t="s">
        <v>651</v>
      </c>
      <c r="K189" t="s">
        <v>637</v>
      </c>
      <c r="L189" t="s">
        <v>649</v>
      </c>
      <c r="M189" t="s">
        <v>62</v>
      </c>
      <c r="N189" t="s">
        <v>187</v>
      </c>
      <c r="P189">
        <f t="shared" si="4"/>
        <v>1</v>
      </c>
      <c r="Q189" t="str">
        <f>IF(AND(P189&gt;1,COUNTIF($E$6:E189,E189)=1),MAX($Q$5:Q188)+1,"")</f>
        <v/>
      </c>
      <c r="R189" t="str">
        <f t="shared" si="5"/>
        <v/>
      </c>
    </row>
    <row r="190" spans="1:18" ht="22.95" customHeight="1">
      <c r="A190" t="s">
        <v>531</v>
      </c>
      <c r="B190" t="s">
        <v>24</v>
      </c>
      <c r="C190" t="s">
        <v>431</v>
      </c>
      <c r="D190" t="s">
        <v>216</v>
      </c>
      <c r="E190" t="s">
        <v>654</v>
      </c>
      <c r="F190">
        <v>1</v>
      </c>
      <c r="G190" t="s">
        <v>629</v>
      </c>
      <c r="H190" t="s">
        <v>630</v>
      </c>
      <c r="I190" t="s">
        <v>141</v>
      </c>
      <c r="K190" t="s">
        <v>406</v>
      </c>
      <c r="L190" t="s">
        <v>649</v>
      </c>
      <c r="M190" t="s">
        <v>62</v>
      </c>
      <c r="N190" t="s">
        <v>187</v>
      </c>
      <c r="P190">
        <f t="shared" si="4"/>
        <v>1</v>
      </c>
      <c r="Q190" t="str">
        <f>IF(AND(P190&gt;1,COUNTIF($E$6:E190,E190)=1),MAX($Q$5:Q189)+1,"")</f>
        <v/>
      </c>
      <c r="R190" t="str">
        <f t="shared" si="5"/>
        <v/>
      </c>
    </row>
    <row r="191" spans="1:18" ht="22.95" customHeight="1">
      <c r="A191" t="s">
        <v>531</v>
      </c>
      <c r="B191" t="s">
        <v>24</v>
      </c>
      <c r="C191" t="s">
        <v>431</v>
      </c>
      <c r="D191" t="s">
        <v>216</v>
      </c>
      <c r="E191" t="s">
        <v>655</v>
      </c>
      <c r="F191">
        <v>1</v>
      </c>
      <c r="G191" t="s">
        <v>92</v>
      </c>
      <c r="I191" t="s">
        <v>656</v>
      </c>
      <c r="K191" t="s">
        <v>637</v>
      </c>
      <c r="L191" t="s">
        <v>657</v>
      </c>
      <c r="M191" t="s">
        <v>62</v>
      </c>
      <c r="N191" t="s">
        <v>520</v>
      </c>
      <c r="P191">
        <f t="shared" si="4"/>
        <v>1</v>
      </c>
      <c r="Q191" t="str">
        <f>IF(AND(P191&gt;1,COUNTIF($E$6:E191,E191)=1),MAX($Q$5:Q190)+1,"")</f>
        <v/>
      </c>
      <c r="R191" t="str">
        <f t="shared" si="5"/>
        <v/>
      </c>
    </row>
    <row r="192" spans="1:18" ht="22.95" customHeight="1">
      <c r="A192" t="s">
        <v>531</v>
      </c>
      <c r="B192" t="s">
        <v>24</v>
      </c>
      <c r="C192" t="s">
        <v>431</v>
      </c>
      <c r="D192" t="s">
        <v>216</v>
      </c>
      <c r="E192" t="s">
        <v>658</v>
      </c>
      <c r="F192">
        <v>1</v>
      </c>
      <c r="G192" t="s">
        <v>659</v>
      </c>
      <c r="H192" t="s">
        <v>660</v>
      </c>
      <c r="I192" t="s">
        <v>661</v>
      </c>
      <c r="K192" t="s">
        <v>637</v>
      </c>
      <c r="L192" t="s">
        <v>662</v>
      </c>
      <c r="M192" t="s">
        <v>62</v>
      </c>
      <c r="N192" t="s">
        <v>520</v>
      </c>
      <c r="P192">
        <f t="shared" si="4"/>
        <v>1</v>
      </c>
      <c r="Q192" t="str">
        <f>IF(AND(P192&gt;1,COUNTIF($E$6:E192,E192)=1),MAX($Q$5:Q191)+1,"")</f>
        <v/>
      </c>
      <c r="R192" t="str">
        <f t="shared" si="5"/>
        <v/>
      </c>
    </row>
    <row r="193" spans="1:18" ht="22.95" customHeight="1">
      <c r="A193" t="s">
        <v>531</v>
      </c>
      <c r="B193" t="s">
        <v>24</v>
      </c>
      <c r="C193" t="s">
        <v>431</v>
      </c>
      <c r="D193" t="s">
        <v>216</v>
      </c>
      <c r="E193" t="s">
        <v>663</v>
      </c>
      <c r="F193">
        <v>1</v>
      </c>
      <c r="G193" t="s">
        <v>640</v>
      </c>
      <c r="H193" t="s">
        <v>641</v>
      </c>
      <c r="I193" t="s">
        <v>141</v>
      </c>
      <c r="K193" t="s">
        <v>406</v>
      </c>
      <c r="L193" t="s">
        <v>664</v>
      </c>
      <c r="M193" t="s">
        <v>62</v>
      </c>
      <c r="N193" t="s">
        <v>299</v>
      </c>
      <c r="P193">
        <f t="shared" si="4"/>
        <v>1</v>
      </c>
      <c r="Q193" t="str">
        <f>IF(AND(P193&gt;1,COUNTIF($E$6:E193,E193)=1),MAX($Q$5:Q192)+1,"")</f>
        <v/>
      </c>
      <c r="R193" t="str">
        <f t="shared" si="5"/>
        <v/>
      </c>
    </row>
    <row r="194" spans="1:18" ht="22.95" customHeight="1">
      <c r="A194" t="s">
        <v>531</v>
      </c>
      <c r="B194" t="s">
        <v>24</v>
      </c>
      <c r="C194" t="s">
        <v>431</v>
      </c>
      <c r="D194" t="s">
        <v>216</v>
      </c>
      <c r="E194" t="s">
        <v>665</v>
      </c>
      <c r="F194">
        <v>1</v>
      </c>
      <c r="G194" t="s">
        <v>629</v>
      </c>
      <c r="H194" t="s">
        <v>630</v>
      </c>
      <c r="I194" t="s">
        <v>141</v>
      </c>
      <c r="K194" t="s">
        <v>406</v>
      </c>
      <c r="L194" t="s">
        <v>666</v>
      </c>
      <c r="M194" t="s">
        <v>62</v>
      </c>
      <c r="N194" t="s">
        <v>187</v>
      </c>
      <c r="P194">
        <f t="shared" si="4"/>
        <v>1</v>
      </c>
      <c r="Q194" t="str">
        <f>IF(AND(P194&gt;1,COUNTIF($E$6:E194,E194)=1),MAX($Q$5:Q193)+1,"")</f>
        <v/>
      </c>
      <c r="R194" t="str">
        <f t="shared" si="5"/>
        <v/>
      </c>
    </row>
    <row r="195" spans="1:18" ht="22.95" customHeight="1">
      <c r="A195" t="s">
        <v>531</v>
      </c>
      <c r="B195" t="s">
        <v>24</v>
      </c>
      <c r="C195" t="s">
        <v>431</v>
      </c>
      <c r="D195" t="s">
        <v>216</v>
      </c>
      <c r="E195" t="s">
        <v>667</v>
      </c>
      <c r="F195">
        <v>1</v>
      </c>
      <c r="G195" t="s">
        <v>640</v>
      </c>
      <c r="H195" t="s">
        <v>641</v>
      </c>
      <c r="I195" t="s">
        <v>141</v>
      </c>
      <c r="J195" t="s">
        <v>99</v>
      </c>
      <c r="K195" t="s">
        <v>406</v>
      </c>
      <c r="L195" t="s">
        <v>668</v>
      </c>
      <c r="M195" t="s">
        <v>102</v>
      </c>
      <c r="P195">
        <f t="shared" si="4"/>
        <v>1</v>
      </c>
      <c r="Q195" t="str">
        <f>IF(AND(P195&gt;1,COUNTIF($E$6:E195,E195)=1),MAX($Q$5:Q194)+1,"")</f>
        <v/>
      </c>
      <c r="R195" t="str">
        <f t="shared" si="5"/>
        <v/>
      </c>
    </row>
    <row r="196" spans="1:18" ht="22.95" customHeight="1">
      <c r="A196" t="s">
        <v>531</v>
      </c>
      <c r="B196" t="s">
        <v>24</v>
      </c>
      <c r="C196" t="s">
        <v>431</v>
      </c>
      <c r="D196" t="s">
        <v>216</v>
      </c>
      <c r="E196" t="s">
        <v>669</v>
      </c>
      <c r="F196">
        <v>1</v>
      </c>
      <c r="G196" t="s">
        <v>640</v>
      </c>
      <c r="H196" t="s">
        <v>641</v>
      </c>
      <c r="I196" t="s">
        <v>141</v>
      </c>
      <c r="K196" t="s">
        <v>406</v>
      </c>
      <c r="L196" t="s">
        <v>670</v>
      </c>
      <c r="M196" t="s">
        <v>62</v>
      </c>
      <c r="N196" t="s">
        <v>299</v>
      </c>
      <c r="P196">
        <f t="shared" si="4"/>
        <v>1</v>
      </c>
      <c r="Q196" t="str">
        <f>IF(AND(P196&gt;1,COUNTIF($E$6:E196,E196)=1),MAX($Q$5:Q195)+1,"")</f>
        <v/>
      </c>
      <c r="R196" t="str">
        <f t="shared" si="5"/>
        <v/>
      </c>
    </row>
    <row r="197" spans="1:18" ht="22.95" customHeight="1">
      <c r="A197" t="s">
        <v>531</v>
      </c>
      <c r="B197" t="s">
        <v>24</v>
      </c>
      <c r="C197" t="s">
        <v>436</v>
      </c>
      <c r="D197" t="s">
        <v>437</v>
      </c>
      <c r="E197" t="s">
        <v>671</v>
      </c>
      <c r="F197">
        <v>1</v>
      </c>
      <c r="G197" t="s">
        <v>92</v>
      </c>
      <c r="I197" t="s">
        <v>141</v>
      </c>
      <c r="J197" t="s">
        <v>672</v>
      </c>
      <c r="L197" t="s">
        <v>673</v>
      </c>
      <c r="M197" t="s">
        <v>102</v>
      </c>
      <c r="P197">
        <f t="shared" si="4"/>
        <v>1</v>
      </c>
      <c r="Q197" t="str">
        <f>IF(AND(P197&gt;1,COUNTIF($E$6:E197,E197)=1),MAX($Q$5:Q196)+1,"")</f>
        <v/>
      </c>
      <c r="R197" t="str">
        <f t="shared" si="5"/>
        <v/>
      </c>
    </row>
    <row r="198" spans="1:18" ht="22.95" customHeight="1">
      <c r="A198" t="s">
        <v>531</v>
      </c>
      <c r="B198" t="s">
        <v>24</v>
      </c>
      <c r="C198" t="s">
        <v>431</v>
      </c>
      <c r="D198" t="s">
        <v>674</v>
      </c>
      <c r="E198" t="s">
        <v>675</v>
      </c>
      <c r="F198">
        <v>1</v>
      </c>
      <c r="G198" t="s">
        <v>92</v>
      </c>
      <c r="I198" t="s">
        <v>141</v>
      </c>
      <c r="J198" t="s">
        <v>582</v>
      </c>
      <c r="K198" t="s">
        <v>406</v>
      </c>
      <c r="L198" t="s">
        <v>676</v>
      </c>
      <c r="M198" t="s">
        <v>73</v>
      </c>
      <c r="P198">
        <f t="shared" ref="P198:P261" si="6">COUNTIF($E$6:$E$1740,E198)</f>
        <v>1</v>
      </c>
      <c r="Q198" t="str">
        <f>IF(AND(P198&gt;1,COUNTIF($E$6:E198,E198)=1),MAX($Q$5:Q197)+1,"")</f>
        <v/>
      </c>
      <c r="R198" t="str">
        <f t="shared" ref="R198:R261" si="7">IF(Q198="","",IF(COUNTIFS($E$6:$E$1740,E198,$A$6:$A$1740,A198,$C$6:$C$1740,C198)&lt;P198,"LÉGITIME",IF(COUNTIFS($E$6:$E$1740,E198,$A$6:$A$1740,A198,$C$6:$C$1740,C198,$M$6:$M$1740,M198)&lt;P198,"STATUT DIFFÉRENT","VRAI DOUBLON")))</f>
        <v/>
      </c>
    </row>
    <row r="199" spans="1:18" ht="22.95" customHeight="1">
      <c r="A199" t="s">
        <v>531</v>
      </c>
      <c r="B199" t="s">
        <v>24</v>
      </c>
      <c r="C199" t="s">
        <v>431</v>
      </c>
      <c r="D199" t="s">
        <v>444</v>
      </c>
      <c r="E199" t="s">
        <v>677</v>
      </c>
      <c r="F199">
        <v>1</v>
      </c>
      <c r="G199" t="s">
        <v>139</v>
      </c>
      <c r="I199" t="s">
        <v>140</v>
      </c>
      <c r="K199" t="s">
        <v>678</v>
      </c>
      <c r="L199" t="s">
        <v>679</v>
      </c>
      <c r="M199" t="s">
        <v>73</v>
      </c>
      <c r="P199">
        <f t="shared" si="6"/>
        <v>1</v>
      </c>
      <c r="Q199" t="str">
        <f>IF(AND(P199&gt;1,COUNTIF($E$6:E199,E199)=1),MAX($Q$5:Q198)+1,"")</f>
        <v/>
      </c>
      <c r="R199" t="str">
        <f t="shared" si="7"/>
        <v/>
      </c>
    </row>
    <row r="200" spans="1:18" ht="22.95" customHeight="1">
      <c r="A200" t="s">
        <v>531</v>
      </c>
      <c r="B200" t="s">
        <v>24</v>
      </c>
      <c r="C200" t="s">
        <v>431</v>
      </c>
      <c r="D200" t="s">
        <v>444</v>
      </c>
      <c r="E200" t="s">
        <v>680</v>
      </c>
      <c r="F200">
        <v>1</v>
      </c>
      <c r="G200" t="s">
        <v>139</v>
      </c>
      <c r="I200" t="s">
        <v>681</v>
      </c>
      <c r="K200" t="s">
        <v>109</v>
      </c>
      <c r="L200" t="s">
        <v>682</v>
      </c>
      <c r="M200" t="s">
        <v>73</v>
      </c>
      <c r="P200">
        <f t="shared" si="6"/>
        <v>1</v>
      </c>
      <c r="Q200" t="str">
        <f>IF(AND(P200&gt;1,COUNTIF($E$6:E200,E200)=1),MAX($Q$5:Q199)+1,"")</f>
        <v/>
      </c>
      <c r="R200" t="str">
        <f t="shared" si="7"/>
        <v/>
      </c>
    </row>
    <row r="201" spans="1:18" ht="22.95" customHeight="1">
      <c r="A201" t="s">
        <v>531</v>
      </c>
      <c r="B201" t="s">
        <v>28</v>
      </c>
      <c r="C201" t="s">
        <v>146</v>
      </c>
      <c r="D201" t="s">
        <v>147</v>
      </c>
      <c r="E201" t="s">
        <v>683</v>
      </c>
      <c r="F201">
        <v>1</v>
      </c>
      <c r="G201" t="s">
        <v>684</v>
      </c>
      <c r="H201" t="s">
        <v>685</v>
      </c>
      <c r="I201" t="s">
        <v>686</v>
      </c>
      <c r="K201" t="s">
        <v>687</v>
      </c>
      <c r="L201" t="s">
        <v>688</v>
      </c>
      <c r="M201" t="s">
        <v>73</v>
      </c>
      <c r="P201">
        <f t="shared" si="6"/>
        <v>1</v>
      </c>
      <c r="Q201" t="str">
        <f>IF(AND(P201&gt;1,COUNTIF($E$6:E201,E201)=1),MAX($Q$5:Q200)+1,"")</f>
        <v/>
      </c>
      <c r="R201" t="str">
        <f t="shared" si="7"/>
        <v/>
      </c>
    </row>
    <row r="202" spans="1:18" ht="22.95" customHeight="1">
      <c r="A202" t="s">
        <v>531</v>
      </c>
      <c r="B202" t="s">
        <v>28</v>
      </c>
      <c r="C202" t="s">
        <v>146</v>
      </c>
      <c r="D202" t="s">
        <v>147</v>
      </c>
      <c r="E202" t="s">
        <v>689</v>
      </c>
      <c r="F202">
        <v>1</v>
      </c>
      <c r="G202" t="s">
        <v>92</v>
      </c>
      <c r="I202" t="s">
        <v>690</v>
      </c>
      <c r="J202" t="s">
        <v>446</v>
      </c>
      <c r="K202" t="s">
        <v>406</v>
      </c>
      <c r="L202" t="s">
        <v>691</v>
      </c>
      <c r="M202" t="s">
        <v>102</v>
      </c>
      <c r="P202">
        <f t="shared" si="6"/>
        <v>1</v>
      </c>
      <c r="Q202" t="str">
        <f>IF(AND(P202&gt;1,COUNTIF($E$6:E202,E202)=1),MAX($Q$5:Q201)+1,"")</f>
        <v/>
      </c>
      <c r="R202" t="str">
        <f t="shared" si="7"/>
        <v/>
      </c>
    </row>
    <row r="203" spans="1:18" ht="22.95" customHeight="1">
      <c r="A203" t="s">
        <v>531</v>
      </c>
      <c r="B203" t="s">
        <v>28</v>
      </c>
      <c r="C203" t="s">
        <v>167</v>
      </c>
      <c r="D203" t="s">
        <v>168</v>
      </c>
      <c r="E203" t="s">
        <v>692</v>
      </c>
      <c r="F203">
        <v>1</v>
      </c>
      <c r="G203" t="s">
        <v>693</v>
      </c>
      <c r="H203" t="s">
        <v>694</v>
      </c>
      <c r="I203" t="s">
        <v>695</v>
      </c>
      <c r="K203" t="s">
        <v>78</v>
      </c>
      <c r="L203" t="s">
        <v>696</v>
      </c>
      <c r="M203" t="s">
        <v>73</v>
      </c>
      <c r="P203">
        <f t="shared" si="6"/>
        <v>1</v>
      </c>
      <c r="Q203" t="str">
        <f>IF(AND(P203&gt;1,COUNTIF($E$6:E203,E203)=1),MAX($Q$5:Q202)+1,"")</f>
        <v/>
      </c>
      <c r="R203" t="str">
        <f t="shared" si="7"/>
        <v/>
      </c>
    </row>
    <row r="204" spans="1:18" ht="22.95" customHeight="1">
      <c r="A204" t="s">
        <v>531</v>
      </c>
      <c r="B204" t="s">
        <v>30</v>
      </c>
      <c r="C204" t="s">
        <v>180</v>
      </c>
      <c r="D204" t="s">
        <v>181</v>
      </c>
      <c r="E204" t="s">
        <v>697</v>
      </c>
      <c r="F204">
        <v>1</v>
      </c>
      <c r="G204" t="s">
        <v>235</v>
      </c>
      <c r="H204" t="s">
        <v>698</v>
      </c>
      <c r="I204" t="s">
        <v>699</v>
      </c>
      <c r="L204" t="s">
        <v>700</v>
      </c>
      <c r="M204" t="s">
        <v>62</v>
      </c>
      <c r="N204" t="s">
        <v>187</v>
      </c>
      <c r="P204">
        <f t="shared" si="6"/>
        <v>1</v>
      </c>
      <c r="Q204" t="str">
        <f>IF(AND(P204&gt;1,COUNTIF($E$6:E204,E204)=1),MAX($Q$5:Q203)+1,"")</f>
        <v/>
      </c>
      <c r="R204" t="str">
        <f t="shared" si="7"/>
        <v/>
      </c>
    </row>
    <row r="205" spans="1:18" ht="22.95" customHeight="1">
      <c r="A205" t="s">
        <v>531</v>
      </c>
      <c r="B205" t="s">
        <v>30</v>
      </c>
      <c r="C205" t="s">
        <v>180</v>
      </c>
      <c r="D205" t="s">
        <v>181</v>
      </c>
      <c r="E205" t="s">
        <v>701</v>
      </c>
      <c r="F205">
        <v>1</v>
      </c>
      <c r="G205" t="s">
        <v>702</v>
      </c>
      <c r="H205" t="s">
        <v>703</v>
      </c>
      <c r="I205" t="s">
        <v>704</v>
      </c>
      <c r="L205" t="s">
        <v>705</v>
      </c>
      <c r="M205" t="s">
        <v>73</v>
      </c>
      <c r="P205">
        <f t="shared" si="6"/>
        <v>1</v>
      </c>
      <c r="Q205" t="str">
        <f>IF(AND(P205&gt;1,COUNTIF($E$6:E205,E205)=1),MAX($Q$5:Q204)+1,"")</f>
        <v/>
      </c>
      <c r="R205" t="str">
        <f t="shared" si="7"/>
        <v/>
      </c>
    </row>
    <row r="206" spans="1:18" ht="22.95" customHeight="1">
      <c r="A206" t="s">
        <v>531</v>
      </c>
      <c r="B206" t="s">
        <v>30</v>
      </c>
      <c r="C206" t="s">
        <v>188</v>
      </c>
      <c r="D206" t="s">
        <v>189</v>
      </c>
      <c r="E206" t="s">
        <v>706</v>
      </c>
      <c r="F206">
        <v>1</v>
      </c>
      <c r="G206" t="s">
        <v>707</v>
      </c>
      <c r="H206" t="s">
        <v>708</v>
      </c>
      <c r="I206" t="s">
        <v>709</v>
      </c>
      <c r="K206" t="s">
        <v>710</v>
      </c>
      <c r="L206" t="s">
        <v>711</v>
      </c>
      <c r="M206" t="s">
        <v>62</v>
      </c>
      <c r="N206" t="s">
        <v>712</v>
      </c>
      <c r="P206">
        <f t="shared" si="6"/>
        <v>1</v>
      </c>
      <c r="Q206" t="str">
        <f>IF(AND(P206&gt;1,COUNTIF($E$6:E206,E206)=1),MAX($Q$5:Q205)+1,"")</f>
        <v/>
      </c>
      <c r="R206" t="str">
        <f t="shared" si="7"/>
        <v/>
      </c>
    </row>
    <row r="207" spans="1:18" ht="22.95" customHeight="1">
      <c r="A207" t="s">
        <v>531</v>
      </c>
      <c r="B207" t="s">
        <v>30</v>
      </c>
      <c r="C207" t="s">
        <v>188</v>
      </c>
      <c r="D207" t="s">
        <v>189</v>
      </c>
      <c r="E207" t="s">
        <v>713</v>
      </c>
      <c r="F207">
        <v>1</v>
      </c>
      <c r="G207" t="s">
        <v>707</v>
      </c>
      <c r="H207" t="s">
        <v>708</v>
      </c>
      <c r="I207" t="s">
        <v>709</v>
      </c>
      <c r="K207" t="s">
        <v>710</v>
      </c>
      <c r="L207" t="s">
        <v>711</v>
      </c>
      <c r="M207" t="s">
        <v>62</v>
      </c>
      <c r="N207" t="s">
        <v>712</v>
      </c>
      <c r="P207">
        <f t="shared" si="6"/>
        <v>1</v>
      </c>
      <c r="Q207" t="str">
        <f>IF(AND(P207&gt;1,COUNTIF($E$6:E207,E207)=1),MAX($Q$5:Q206)+1,"")</f>
        <v/>
      </c>
      <c r="R207" t="str">
        <f t="shared" si="7"/>
        <v/>
      </c>
    </row>
    <row r="208" spans="1:18" ht="22.95" customHeight="1">
      <c r="A208" t="s">
        <v>531</v>
      </c>
      <c r="B208" t="s">
        <v>31</v>
      </c>
      <c r="C208" t="s">
        <v>491</v>
      </c>
      <c r="D208" t="s">
        <v>492</v>
      </c>
      <c r="E208" t="s">
        <v>714</v>
      </c>
      <c r="F208">
        <v>1</v>
      </c>
      <c r="G208" t="s">
        <v>715</v>
      </c>
      <c r="H208" t="s">
        <v>716</v>
      </c>
      <c r="I208" t="s">
        <v>717</v>
      </c>
      <c r="K208" t="s">
        <v>320</v>
      </c>
      <c r="L208" t="s">
        <v>718</v>
      </c>
      <c r="M208" t="s">
        <v>62</v>
      </c>
      <c r="N208" t="s">
        <v>719</v>
      </c>
      <c r="P208">
        <f t="shared" si="6"/>
        <v>1</v>
      </c>
      <c r="Q208" t="str">
        <f>IF(AND(P208&gt;1,COUNTIF($E$6:E208,E208)=1),MAX($Q$5:Q207)+1,"")</f>
        <v/>
      </c>
      <c r="R208" t="str">
        <f t="shared" si="7"/>
        <v/>
      </c>
    </row>
    <row r="209" spans="1:18" ht="22.95" customHeight="1">
      <c r="A209" t="s">
        <v>531</v>
      </c>
      <c r="B209" t="s">
        <v>31</v>
      </c>
      <c r="C209" t="s">
        <v>491</v>
      </c>
      <c r="D209" t="s">
        <v>492</v>
      </c>
      <c r="E209" t="s">
        <v>720</v>
      </c>
      <c r="F209">
        <v>1</v>
      </c>
      <c r="G209" t="s">
        <v>715</v>
      </c>
      <c r="H209" t="s">
        <v>716</v>
      </c>
      <c r="I209" t="s">
        <v>717</v>
      </c>
      <c r="K209" t="s">
        <v>320</v>
      </c>
      <c r="L209" t="s">
        <v>721</v>
      </c>
      <c r="M209" t="s">
        <v>62</v>
      </c>
      <c r="N209" t="s">
        <v>187</v>
      </c>
      <c r="P209">
        <f t="shared" si="6"/>
        <v>1</v>
      </c>
      <c r="Q209" t="str">
        <f>IF(AND(P209&gt;1,COUNTIF($E$6:E209,E209)=1),MAX($Q$5:Q208)+1,"")</f>
        <v/>
      </c>
      <c r="R209" t="str">
        <f t="shared" si="7"/>
        <v/>
      </c>
    </row>
    <row r="210" spans="1:18" ht="22.95" customHeight="1">
      <c r="A210" t="s">
        <v>531</v>
      </c>
      <c r="B210" t="s">
        <v>31</v>
      </c>
      <c r="C210" t="s">
        <v>491</v>
      </c>
      <c r="D210" t="s">
        <v>492</v>
      </c>
      <c r="E210" t="s">
        <v>722</v>
      </c>
      <c r="F210">
        <v>1</v>
      </c>
      <c r="G210" t="s">
        <v>715</v>
      </c>
      <c r="H210" t="s">
        <v>716</v>
      </c>
      <c r="I210" t="s">
        <v>717</v>
      </c>
      <c r="K210" t="s">
        <v>320</v>
      </c>
      <c r="L210" t="s">
        <v>723</v>
      </c>
      <c r="M210" t="s">
        <v>62</v>
      </c>
      <c r="N210" t="s">
        <v>719</v>
      </c>
      <c r="P210">
        <f t="shared" si="6"/>
        <v>1</v>
      </c>
      <c r="Q210" t="str">
        <f>IF(AND(P210&gt;1,COUNTIF($E$6:E210,E210)=1),MAX($Q$5:Q209)+1,"")</f>
        <v/>
      </c>
      <c r="R210" t="str">
        <f t="shared" si="7"/>
        <v/>
      </c>
    </row>
    <row r="211" spans="1:18" ht="22.95" customHeight="1">
      <c r="A211" t="s">
        <v>531</v>
      </c>
      <c r="B211" t="s">
        <v>21</v>
      </c>
      <c r="C211" t="s">
        <v>724</v>
      </c>
      <c r="D211" t="s">
        <v>725</v>
      </c>
      <c r="E211" t="s">
        <v>726</v>
      </c>
      <c r="F211">
        <v>1</v>
      </c>
      <c r="G211" t="s">
        <v>727</v>
      </c>
      <c r="H211" t="s">
        <v>126</v>
      </c>
      <c r="I211" t="s">
        <v>728</v>
      </c>
      <c r="J211" t="s">
        <v>99</v>
      </c>
      <c r="K211" t="s">
        <v>320</v>
      </c>
      <c r="L211" t="s">
        <v>729</v>
      </c>
      <c r="M211" t="s">
        <v>62</v>
      </c>
      <c r="N211" t="s">
        <v>130</v>
      </c>
      <c r="P211">
        <f t="shared" si="6"/>
        <v>1</v>
      </c>
      <c r="Q211" t="str">
        <f>IF(AND(P211&gt;1,COUNTIF($E$6:E211,E211)=1),MAX($Q$5:Q210)+1,"")</f>
        <v/>
      </c>
      <c r="R211" t="str">
        <f t="shared" si="7"/>
        <v/>
      </c>
    </row>
    <row r="212" spans="1:18" ht="22.95" customHeight="1">
      <c r="A212" t="s">
        <v>531</v>
      </c>
      <c r="B212" t="s">
        <v>21</v>
      </c>
      <c r="C212" t="s">
        <v>724</v>
      </c>
      <c r="D212" t="s">
        <v>725</v>
      </c>
      <c r="E212" t="s">
        <v>730</v>
      </c>
      <c r="F212">
        <v>1</v>
      </c>
      <c r="G212" t="s">
        <v>731</v>
      </c>
      <c r="H212" t="s">
        <v>732</v>
      </c>
      <c r="I212" t="s">
        <v>733</v>
      </c>
      <c r="L212" t="s">
        <v>734</v>
      </c>
      <c r="M212" t="s">
        <v>62</v>
      </c>
      <c r="N212" t="s">
        <v>624</v>
      </c>
      <c r="P212">
        <f t="shared" si="6"/>
        <v>1</v>
      </c>
      <c r="Q212" t="str">
        <f>IF(AND(P212&gt;1,COUNTIF($E$6:E212,E212)=1),MAX($Q$5:Q211)+1,"")</f>
        <v/>
      </c>
      <c r="R212" t="str">
        <f t="shared" si="7"/>
        <v/>
      </c>
    </row>
    <row r="213" spans="1:18" ht="22.95" customHeight="1">
      <c r="A213" t="s">
        <v>531</v>
      </c>
      <c r="B213" t="s">
        <v>21</v>
      </c>
      <c r="C213" t="s">
        <v>228</v>
      </c>
      <c r="D213" t="s">
        <v>735</v>
      </c>
      <c r="E213" t="s">
        <v>736</v>
      </c>
      <c r="F213">
        <v>1</v>
      </c>
      <c r="G213" t="s">
        <v>737</v>
      </c>
      <c r="H213" t="s">
        <v>738</v>
      </c>
      <c r="I213" t="s">
        <v>739</v>
      </c>
      <c r="K213" t="s">
        <v>320</v>
      </c>
      <c r="L213" t="s">
        <v>740</v>
      </c>
      <c r="M213" t="s">
        <v>62</v>
      </c>
      <c r="N213" t="s">
        <v>187</v>
      </c>
      <c r="P213">
        <f t="shared" si="6"/>
        <v>1</v>
      </c>
      <c r="Q213" t="str">
        <f>IF(AND(P213&gt;1,COUNTIF($E$6:E213,E213)=1),MAX($Q$5:Q212)+1,"")</f>
        <v/>
      </c>
      <c r="R213" t="str">
        <f t="shared" si="7"/>
        <v/>
      </c>
    </row>
    <row r="214" spans="1:18" ht="22.95" customHeight="1">
      <c r="A214" t="s">
        <v>531</v>
      </c>
      <c r="B214" t="s">
        <v>21</v>
      </c>
      <c r="C214" t="s">
        <v>228</v>
      </c>
      <c r="D214" t="s">
        <v>735</v>
      </c>
      <c r="E214" t="s">
        <v>741</v>
      </c>
      <c r="F214">
        <v>1</v>
      </c>
      <c r="G214" t="s">
        <v>92</v>
      </c>
      <c r="I214" t="s">
        <v>141</v>
      </c>
      <c r="K214" t="s">
        <v>406</v>
      </c>
      <c r="L214" t="s">
        <v>742</v>
      </c>
      <c r="M214" t="s">
        <v>62</v>
      </c>
      <c r="N214" t="s">
        <v>187</v>
      </c>
      <c r="P214">
        <f t="shared" si="6"/>
        <v>1</v>
      </c>
      <c r="Q214" t="str">
        <f>IF(AND(P214&gt;1,COUNTIF($E$6:E214,E214)=1),MAX($Q$5:Q213)+1,"")</f>
        <v/>
      </c>
      <c r="R214" t="str">
        <f t="shared" si="7"/>
        <v/>
      </c>
    </row>
    <row r="215" spans="1:18" ht="22.95" customHeight="1">
      <c r="A215" t="s">
        <v>531</v>
      </c>
      <c r="B215" t="s">
        <v>21</v>
      </c>
      <c r="C215" t="s">
        <v>239</v>
      </c>
      <c r="D215" t="s">
        <v>147</v>
      </c>
      <c r="E215" t="s">
        <v>743</v>
      </c>
      <c r="F215">
        <v>1</v>
      </c>
      <c r="G215" t="s">
        <v>684</v>
      </c>
      <c r="H215" t="s">
        <v>685</v>
      </c>
      <c r="I215" t="s">
        <v>744</v>
      </c>
      <c r="K215" t="s">
        <v>687</v>
      </c>
      <c r="L215" t="s">
        <v>688</v>
      </c>
      <c r="M215" t="s">
        <v>73</v>
      </c>
      <c r="P215">
        <f t="shared" si="6"/>
        <v>1</v>
      </c>
      <c r="Q215" t="str">
        <f>IF(AND(P215&gt;1,COUNTIF($E$6:E215,E215)=1),MAX($Q$5:Q214)+1,"")</f>
        <v/>
      </c>
      <c r="R215" t="str">
        <f t="shared" si="7"/>
        <v/>
      </c>
    </row>
    <row r="216" spans="1:18" ht="22.95" customHeight="1">
      <c r="A216" t="s">
        <v>531</v>
      </c>
      <c r="B216" t="s">
        <v>21</v>
      </c>
      <c r="C216" t="s">
        <v>239</v>
      </c>
      <c r="D216" t="s">
        <v>147</v>
      </c>
      <c r="E216" t="s">
        <v>745</v>
      </c>
      <c r="F216">
        <v>1</v>
      </c>
      <c r="G216" t="s">
        <v>746</v>
      </c>
      <c r="I216" t="s">
        <v>747</v>
      </c>
      <c r="J216" t="s">
        <v>245</v>
      </c>
      <c r="K216" t="s">
        <v>748</v>
      </c>
      <c r="L216" t="s">
        <v>749</v>
      </c>
      <c r="M216" t="s">
        <v>62</v>
      </c>
      <c r="N216" t="s">
        <v>520</v>
      </c>
      <c r="P216">
        <f t="shared" si="6"/>
        <v>1</v>
      </c>
      <c r="Q216" t="str">
        <f>IF(AND(P216&gt;1,COUNTIF($E$6:E216,E216)=1),MAX($Q$5:Q215)+1,"")</f>
        <v/>
      </c>
      <c r="R216" t="str">
        <f t="shared" si="7"/>
        <v/>
      </c>
    </row>
    <row r="217" spans="1:18" ht="22.95" customHeight="1">
      <c r="A217" t="s">
        <v>531</v>
      </c>
      <c r="B217" t="s">
        <v>21</v>
      </c>
      <c r="C217" t="s">
        <v>239</v>
      </c>
      <c r="D217" t="s">
        <v>147</v>
      </c>
      <c r="E217" t="s">
        <v>750</v>
      </c>
      <c r="F217">
        <v>1</v>
      </c>
      <c r="G217" t="s">
        <v>746</v>
      </c>
      <c r="I217" t="s">
        <v>747</v>
      </c>
      <c r="J217" t="s">
        <v>245</v>
      </c>
      <c r="K217" t="s">
        <v>748</v>
      </c>
      <c r="L217" t="s">
        <v>749</v>
      </c>
      <c r="M217" t="s">
        <v>62</v>
      </c>
      <c r="N217" t="s">
        <v>520</v>
      </c>
      <c r="P217">
        <f t="shared" si="6"/>
        <v>1</v>
      </c>
      <c r="Q217" t="str">
        <f>IF(AND(P217&gt;1,COUNTIF($E$6:E217,E217)=1),MAX($Q$5:Q216)+1,"")</f>
        <v/>
      </c>
      <c r="R217" t="str">
        <f t="shared" si="7"/>
        <v/>
      </c>
    </row>
    <row r="218" spans="1:18" ht="22.95" customHeight="1">
      <c r="A218" t="s">
        <v>531</v>
      </c>
      <c r="B218" t="s">
        <v>21</v>
      </c>
      <c r="C218" t="s">
        <v>239</v>
      </c>
      <c r="D218" t="s">
        <v>147</v>
      </c>
      <c r="E218" t="s">
        <v>751</v>
      </c>
      <c r="F218">
        <v>1</v>
      </c>
      <c r="G218" t="s">
        <v>752</v>
      </c>
      <c r="H218" t="s">
        <v>753</v>
      </c>
      <c r="I218" t="s">
        <v>754</v>
      </c>
      <c r="L218" t="s">
        <v>755</v>
      </c>
      <c r="M218" t="s">
        <v>62</v>
      </c>
      <c r="N218" t="s">
        <v>187</v>
      </c>
      <c r="P218">
        <f t="shared" si="6"/>
        <v>1</v>
      </c>
      <c r="Q218" t="str">
        <f>IF(AND(P218&gt;1,COUNTIF($E$6:E218,E218)=1),MAX($Q$5:Q217)+1,"")</f>
        <v/>
      </c>
      <c r="R218" t="str">
        <f t="shared" si="7"/>
        <v/>
      </c>
    </row>
    <row r="219" spans="1:18" ht="22.95" customHeight="1">
      <c r="A219" t="s">
        <v>531</v>
      </c>
      <c r="B219" t="s">
        <v>21</v>
      </c>
      <c r="C219" t="s">
        <v>239</v>
      </c>
      <c r="D219" t="s">
        <v>147</v>
      </c>
      <c r="E219" t="s">
        <v>756</v>
      </c>
      <c r="F219">
        <v>1</v>
      </c>
      <c r="G219" t="s">
        <v>752</v>
      </c>
      <c r="H219" t="s">
        <v>753</v>
      </c>
      <c r="I219" t="s">
        <v>754</v>
      </c>
      <c r="L219" t="s">
        <v>755</v>
      </c>
      <c r="M219" t="s">
        <v>62</v>
      </c>
      <c r="N219" t="s">
        <v>187</v>
      </c>
      <c r="P219">
        <f t="shared" si="6"/>
        <v>1</v>
      </c>
      <c r="Q219" t="str">
        <f>IF(AND(P219&gt;1,COUNTIF($E$6:E219,E219)=1),MAX($Q$5:Q218)+1,"")</f>
        <v/>
      </c>
      <c r="R219" t="str">
        <f t="shared" si="7"/>
        <v/>
      </c>
    </row>
    <row r="220" spans="1:18" ht="22.95" customHeight="1">
      <c r="A220" t="s">
        <v>531</v>
      </c>
      <c r="B220" t="s">
        <v>21</v>
      </c>
      <c r="C220" t="s">
        <v>262</v>
      </c>
      <c r="D220" t="s">
        <v>263</v>
      </c>
      <c r="E220" t="s">
        <v>757</v>
      </c>
      <c r="F220">
        <v>1</v>
      </c>
      <c r="G220" t="s">
        <v>92</v>
      </c>
      <c r="I220" t="s">
        <v>140</v>
      </c>
      <c r="K220" t="s">
        <v>758</v>
      </c>
      <c r="L220" t="s">
        <v>759</v>
      </c>
      <c r="M220" t="s">
        <v>102</v>
      </c>
      <c r="P220">
        <f t="shared" si="6"/>
        <v>1</v>
      </c>
      <c r="Q220" t="str">
        <f>IF(AND(P220&gt;1,COUNTIF($E$6:E220,E220)=1),MAX($Q$5:Q219)+1,"")</f>
        <v/>
      </c>
      <c r="R220" t="str">
        <f t="shared" si="7"/>
        <v/>
      </c>
    </row>
    <row r="221" spans="1:18" ht="22.95" customHeight="1">
      <c r="A221" t="s">
        <v>531</v>
      </c>
      <c r="B221" t="s">
        <v>21</v>
      </c>
      <c r="C221" t="s">
        <v>262</v>
      </c>
      <c r="D221" t="s">
        <v>263</v>
      </c>
      <c r="E221" t="s">
        <v>760</v>
      </c>
      <c r="F221">
        <v>1</v>
      </c>
      <c r="G221" t="s">
        <v>92</v>
      </c>
      <c r="I221" t="s">
        <v>140</v>
      </c>
      <c r="J221" t="s">
        <v>99</v>
      </c>
      <c r="K221" t="s">
        <v>761</v>
      </c>
      <c r="L221" t="s">
        <v>759</v>
      </c>
      <c r="M221" t="s">
        <v>102</v>
      </c>
      <c r="P221">
        <f t="shared" si="6"/>
        <v>1</v>
      </c>
      <c r="Q221" t="str">
        <f>IF(AND(P221&gt;1,COUNTIF($E$6:E221,E221)=1),MAX($Q$5:Q220)+1,"")</f>
        <v/>
      </c>
      <c r="R221" t="str">
        <f t="shared" si="7"/>
        <v/>
      </c>
    </row>
    <row r="222" spans="1:18" ht="22.95" customHeight="1">
      <c r="A222" t="s">
        <v>531</v>
      </c>
      <c r="B222" t="s">
        <v>21</v>
      </c>
      <c r="C222" t="s">
        <v>262</v>
      </c>
      <c r="D222" t="s">
        <v>263</v>
      </c>
      <c r="E222" t="s">
        <v>762</v>
      </c>
      <c r="F222">
        <v>1</v>
      </c>
      <c r="G222" t="s">
        <v>92</v>
      </c>
      <c r="I222" t="s">
        <v>140</v>
      </c>
      <c r="J222" t="s">
        <v>99</v>
      </c>
      <c r="K222" t="s">
        <v>761</v>
      </c>
      <c r="L222" t="s">
        <v>759</v>
      </c>
      <c r="M222" t="s">
        <v>102</v>
      </c>
      <c r="P222">
        <f t="shared" si="6"/>
        <v>1</v>
      </c>
      <c r="Q222" t="str">
        <f>IF(AND(P222&gt;1,COUNTIF($E$6:E222,E222)=1),MAX($Q$5:Q221)+1,"")</f>
        <v/>
      </c>
      <c r="R222" t="str">
        <f t="shared" si="7"/>
        <v/>
      </c>
    </row>
    <row r="223" spans="1:18" ht="22.95" customHeight="1">
      <c r="A223" t="s">
        <v>763</v>
      </c>
      <c r="B223" t="s">
        <v>20</v>
      </c>
      <c r="C223" t="s">
        <v>55</v>
      </c>
      <c r="D223" t="s">
        <v>56</v>
      </c>
      <c r="E223" t="s">
        <v>539</v>
      </c>
      <c r="F223">
        <v>1</v>
      </c>
      <c r="G223" t="s">
        <v>139</v>
      </c>
      <c r="I223" t="s">
        <v>764</v>
      </c>
      <c r="L223" t="s">
        <v>765</v>
      </c>
      <c r="M223" t="s">
        <v>73</v>
      </c>
      <c r="P223">
        <f t="shared" si="6"/>
        <v>2</v>
      </c>
      <c r="Q223" t="str">
        <f>IF(AND(P223&gt;1,COUNTIF($E$6:E223,E223)=1),MAX($Q$5:Q222)+1,"")</f>
        <v/>
      </c>
      <c r="R223" t="str">
        <f t="shared" si="7"/>
        <v/>
      </c>
    </row>
    <row r="224" spans="1:18" ht="22.95" customHeight="1">
      <c r="A224" t="s">
        <v>763</v>
      </c>
      <c r="B224" t="s">
        <v>20</v>
      </c>
      <c r="C224" t="s">
        <v>55</v>
      </c>
      <c r="D224" t="s">
        <v>56</v>
      </c>
      <c r="E224" t="s">
        <v>532</v>
      </c>
      <c r="F224">
        <v>1</v>
      </c>
      <c r="G224" t="s">
        <v>139</v>
      </c>
      <c r="I224" t="s">
        <v>764</v>
      </c>
      <c r="L224" t="s">
        <v>766</v>
      </c>
      <c r="M224" t="s">
        <v>73</v>
      </c>
      <c r="P224">
        <f t="shared" si="6"/>
        <v>2</v>
      </c>
      <c r="Q224" t="str">
        <f>IF(AND(P224&gt;1,COUNTIF($E$6:E224,E224)=1),MAX($Q$5:Q223)+1,"")</f>
        <v/>
      </c>
      <c r="R224" t="str">
        <f t="shared" si="7"/>
        <v/>
      </c>
    </row>
    <row r="225" spans="1:18" ht="22.95" customHeight="1">
      <c r="A225" t="s">
        <v>763</v>
      </c>
      <c r="B225" t="s">
        <v>20</v>
      </c>
      <c r="C225" t="s">
        <v>55</v>
      </c>
      <c r="D225" t="s">
        <v>56</v>
      </c>
      <c r="E225" t="s">
        <v>542</v>
      </c>
      <c r="F225">
        <v>1</v>
      </c>
      <c r="G225" t="s">
        <v>139</v>
      </c>
      <c r="I225" t="s">
        <v>764</v>
      </c>
      <c r="L225" t="s">
        <v>767</v>
      </c>
      <c r="M225" t="s">
        <v>73</v>
      </c>
      <c r="P225">
        <f t="shared" si="6"/>
        <v>2</v>
      </c>
      <c r="Q225" t="str">
        <f>IF(AND(P225&gt;1,COUNTIF($E$6:E225,E225)=1),MAX($Q$5:Q224)+1,"")</f>
        <v/>
      </c>
      <c r="R225" t="str">
        <f t="shared" si="7"/>
        <v/>
      </c>
    </row>
    <row r="226" spans="1:18" ht="22.95" customHeight="1">
      <c r="A226" t="s">
        <v>763</v>
      </c>
      <c r="B226" t="s">
        <v>20</v>
      </c>
      <c r="C226" t="s">
        <v>55</v>
      </c>
      <c r="D226" t="s">
        <v>56</v>
      </c>
      <c r="E226" t="s">
        <v>541</v>
      </c>
      <c r="F226">
        <v>1</v>
      </c>
      <c r="G226" t="s">
        <v>139</v>
      </c>
      <c r="I226" t="s">
        <v>764</v>
      </c>
      <c r="L226" t="s">
        <v>768</v>
      </c>
      <c r="M226" t="s">
        <v>73</v>
      </c>
      <c r="P226">
        <f t="shared" si="6"/>
        <v>2</v>
      </c>
      <c r="Q226" t="str">
        <f>IF(AND(P226&gt;1,COUNTIF($E$6:E226,E226)=1),MAX($Q$5:Q225)+1,"")</f>
        <v/>
      </c>
      <c r="R226" t="str">
        <f t="shared" si="7"/>
        <v/>
      </c>
    </row>
    <row r="227" spans="1:18" ht="22.95" customHeight="1">
      <c r="A227" t="s">
        <v>763</v>
      </c>
      <c r="B227" t="s">
        <v>20</v>
      </c>
      <c r="C227" t="s">
        <v>55</v>
      </c>
      <c r="D227" t="s">
        <v>56</v>
      </c>
      <c r="E227" t="s">
        <v>537</v>
      </c>
      <c r="F227">
        <v>1</v>
      </c>
      <c r="G227" t="s">
        <v>139</v>
      </c>
      <c r="I227" t="s">
        <v>769</v>
      </c>
      <c r="L227" t="s">
        <v>770</v>
      </c>
      <c r="M227" t="s">
        <v>73</v>
      </c>
      <c r="P227">
        <f t="shared" si="6"/>
        <v>2</v>
      </c>
      <c r="Q227" t="str">
        <f>IF(AND(P227&gt;1,COUNTIF($E$6:E227,E227)=1),MAX($Q$5:Q226)+1,"")</f>
        <v/>
      </c>
      <c r="R227" t="str">
        <f t="shared" si="7"/>
        <v/>
      </c>
    </row>
    <row r="228" spans="1:18" ht="22.95" customHeight="1">
      <c r="A228" t="s">
        <v>763</v>
      </c>
      <c r="B228" t="s">
        <v>20</v>
      </c>
      <c r="C228" t="s">
        <v>55</v>
      </c>
      <c r="D228" t="s">
        <v>56</v>
      </c>
      <c r="E228" t="s">
        <v>771</v>
      </c>
      <c r="F228">
        <v>1</v>
      </c>
      <c r="G228" t="s">
        <v>772</v>
      </c>
      <c r="I228" t="s">
        <v>773</v>
      </c>
      <c r="J228" t="s">
        <v>245</v>
      </c>
      <c r="L228" t="s">
        <v>774</v>
      </c>
      <c r="M228" t="s">
        <v>73</v>
      </c>
      <c r="P228">
        <f t="shared" si="6"/>
        <v>1</v>
      </c>
      <c r="Q228" t="str">
        <f>IF(AND(P228&gt;1,COUNTIF($E$6:E228,E228)=1),MAX($Q$5:Q227)+1,"")</f>
        <v/>
      </c>
      <c r="R228" t="str">
        <f t="shared" si="7"/>
        <v/>
      </c>
    </row>
    <row r="229" spans="1:18" ht="22.95" customHeight="1">
      <c r="A229" t="s">
        <v>763</v>
      </c>
      <c r="B229" t="s">
        <v>20</v>
      </c>
      <c r="C229" t="s">
        <v>55</v>
      </c>
      <c r="D229" t="s">
        <v>56</v>
      </c>
      <c r="E229" t="s">
        <v>775</v>
      </c>
      <c r="F229">
        <v>1</v>
      </c>
      <c r="G229" t="s">
        <v>772</v>
      </c>
      <c r="I229" t="s">
        <v>773</v>
      </c>
      <c r="J229" t="s">
        <v>245</v>
      </c>
      <c r="L229" t="s">
        <v>774</v>
      </c>
      <c r="M229" t="s">
        <v>73</v>
      </c>
      <c r="P229">
        <f t="shared" si="6"/>
        <v>1</v>
      </c>
      <c r="Q229" t="str">
        <f>IF(AND(P229&gt;1,COUNTIF($E$6:E229,E229)=1),MAX($Q$5:Q228)+1,"")</f>
        <v/>
      </c>
      <c r="R229" t="str">
        <f t="shared" si="7"/>
        <v/>
      </c>
    </row>
    <row r="230" spans="1:18" ht="22.95" customHeight="1">
      <c r="A230" t="s">
        <v>763</v>
      </c>
      <c r="B230" t="s">
        <v>20</v>
      </c>
      <c r="C230" t="s">
        <v>55</v>
      </c>
      <c r="D230" t="s">
        <v>56</v>
      </c>
      <c r="E230" t="s">
        <v>776</v>
      </c>
      <c r="F230">
        <v>1</v>
      </c>
      <c r="G230" t="s">
        <v>772</v>
      </c>
      <c r="I230" t="s">
        <v>773</v>
      </c>
      <c r="J230" t="s">
        <v>245</v>
      </c>
      <c r="L230" t="s">
        <v>774</v>
      </c>
      <c r="M230" t="s">
        <v>73</v>
      </c>
      <c r="P230">
        <f t="shared" si="6"/>
        <v>1</v>
      </c>
      <c r="Q230" t="str">
        <f>IF(AND(P230&gt;1,COUNTIF($E$6:E230,E230)=1),MAX($Q$5:Q229)+1,"")</f>
        <v/>
      </c>
      <c r="R230" t="str">
        <f t="shared" si="7"/>
        <v/>
      </c>
    </row>
    <row r="231" spans="1:18" ht="22.95" customHeight="1">
      <c r="A231" t="s">
        <v>763</v>
      </c>
      <c r="B231" t="s">
        <v>20</v>
      </c>
      <c r="C231" t="s">
        <v>55</v>
      </c>
      <c r="D231" t="s">
        <v>56</v>
      </c>
      <c r="E231" t="s">
        <v>777</v>
      </c>
      <c r="F231">
        <v>1</v>
      </c>
      <c r="G231" t="s">
        <v>772</v>
      </c>
      <c r="I231" t="s">
        <v>773</v>
      </c>
      <c r="J231" t="s">
        <v>245</v>
      </c>
      <c r="L231" t="s">
        <v>774</v>
      </c>
      <c r="M231" t="s">
        <v>73</v>
      </c>
      <c r="P231">
        <f t="shared" si="6"/>
        <v>1</v>
      </c>
      <c r="Q231" t="str">
        <f>IF(AND(P231&gt;1,COUNTIF($E$6:E231,E231)=1),MAX($Q$5:Q230)+1,"")</f>
        <v/>
      </c>
      <c r="R231" t="str">
        <f t="shared" si="7"/>
        <v/>
      </c>
    </row>
    <row r="232" spans="1:18" ht="22.95" customHeight="1">
      <c r="A232" t="s">
        <v>763</v>
      </c>
      <c r="B232" t="s">
        <v>20</v>
      </c>
      <c r="C232" t="s">
        <v>55</v>
      </c>
      <c r="D232" t="s">
        <v>56</v>
      </c>
      <c r="E232" t="s">
        <v>778</v>
      </c>
      <c r="F232">
        <v>1</v>
      </c>
      <c r="G232" t="s">
        <v>772</v>
      </c>
      <c r="I232" t="s">
        <v>773</v>
      </c>
      <c r="J232" t="s">
        <v>245</v>
      </c>
      <c r="L232" t="s">
        <v>774</v>
      </c>
      <c r="M232" t="s">
        <v>73</v>
      </c>
      <c r="P232">
        <f t="shared" si="6"/>
        <v>1</v>
      </c>
      <c r="Q232" t="str">
        <f>IF(AND(P232&gt;1,COUNTIF($E$6:E232,E232)=1),MAX($Q$5:Q231)+1,"")</f>
        <v/>
      </c>
      <c r="R232" t="str">
        <f t="shared" si="7"/>
        <v/>
      </c>
    </row>
    <row r="233" spans="1:18" ht="22.95" customHeight="1">
      <c r="A233" t="s">
        <v>763</v>
      </c>
      <c r="B233" t="s">
        <v>22</v>
      </c>
      <c r="C233" t="s">
        <v>779</v>
      </c>
      <c r="D233" t="s">
        <v>780</v>
      </c>
      <c r="E233" t="s">
        <v>781</v>
      </c>
      <c r="F233">
        <v>1</v>
      </c>
      <c r="G233" t="s">
        <v>92</v>
      </c>
      <c r="I233" t="s">
        <v>782</v>
      </c>
      <c r="J233" t="s">
        <v>99</v>
      </c>
      <c r="L233" t="s">
        <v>783</v>
      </c>
      <c r="M233" t="s">
        <v>102</v>
      </c>
      <c r="P233">
        <f t="shared" si="6"/>
        <v>1</v>
      </c>
      <c r="Q233" t="str">
        <f>IF(AND(P233&gt;1,COUNTIF($E$6:E233,E233)=1),MAX($Q$5:Q232)+1,"")</f>
        <v/>
      </c>
      <c r="R233" t="str">
        <f t="shared" si="7"/>
        <v/>
      </c>
    </row>
    <row r="234" spans="1:18" ht="22.95" customHeight="1">
      <c r="A234" t="s">
        <v>763</v>
      </c>
      <c r="B234" t="s">
        <v>23</v>
      </c>
      <c r="C234" t="s">
        <v>103</v>
      </c>
      <c r="D234" t="s">
        <v>104</v>
      </c>
      <c r="E234" t="s">
        <v>784</v>
      </c>
      <c r="F234">
        <v>1</v>
      </c>
      <c r="G234" t="s">
        <v>92</v>
      </c>
      <c r="I234" t="s">
        <v>785</v>
      </c>
      <c r="K234" t="s">
        <v>109</v>
      </c>
      <c r="L234" t="s">
        <v>786</v>
      </c>
      <c r="M234" t="s">
        <v>62</v>
      </c>
      <c r="N234" t="s">
        <v>520</v>
      </c>
      <c r="P234">
        <f t="shared" si="6"/>
        <v>1</v>
      </c>
      <c r="Q234" t="str">
        <f>IF(AND(P234&gt;1,COUNTIF($E$6:E234,E234)=1),MAX($Q$5:Q233)+1,"")</f>
        <v/>
      </c>
      <c r="R234" t="str">
        <f t="shared" si="7"/>
        <v/>
      </c>
    </row>
    <row r="235" spans="1:18" ht="22.95" customHeight="1">
      <c r="A235" t="s">
        <v>763</v>
      </c>
      <c r="B235" t="s">
        <v>23</v>
      </c>
      <c r="C235" t="s">
        <v>103</v>
      </c>
      <c r="D235" t="s">
        <v>104</v>
      </c>
      <c r="E235" t="s">
        <v>787</v>
      </c>
      <c r="F235">
        <v>1</v>
      </c>
      <c r="G235" t="s">
        <v>92</v>
      </c>
      <c r="I235" t="s">
        <v>788</v>
      </c>
      <c r="K235" t="s">
        <v>109</v>
      </c>
      <c r="L235" t="s">
        <v>789</v>
      </c>
      <c r="M235" t="s">
        <v>62</v>
      </c>
      <c r="N235" t="s">
        <v>520</v>
      </c>
      <c r="P235">
        <f t="shared" si="6"/>
        <v>1</v>
      </c>
      <c r="Q235" t="str">
        <f>IF(AND(P235&gt;1,COUNTIF($E$6:E235,E235)=1),MAX($Q$5:Q234)+1,"")</f>
        <v/>
      </c>
      <c r="R235" t="str">
        <f t="shared" si="7"/>
        <v/>
      </c>
    </row>
    <row r="236" spans="1:18" ht="22.95" customHeight="1">
      <c r="A236" t="s">
        <v>763</v>
      </c>
      <c r="B236" t="s">
        <v>25</v>
      </c>
      <c r="C236" t="s">
        <v>115</v>
      </c>
      <c r="D236" t="s">
        <v>116</v>
      </c>
      <c r="E236" t="s">
        <v>790</v>
      </c>
      <c r="F236">
        <v>1</v>
      </c>
      <c r="G236" t="s">
        <v>411</v>
      </c>
      <c r="H236" t="s">
        <v>409</v>
      </c>
      <c r="I236" t="s">
        <v>791</v>
      </c>
      <c r="L236" t="s">
        <v>792</v>
      </c>
      <c r="M236" t="s">
        <v>62</v>
      </c>
      <c r="N236" t="s">
        <v>130</v>
      </c>
      <c r="P236">
        <f t="shared" si="6"/>
        <v>1</v>
      </c>
      <c r="Q236" t="str">
        <f>IF(AND(P236&gt;1,COUNTIF($E$6:E236,E236)=1),MAX($Q$5:Q235)+1,"")</f>
        <v/>
      </c>
      <c r="R236" t="str">
        <f t="shared" si="7"/>
        <v/>
      </c>
    </row>
    <row r="237" spans="1:18" ht="22.95" customHeight="1">
      <c r="A237" t="s">
        <v>763</v>
      </c>
      <c r="B237" t="s">
        <v>25</v>
      </c>
      <c r="C237" t="s">
        <v>115</v>
      </c>
      <c r="D237" t="s">
        <v>116</v>
      </c>
      <c r="E237" t="s">
        <v>793</v>
      </c>
      <c r="F237">
        <v>1</v>
      </c>
      <c r="G237" t="s">
        <v>411</v>
      </c>
      <c r="H237" t="s">
        <v>409</v>
      </c>
      <c r="I237" t="s">
        <v>791</v>
      </c>
      <c r="L237" t="s">
        <v>794</v>
      </c>
      <c r="M237" t="s">
        <v>62</v>
      </c>
      <c r="N237" t="s">
        <v>130</v>
      </c>
      <c r="P237">
        <f t="shared" si="6"/>
        <v>1</v>
      </c>
      <c r="Q237" t="str">
        <f>IF(AND(P237&gt;1,COUNTIF($E$6:E237,E237)=1),MAX($Q$5:Q236)+1,"")</f>
        <v/>
      </c>
      <c r="R237" t="str">
        <f t="shared" si="7"/>
        <v/>
      </c>
    </row>
    <row r="238" spans="1:18" ht="22.95" customHeight="1">
      <c r="A238" t="s">
        <v>763</v>
      </c>
      <c r="B238" t="s">
        <v>25</v>
      </c>
      <c r="C238" t="s">
        <v>131</v>
      </c>
      <c r="D238" t="s">
        <v>132</v>
      </c>
      <c r="E238" t="s">
        <v>795</v>
      </c>
      <c r="F238">
        <v>1</v>
      </c>
      <c r="G238" t="s">
        <v>604</v>
      </c>
      <c r="H238" t="s">
        <v>796</v>
      </c>
      <c r="I238" t="s">
        <v>797</v>
      </c>
      <c r="L238" t="s">
        <v>798</v>
      </c>
      <c r="M238" t="s">
        <v>73</v>
      </c>
      <c r="P238">
        <f t="shared" si="6"/>
        <v>1</v>
      </c>
      <c r="Q238" t="str">
        <f>IF(AND(P238&gt;1,COUNTIF($E$6:E238,E238)=1),MAX($Q$5:Q237)+1,"")</f>
        <v/>
      </c>
      <c r="R238" t="str">
        <f t="shared" si="7"/>
        <v/>
      </c>
    </row>
    <row r="239" spans="1:18" ht="22.95" customHeight="1">
      <c r="A239" t="s">
        <v>763</v>
      </c>
      <c r="B239" t="s">
        <v>25</v>
      </c>
      <c r="C239" t="s">
        <v>131</v>
      </c>
      <c r="D239" t="s">
        <v>132</v>
      </c>
      <c r="E239" t="s">
        <v>799</v>
      </c>
      <c r="F239">
        <v>1</v>
      </c>
      <c r="G239" t="s">
        <v>604</v>
      </c>
      <c r="H239" t="s">
        <v>796</v>
      </c>
      <c r="I239" t="s">
        <v>800</v>
      </c>
      <c r="L239" t="s">
        <v>798</v>
      </c>
      <c r="M239" t="s">
        <v>73</v>
      </c>
      <c r="P239">
        <f t="shared" si="6"/>
        <v>1</v>
      </c>
      <c r="Q239" t="str">
        <f>IF(AND(P239&gt;1,COUNTIF($E$6:E239,E239)=1),MAX($Q$5:Q238)+1,"")</f>
        <v/>
      </c>
      <c r="R239" t="str">
        <f t="shared" si="7"/>
        <v/>
      </c>
    </row>
    <row r="240" spans="1:18" ht="22.95" customHeight="1">
      <c r="A240" t="s">
        <v>763</v>
      </c>
      <c r="B240" t="s">
        <v>24</v>
      </c>
      <c r="C240" t="s">
        <v>426</v>
      </c>
      <c r="D240" t="s">
        <v>427</v>
      </c>
      <c r="E240" t="s">
        <v>801</v>
      </c>
      <c r="F240">
        <v>1</v>
      </c>
      <c r="G240" t="s">
        <v>183</v>
      </c>
      <c r="H240" t="s">
        <v>698</v>
      </c>
      <c r="I240" t="s">
        <v>802</v>
      </c>
      <c r="K240" t="s">
        <v>803</v>
      </c>
      <c r="L240" t="s">
        <v>804</v>
      </c>
      <c r="M240" t="s">
        <v>73</v>
      </c>
      <c r="P240">
        <f t="shared" si="6"/>
        <v>1</v>
      </c>
      <c r="Q240" t="str">
        <f>IF(AND(P240&gt;1,COUNTIF($E$6:E240,E240)=1),MAX($Q$5:Q239)+1,"")</f>
        <v/>
      </c>
      <c r="R240" t="str">
        <f t="shared" si="7"/>
        <v/>
      </c>
    </row>
    <row r="241" spans="1:18" ht="22.95" customHeight="1">
      <c r="A241" t="s">
        <v>763</v>
      </c>
      <c r="B241" t="s">
        <v>24</v>
      </c>
      <c r="C241" t="s">
        <v>426</v>
      </c>
      <c r="D241" t="s">
        <v>427</v>
      </c>
      <c r="E241" t="s">
        <v>805</v>
      </c>
      <c r="F241">
        <v>1</v>
      </c>
      <c r="H241" t="s">
        <v>698</v>
      </c>
      <c r="I241" t="s">
        <v>806</v>
      </c>
      <c r="L241" t="s">
        <v>807</v>
      </c>
      <c r="M241" t="s">
        <v>62</v>
      </c>
      <c r="N241" t="s">
        <v>520</v>
      </c>
      <c r="P241">
        <f t="shared" si="6"/>
        <v>1</v>
      </c>
      <c r="Q241" t="str">
        <f>IF(AND(P241&gt;1,COUNTIF($E$6:E241,E241)=1),MAX($Q$5:Q240)+1,"")</f>
        <v/>
      </c>
      <c r="R241" t="str">
        <f t="shared" si="7"/>
        <v/>
      </c>
    </row>
    <row r="242" spans="1:18" ht="22.95" customHeight="1">
      <c r="A242" t="s">
        <v>763</v>
      </c>
      <c r="B242" t="s">
        <v>24</v>
      </c>
      <c r="C242" t="s">
        <v>426</v>
      </c>
      <c r="D242" t="s">
        <v>427</v>
      </c>
      <c r="E242" t="s">
        <v>808</v>
      </c>
      <c r="F242">
        <v>1</v>
      </c>
      <c r="G242" t="s">
        <v>183</v>
      </c>
      <c r="H242" t="s">
        <v>698</v>
      </c>
      <c r="I242" t="s">
        <v>809</v>
      </c>
      <c r="K242" t="s">
        <v>803</v>
      </c>
      <c r="L242" t="s">
        <v>810</v>
      </c>
      <c r="M242" t="s">
        <v>62</v>
      </c>
      <c r="N242" t="s">
        <v>811</v>
      </c>
      <c r="P242">
        <f t="shared" si="6"/>
        <v>1</v>
      </c>
      <c r="Q242" t="str">
        <f>IF(AND(P242&gt;1,COUNTIF($E$6:E242,E242)=1),MAX($Q$5:Q241)+1,"")</f>
        <v/>
      </c>
      <c r="R242" t="str">
        <f t="shared" si="7"/>
        <v/>
      </c>
    </row>
    <row r="243" spans="1:18" ht="22.95" customHeight="1">
      <c r="A243" t="s">
        <v>763</v>
      </c>
      <c r="B243" t="s">
        <v>24</v>
      </c>
      <c r="C243" t="s">
        <v>426</v>
      </c>
      <c r="D243" t="s">
        <v>427</v>
      </c>
      <c r="E243" t="s">
        <v>812</v>
      </c>
      <c r="F243">
        <v>1</v>
      </c>
      <c r="G243" t="s">
        <v>183</v>
      </c>
      <c r="H243" t="s">
        <v>698</v>
      </c>
      <c r="I243" t="s">
        <v>809</v>
      </c>
      <c r="K243" t="s">
        <v>803</v>
      </c>
      <c r="L243" t="s">
        <v>813</v>
      </c>
      <c r="M243" t="s">
        <v>62</v>
      </c>
      <c r="N243" t="s">
        <v>811</v>
      </c>
      <c r="P243">
        <f t="shared" si="6"/>
        <v>1</v>
      </c>
      <c r="Q243" t="str">
        <f>IF(AND(P243&gt;1,COUNTIF($E$6:E243,E243)=1),MAX($Q$5:Q242)+1,"")</f>
        <v/>
      </c>
      <c r="R243" t="str">
        <f t="shared" si="7"/>
        <v/>
      </c>
    </row>
    <row r="244" spans="1:18" ht="22.95" customHeight="1">
      <c r="A244" t="s">
        <v>763</v>
      </c>
      <c r="B244" t="s">
        <v>24</v>
      </c>
      <c r="C244" t="s">
        <v>426</v>
      </c>
      <c r="D244" t="s">
        <v>427</v>
      </c>
      <c r="E244" t="s">
        <v>814</v>
      </c>
      <c r="F244">
        <v>1</v>
      </c>
      <c r="G244" t="s">
        <v>183</v>
      </c>
      <c r="H244" t="s">
        <v>698</v>
      </c>
      <c r="I244" t="s">
        <v>815</v>
      </c>
      <c r="K244" t="s">
        <v>803</v>
      </c>
      <c r="L244" t="s">
        <v>816</v>
      </c>
      <c r="M244" t="s">
        <v>62</v>
      </c>
      <c r="N244" t="s">
        <v>811</v>
      </c>
      <c r="P244">
        <f t="shared" si="6"/>
        <v>1</v>
      </c>
      <c r="Q244" t="str">
        <f>IF(AND(P244&gt;1,COUNTIF($E$6:E244,E244)=1),MAX($Q$5:Q243)+1,"")</f>
        <v/>
      </c>
      <c r="R244" t="str">
        <f t="shared" si="7"/>
        <v/>
      </c>
    </row>
    <row r="245" spans="1:18" ht="22.95" customHeight="1">
      <c r="A245" t="s">
        <v>763</v>
      </c>
      <c r="B245" t="s">
        <v>24</v>
      </c>
      <c r="C245" t="s">
        <v>431</v>
      </c>
      <c r="D245" t="s">
        <v>216</v>
      </c>
      <c r="E245" t="s">
        <v>817</v>
      </c>
      <c r="F245">
        <v>1</v>
      </c>
      <c r="I245" t="s">
        <v>818</v>
      </c>
      <c r="K245" t="s">
        <v>819</v>
      </c>
      <c r="L245" t="s">
        <v>820</v>
      </c>
      <c r="M245" t="s">
        <v>102</v>
      </c>
      <c r="P245">
        <f t="shared" si="6"/>
        <v>1</v>
      </c>
      <c r="Q245" t="str">
        <f>IF(AND(P245&gt;1,COUNTIF($E$6:E245,E245)=1),MAX($Q$5:Q244)+1,"")</f>
        <v/>
      </c>
      <c r="R245" t="str">
        <f t="shared" si="7"/>
        <v/>
      </c>
    </row>
    <row r="246" spans="1:18" ht="22.95" customHeight="1">
      <c r="A246" t="s">
        <v>763</v>
      </c>
      <c r="B246" t="s">
        <v>24</v>
      </c>
      <c r="C246" t="s">
        <v>136</v>
      </c>
      <c r="D246" t="s">
        <v>674</v>
      </c>
      <c r="E246" t="s">
        <v>821</v>
      </c>
      <c r="F246">
        <v>1</v>
      </c>
      <c r="G246" t="s">
        <v>139</v>
      </c>
      <c r="I246" t="s">
        <v>822</v>
      </c>
      <c r="K246" t="s">
        <v>637</v>
      </c>
      <c r="L246" t="s">
        <v>823</v>
      </c>
      <c r="M246" t="s">
        <v>62</v>
      </c>
      <c r="N246" t="s">
        <v>520</v>
      </c>
      <c r="P246">
        <f t="shared" si="6"/>
        <v>1</v>
      </c>
      <c r="Q246" t="str">
        <f>IF(AND(P246&gt;1,COUNTIF($E$6:E246,E246)=1),MAX($Q$5:Q245)+1,"")</f>
        <v/>
      </c>
      <c r="R246" t="str">
        <f t="shared" si="7"/>
        <v/>
      </c>
    </row>
    <row r="247" spans="1:18" ht="22.95" customHeight="1">
      <c r="A247" t="s">
        <v>763</v>
      </c>
      <c r="B247" t="s">
        <v>24</v>
      </c>
      <c r="C247" t="s">
        <v>443</v>
      </c>
      <c r="D247" t="s">
        <v>444</v>
      </c>
      <c r="E247" t="s">
        <v>824</v>
      </c>
      <c r="F247">
        <v>1</v>
      </c>
      <c r="G247" t="s">
        <v>825</v>
      </c>
      <c r="H247" t="s">
        <v>826</v>
      </c>
      <c r="I247" t="s">
        <v>827</v>
      </c>
      <c r="K247" t="s">
        <v>828</v>
      </c>
      <c r="L247" t="s">
        <v>829</v>
      </c>
      <c r="M247" t="s">
        <v>73</v>
      </c>
      <c r="P247">
        <f t="shared" si="6"/>
        <v>1</v>
      </c>
      <c r="Q247" t="str">
        <f>IF(AND(P247&gt;1,COUNTIF($E$6:E247,E247)=1),MAX($Q$5:Q246)+1,"")</f>
        <v/>
      </c>
      <c r="R247" t="str">
        <f t="shared" si="7"/>
        <v/>
      </c>
    </row>
    <row r="248" spans="1:18" ht="22.95" customHeight="1">
      <c r="A248" t="s">
        <v>763</v>
      </c>
      <c r="B248" t="s">
        <v>24</v>
      </c>
      <c r="C248" t="s">
        <v>443</v>
      </c>
      <c r="D248" t="s">
        <v>444</v>
      </c>
      <c r="E248" t="s">
        <v>830</v>
      </c>
      <c r="F248">
        <v>1</v>
      </c>
      <c r="G248" t="s">
        <v>183</v>
      </c>
      <c r="H248" t="s">
        <v>831</v>
      </c>
      <c r="I248" t="s">
        <v>832</v>
      </c>
      <c r="J248" t="s">
        <v>245</v>
      </c>
      <c r="K248" t="s">
        <v>833</v>
      </c>
      <c r="L248" t="s">
        <v>834</v>
      </c>
      <c r="M248" t="s">
        <v>62</v>
      </c>
      <c r="N248" t="s">
        <v>520</v>
      </c>
      <c r="P248">
        <f t="shared" si="6"/>
        <v>1</v>
      </c>
      <c r="Q248" t="str">
        <f>IF(AND(P248&gt;1,COUNTIF($E$6:E248,E248)=1),MAX($Q$5:Q247)+1,"")</f>
        <v/>
      </c>
      <c r="R248" t="str">
        <f t="shared" si="7"/>
        <v/>
      </c>
    </row>
    <row r="249" spans="1:18" ht="22.95" customHeight="1">
      <c r="A249" t="s">
        <v>763</v>
      </c>
      <c r="B249" t="s">
        <v>24</v>
      </c>
      <c r="C249" t="s">
        <v>443</v>
      </c>
      <c r="D249" t="s">
        <v>444</v>
      </c>
      <c r="E249" t="s">
        <v>835</v>
      </c>
      <c r="F249">
        <v>1</v>
      </c>
      <c r="G249" t="s">
        <v>836</v>
      </c>
      <c r="I249" t="s">
        <v>140</v>
      </c>
      <c r="K249" t="s">
        <v>837</v>
      </c>
      <c r="L249" t="s">
        <v>838</v>
      </c>
      <c r="M249" t="s">
        <v>102</v>
      </c>
      <c r="P249">
        <f t="shared" si="6"/>
        <v>1</v>
      </c>
      <c r="Q249" t="str">
        <f>IF(AND(P249&gt;1,COUNTIF($E$6:E249,E249)=1),MAX($Q$5:Q248)+1,"")</f>
        <v/>
      </c>
      <c r="R249" t="str">
        <f t="shared" si="7"/>
        <v/>
      </c>
    </row>
    <row r="250" spans="1:18" ht="22.95" customHeight="1">
      <c r="A250" t="s">
        <v>763</v>
      </c>
      <c r="B250" t="s">
        <v>28</v>
      </c>
      <c r="C250" t="s">
        <v>146</v>
      </c>
      <c r="D250" t="s">
        <v>147</v>
      </c>
      <c r="E250" t="s">
        <v>839</v>
      </c>
      <c r="F250">
        <v>1</v>
      </c>
      <c r="I250" t="s">
        <v>840</v>
      </c>
      <c r="K250" t="s">
        <v>687</v>
      </c>
      <c r="L250" t="s">
        <v>841</v>
      </c>
      <c r="M250" t="s">
        <v>73</v>
      </c>
      <c r="P250">
        <f t="shared" si="6"/>
        <v>1</v>
      </c>
      <c r="Q250" t="str">
        <f>IF(AND(P250&gt;1,COUNTIF($E$6:E250,E250)=1),MAX($Q$5:Q249)+1,"")</f>
        <v/>
      </c>
      <c r="R250" t="str">
        <f t="shared" si="7"/>
        <v/>
      </c>
    </row>
    <row r="251" spans="1:18" ht="22.95" customHeight="1">
      <c r="A251" t="s">
        <v>763</v>
      </c>
      <c r="B251" t="s">
        <v>28</v>
      </c>
      <c r="C251" t="s">
        <v>146</v>
      </c>
      <c r="D251" t="s">
        <v>147</v>
      </c>
      <c r="E251" t="s">
        <v>842</v>
      </c>
      <c r="F251">
        <v>1</v>
      </c>
      <c r="I251" t="s">
        <v>843</v>
      </c>
      <c r="K251" t="s">
        <v>687</v>
      </c>
      <c r="L251" t="s">
        <v>841</v>
      </c>
      <c r="M251" t="s">
        <v>73</v>
      </c>
      <c r="P251">
        <f t="shared" si="6"/>
        <v>1</v>
      </c>
      <c r="Q251" t="str">
        <f>IF(AND(P251&gt;1,COUNTIF($E$6:E251,E251)=1),MAX($Q$5:Q250)+1,"")</f>
        <v/>
      </c>
      <c r="R251" t="str">
        <f t="shared" si="7"/>
        <v/>
      </c>
    </row>
    <row r="252" spans="1:18" ht="22.95" customHeight="1">
      <c r="A252" t="s">
        <v>763</v>
      </c>
      <c r="B252" t="s">
        <v>28</v>
      </c>
      <c r="C252" t="s">
        <v>146</v>
      </c>
      <c r="D252" t="s">
        <v>147</v>
      </c>
      <c r="E252" t="s">
        <v>844</v>
      </c>
      <c r="F252">
        <v>1</v>
      </c>
      <c r="I252" t="s">
        <v>845</v>
      </c>
      <c r="K252" t="s">
        <v>687</v>
      </c>
      <c r="L252" t="s">
        <v>841</v>
      </c>
      <c r="M252" t="s">
        <v>73</v>
      </c>
      <c r="P252">
        <f t="shared" si="6"/>
        <v>1</v>
      </c>
      <c r="Q252" t="str">
        <f>IF(AND(P252&gt;1,COUNTIF($E$6:E252,E252)=1),MAX($Q$5:Q251)+1,"")</f>
        <v/>
      </c>
      <c r="R252" t="str">
        <f t="shared" si="7"/>
        <v/>
      </c>
    </row>
    <row r="253" spans="1:18" ht="22.95" customHeight="1">
      <c r="A253" t="s">
        <v>763</v>
      </c>
      <c r="B253" t="s">
        <v>28</v>
      </c>
      <c r="C253" t="s">
        <v>167</v>
      </c>
      <c r="D253" t="s">
        <v>168</v>
      </c>
      <c r="E253" t="s">
        <v>846</v>
      </c>
      <c r="F253">
        <v>1</v>
      </c>
      <c r="G253" t="s">
        <v>454</v>
      </c>
      <c r="H253" t="s">
        <v>847</v>
      </c>
      <c r="I253" t="s">
        <v>848</v>
      </c>
      <c r="K253" t="s">
        <v>849</v>
      </c>
      <c r="L253" t="s">
        <v>850</v>
      </c>
      <c r="M253" t="s">
        <v>73</v>
      </c>
      <c r="P253">
        <f t="shared" si="6"/>
        <v>1</v>
      </c>
      <c r="Q253" t="str">
        <f>IF(AND(P253&gt;1,COUNTIF($E$6:E253,E253)=1),MAX($Q$5:Q252)+1,"")</f>
        <v/>
      </c>
      <c r="R253" t="str">
        <f t="shared" si="7"/>
        <v/>
      </c>
    </row>
    <row r="254" spans="1:18" ht="22.95" customHeight="1">
      <c r="A254" t="s">
        <v>763</v>
      </c>
      <c r="B254" t="s">
        <v>28</v>
      </c>
      <c r="C254" t="s">
        <v>167</v>
      </c>
      <c r="D254" t="s">
        <v>851</v>
      </c>
      <c r="E254" t="s">
        <v>852</v>
      </c>
      <c r="F254">
        <v>1</v>
      </c>
      <c r="G254" t="s">
        <v>454</v>
      </c>
      <c r="H254" t="s">
        <v>847</v>
      </c>
      <c r="I254" t="s">
        <v>848</v>
      </c>
      <c r="K254" t="s">
        <v>849</v>
      </c>
      <c r="L254" t="s">
        <v>853</v>
      </c>
      <c r="M254" t="s">
        <v>73</v>
      </c>
      <c r="P254">
        <f t="shared" si="6"/>
        <v>1</v>
      </c>
      <c r="Q254" t="str">
        <f>IF(AND(P254&gt;1,COUNTIF($E$6:E254,E254)=1),MAX($Q$5:Q253)+1,"")</f>
        <v/>
      </c>
      <c r="R254" t="str">
        <f t="shared" si="7"/>
        <v/>
      </c>
    </row>
    <row r="255" spans="1:18" ht="22.95" customHeight="1">
      <c r="A255" t="s">
        <v>763</v>
      </c>
      <c r="B255" t="s">
        <v>28</v>
      </c>
      <c r="C255" t="s">
        <v>167</v>
      </c>
      <c r="D255" t="s">
        <v>851</v>
      </c>
      <c r="E255" t="s">
        <v>854</v>
      </c>
      <c r="F255">
        <v>1</v>
      </c>
      <c r="G255" t="s">
        <v>454</v>
      </c>
      <c r="H255" t="s">
        <v>847</v>
      </c>
      <c r="I255" t="s">
        <v>848</v>
      </c>
      <c r="K255" t="s">
        <v>849</v>
      </c>
      <c r="L255" t="s">
        <v>853</v>
      </c>
      <c r="M255" t="s">
        <v>73</v>
      </c>
      <c r="P255">
        <f t="shared" si="6"/>
        <v>1</v>
      </c>
      <c r="Q255" t="str">
        <f>IF(AND(P255&gt;1,COUNTIF($E$6:E255,E255)=1),MAX($Q$5:Q254)+1,"")</f>
        <v/>
      </c>
      <c r="R255" t="str">
        <f t="shared" si="7"/>
        <v/>
      </c>
    </row>
    <row r="256" spans="1:18" ht="22.95" customHeight="1">
      <c r="A256" t="s">
        <v>763</v>
      </c>
      <c r="B256" t="s">
        <v>28</v>
      </c>
      <c r="C256" t="s">
        <v>167</v>
      </c>
      <c r="D256" t="s">
        <v>851</v>
      </c>
      <c r="E256" t="s">
        <v>855</v>
      </c>
      <c r="F256">
        <v>1</v>
      </c>
      <c r="G256" t="s">
        <v>454</v>
      </c>
      <c r="H256" t="s">
        <v>847</v>
      </c>
      <c r="I256" t="s">
        <v>848</v>
      </c>
      <c r="K256" t="s">
        <v>849</v>
      </c>
      <c r="L256" t="s">
        <v>853</v>
      </c>
      <c r="M256" t="s">
        <v>73</v>
      </c>
      <c r="P256">
        <f t="shared" si="6"/>
        <v>1</v>
      </c>
      <c r="Q256" t="str">
        <f>IF(AND(P256&gt;1,COUNTIF($E$6:E256,E256)=1),MAX($Q$5:Q255)+1,"")</f>
        <v/>
      </c>
      <c r="R256" t="str">
        <f t="shared" si="7"/>
        <v/>
      </c>
    </row>
    <row r="257" spans="1:18" ht="22.95" customHeight="1">
      <c r="A257" t="s">
        <v>763</v>
      </c>
      <c r="B257" t="s">
        <v>28</v>
      </c>
      <c r="C257" t="s">
        <v>167</v>
      </c>
      <c r="D257" t="s">
        <v>851</v>
      </c>
      <c r="E257" t="s">
        <v>856</v>
      </c>
      <c r="F257">
        <v>1</v>
      </c>
      <c r="G257" t="s">
        <v>454</v>
      </c>
      <c r="H257" t="s">
        <v>847</v>
      </c>
      <c r="I257" t="s">
        <v>848</v>
      </c>
      <c r="K257" t="s">
        <v>849</v>
      </c>
      <c r="L257" t="s">
        <v>857</v>
      </c>
      <c r="M257" t="s">
        <v>62</v>
      </c>
      <c r="N257" t="s">
        <v>303</v>
      </c>
      <c r="P257">
        <f t="shared" si="6"/>
        <v>1</v>
      </c>
      <c r="Q257" t="str">
        <f>IF(AND(P257&gt;1,COUNTIF($E$6:E257,E257)=1),MAX($Q$5:Q256)+1,"")</f>
        <v/>
      </c>
      <c r="R257" t="str">
        <f t="shared" si="7"/>
        <v/>
      </c>
    </row>
    <row r="258" spans="1:18" ht="22.95" customHeight="1">
      <c r="A258" t="s">
        <v>763</v>
      </c>
      <c r="B258" t="s">
        <v>28</v>
      </c>
      <c r="C258" t="s">
        <v>167</v>
      </c>
      <c r="D258" t="s">
        <v>851</v>
      </c>
      <c r="E258" t="s">
        <v>858</v>
      </c>
      <c r="F258">
        <v>1</v>
      </c>
      <c r="G258" t="s">
        <v>454</v>
      </c>
      <c r="H258" t="s">
        <v>847</v>
      </c>
      <c r="I258" t="s">
        <v>848</v>
      </c>
      <c r="K258" t="s">
        <v>849</v>
      </c>
      <c r="L258" t="s">
        <v>853</v>
      </c>
      <c r="M258" t="s">
        <v>73</v>
      </c>
      <c r="P258">
        <f t="shared" si="6"/>
        <v>1</v>
      </c>
      <c r="Q258" t="str">
        <f>IF(AND(P258&gt;1,COUNTIF($E$6:E258,E258)=1),MAX($Q$5:Q257)+1,"")</f>
        <v/>
      </c>
      <c r="R258" t="str">
        <f t="shared" si="7"/>
        <v/>
      </c>
    </row>
    <row r="259" spans="1:18" ht="22.95" customHeight="1">
      <c r="A259" t="s">
        <v>763</v>
      </c>
      <c r="B259" t="s">
        <v>28</v>
      </c>
      <c r="C259" t="s">
        <v>167</v>
      </c>
      <c r="D259" t="s">
        <v>851</v>
      </c>
      <c r="E259" t="s">
        <v>859</v>
      </c>
      <c r="F259">
        <v>1</v>
      </c>
      <c r="G259" t="s">
        <v>454</v>
      </c>
      <c r="H259" t="s">
        <v>847</v>
      </c>
      <c r="I259" t="s">
        <v>848</v>
      </c>
      <c r="K259" t="s">
        <v>849</v>
      </c>
      <c r="L259" t="s">
        <v>853</v>
      </c>
      <c r="M259" t="s">
        <v>73</v>
      </c>
      <c r="P259">
        <f t="shared" si="6"/>
        <v>1</v>
      </c>
      <c r="Q259" t="str">
        <f>IF(AND(P259&gt;1,COUNTIF($E$6:E259,E259)=1),MAX($Q$5:Q258)+1,"")</f>
        <v/>
      </c>
      <c r="R259" t="str">
        <f t="shared" si="7"/>
        <v/>
      </c>
    </row>
    <row r="260" spans="1:18" ht="22.95" customHeight="1">
      <c r="A260" t="s">
        <v>763</v>
      </c>
      <c r="B260" t="s">
        <v>28</v>
      </c>
      <c r="C260" t="s">
        <v>167</v>
      </c>
      <c r="D260" t="s">
        <v>851</v>
      </c>
      <c r="E260" t="s">
        <v>860</v>
      </c>
      <c r="F260">
        <v>1</v>
      </c>
      <c r="G260" t="s">
        <v>454</v>
      </c>
      <c r="H260" t="s">
        <v>847</v>
      </c>
      <c r="I260" t="s">
        <v>848</v>
      </c>
      <c r="K260" t="s">
        <v>849</v>
      </c>
      <c r="L260" t="s">
        <v>861</v>
      </c>
      <c r="M260" t="s">
        <v>73</v>
      </c>
      <c r="P260">
        <f t="shared" si="6"/>
        <v>1</v>
      </c>
      <c r="Q260" t="str">
        <f>IF(AND(P260&gt;1,COUNTIF($E$6:E260,E260)=1),MAX($Q$5:Q259)+1,"")</f>
        <v/>
      </c>
      <c r="R260" t="str">
        <f t="shared" si="7"/>
        <v/>
      </c>
    </row>
    <row r="261" spans="1:18" ht="22.95" customHeight="1">
      <c r="A261" t="s">
        <v>763</v>
      </c>
      <c r="B261" t="s">
        <v>28</v>
      </c>
      <c r="C261" t="s">
        <v>167</v>
      </c>
      <c r="D261" t="s">
        <v>851</v>
      </c>
      <c r="E261" t="s">
        <v>862</v>
      </c>
      <c r="F261">
        <v>1</v>
      </c>
      <c r="G261" t="s">
        <v>454</v>
      </c>
      <c r="H261" t="s">
        <v>847</v>
      </c>
      <c r="I261" t="s">
        <v>848</v>
      </c>
      <c r="K261" t="s">
        <v>849</v>
      </c>
      <c r="L261" t="s">
        <v>853</v>
      </c>
      <c r="M261" t="s">
        <v>73</v>
      </c>
      <c r="P261">
        <f t="shared" si="6"/>
        <v>1</v>
      </c>
      <c r="Q261" t="str">
        <f>IF(AND(P261&gt;1,COUNTIF($E$6:E261,E261)=1),MAX($Q$5:Q260)+1,"")</f>
        <v/>
      </c>
      <c r="R261" t="str">
        <f t="shared" si="7"/>
        <v/>
      </c>
    </row>
    <row r="262" spans="1:18" ht="22.95" customHeight="1">
      <c r="A262" t="s">
        <v>763</v>
      </c>
      <c r="B262" t="s">
        <v>28</v>
      </c>
      <c r="C262" t="s">
        <v>167</v>
      </c>
      <c r="D262" t="s">
        <v>851</v>
      </c>
      <c r="E262" t="s">
        <v>863</v>
      </c>
      <c r="F262">
        <v>1</v>
      </c>
      <c r="G262" t="s">
        <v>454</v>
      </c>
      <c r="H262" t="s">
        <v>847</v>
      </c>
      <c r="I262" t="s">
        <v>848</v>
      </c>
      <c r="K262" t="s">
        <v>849</v>
      </c>
      <c r="L262" t="s">
        <v>853</v>
      </c>
      <c r="M262" t="s">
        <v>73</v>
      </c>
      <c r="P262">
        <f t="shared" ref="P262:P325" si="8">COUNTIF($E$6:$E$1740,E262)</f>
        <v>1</v>
      </c>
      <c r="Q262" t="str">
        <f>IF(AND(P262&gt;1,COUNTIF($E$6:E262,E262)=1),MAX($Q$5:Q261)+1,"")</f>
        <v/>
      </c>
      <c r="R262" t="str">
        <f t="shared" ref="R262:R325" si="9">IF(Q262="","",IF(COUNTIFS($E$6:$E$1740,E262,$A$6:$A$1740,A262,$C$6:$C$1740,C262)&lt;P262,"LÉGITIME",IF(COUNTIFS($E$6:$E$1740,E262,$A$6:$A$1740,A262,$C$6:$C$1740,C262,$M$6:$M$1740,M262)&lt;P262,"STATUT DIFFÉRENT","VRAI DOUBLON")))</f>
        <v/>
      </c>
    </row>
    <row r="263" spans="1:18" ht="22.95" customHeight="1">
      <c r="A263" t="s">
        <v>763</v>
      </c>
      <c r="B263" t="s">
        <v>28</v>
      </c>
      <c r="C263" t="s">
        <v>167</v>
      </c>
      <c r="D263" t="s">
        <v>168</v>
      </c>
      <c r="E263" t="s">
        <v>864</v>
      </c>
      <c r="F263">
        <v>1</v>
      </c>
      <c r="G263" t="s">
        <v>92</v>
      </c>
      <c r="I263" t="s">
        <v>865</v>
      </c>
      <c r="K263" t="s">
        <v>866</v>
      </c>
      <c r="L263" t="s">
        <v>867</v>
      </c>
      <c r="M263" t="s">
        <v>73</v>
      </c>
      <c r="P263">
        <f t="shared" si="8"/>
        <v>1</v>
      </c>
      <c r="Q263" t="str">
        <f>IF(AND(P263&gt;1,COUNTIF($E$6:E263,E263)=1),MAX($Q$5:Q262)+1,"")</f>
        <v/>
      </c>
      <c r="R263" t="str">
        <f t="shared" si="9"/>
        <v/>
      </c>
    </row>
    <row r="264" spans="1:18" ht="22.95" customHeight="1">
      <c r="A264" t="s">
        <v>763</v>
      </c>
      <c r="B264" t="s">
        <v>28</v>
      </c>
      <c r="C264" t="s">
        <v>167</v>
      </c>
      <c r="D264" t="s">
        <v>168</v>
      </c>
      <c r="E264" t="s">
        <v>868</v>
      </c>
      <c r="F264">
        <v>1</v>
      </c>
      <c r="G264" t="s">
        <v>92</v>
      </c>
      <c r="I264" t="s">
        <v>462</v>
      </c>
      <c r="K264" t="s">
        <v>866</v>
      </c>
      <c r="L264" t="s">
        <v>867</v>
      </c>
      <c r="M264" t="s">
        <v>73</v>
      </c>
      <c r="P264">
        <f t="shared" si="8"/>
        <v>1</v>
      </c>
      <c r="Q264" t="str">
        <f>IF(AND(P264&gt;1,COUNTIF($E$6:E264,E264)=1),MAX($Q$5:Q263)+1,"")</f>
        <v/>
      </c>
      <c r="R264" t="str">
        <f t="shared" si="9"/>
        <v/>
      </c>
    </row>
    <row r="265" spans="1:18" ht="22.95" customHeight="1">
      <c r="A265" t="s">
        <v>763</v>
      </c>
      <c r="B265" t="s">
        <v>28</v>
      </c>
      <c r="C265" t="s">
        <v>167</v>
      </c>
      <c r="D265" t="s">
        <v>168</v>
      </c>
      <c r="E265" t="s">
        <v>869</v>
      </c>
      <c r="F265">
        <v>1</v>
      </c>
      <c r="G265" t="s">
        <v>92</v>
      </c>
      <c r="I265" t="s">
        <v>870</v>
      </c>
      <c r="K265" t="s">
        <v>866</v>
      </c>
      <c r="L265" t="s">
        <v>867</v>
      </c>
      <c r="M265" t="s">
        <v>73</v>
      </c>
      <c r="P265">
        <f t="shared" si="8"/>
        <v>1</v>
      </c>
      <c r="Q265" t="str">
        <f>IF(AND(P265&gt;1,COUNTIF($E$6:E265,E265)=1),MAX($Q$5:Q264)+1,"")</f>
        <v/>
      </c>
      <c r="R265" t="str">
        <f t="shared" si="9"/>
        <v/>
      </c>
    </row>
    <row r="266" spans="1:18" ht="22.95" customHeight="1">
      <c r="A266" t="s">
        <v>763</v>
      </c>
      <c r="B266" t="s">
        <v>30</v>
      </c>
      <c r="C266" t="s">
        <v>188</v>
      </c>
      <c r="D266" t="s">
        <v>189</v>
      </c>
      <c r="E266" t="s">
        <v>871</v>
      </c>
      <c r="F266">
        <v>1</v>
      </c>
      <c r="G266" t="s">
        <v>481</v>
      </c>
      <c r="H266" t="s">
        <v>872</v>
      </c>
      <c r="I266" t="s">
        <v>873</v>
      </c>
      <c r="K266" t="s">
        <v>109</v>
      </c>
      <c r="L266" t="s">
        <v>874</v>
      </c>
      <c r="M266" t="s">
        <v>73</v>
      </c>
      <c r="P266">
        <f t="shared" si="8"/>
        <v>1</v>
      </c>
      <c r="Q266" t="str">
        <f>IF(AND(P266&gt;1,COUNTIF($E$6:E266,E266)=1),MAX($Q$5:Q265)+1,"")</f>
        <v/>
      </c>
      <c r="R266" t="str">
        <f t="shared" si="9"/>
        <v/>
      </c>
    </row>
    <row r="267" spans="1:18" ht="22.95" customHeight="1">
      <c r="A267" t="s">
        <v>763</v>
      </c>
      <c r="B267" t="s">
        <v>26</v>
      </c>
      <c r="C267" t="s">
        <v>196</v>
      </c>
      <c r="D267" t="s">
        <v>197</v>
      </c>
      <c r="E267" t="s">
        <v>875</v>
      </c>
      <c r="F267">
        <v>1</v>
      </c>
      <c r="G267" t="s">
        <v>139</v>
      </c>
      <c r="I267" t="s">
        <v>876</v>
      </c>
      <c r="K267" t="s">
        <v>687</v>
      </c>
      <c r="L267" t="s">
        <v>877</v>
      </c>
      <c r="M267" t="s">
        <v>62</v>
      </c>
      <c r="N267" t="s">
        <v>520</v>
      </c>
      <c r="P267">
        <f t="shared" si="8"/>
        <v>1</v>
      </c>
      <c r="Q267" t="str">
        <f>IF(AND(P267&gt;1,COUNTIF($E$6:E267,E267)=1),MAX($Q$5:Q266)+1,"")</f>
        <v/>
      </c>
      <c r="R267" t="str">
        <f t="shared" si="9"/>
        <v/>
      </c>
    </row>
    <row r="268" spans="1:18" ht="22.95" customHeight="1">
      <c r="A268" t="s">
        <v>763</v>
      </c>
      <c r="B268" t="s">
        <v>26</v>
      </c>
      <c r="C268" t="s">
        <v>196</v>
      </c>
      <c r="D268" t="s">
        <v>197</v>
      </c>
      <c r="E268" t="s">
        <v>878</v>
      </c>
      <c r="F268">
        <v>1</v>
      </c>
      <c r="G268" t="s">
        <v>139</v>
      </c>
      <c r="I268" t="s">
        <v>879</v>
      </c>
      <c r="K268" t="s">
        <v>880</v>
      </c>
      <c r="L268" t="s">
        <v>881</v>
      </c>
      <c r="M268" t="s">
        <v>62</v>
      </c>
      <c r="N268" t="s">
        <v>520</v>
      </c>
      <c r="P268">
        <f t="shared" si="8"/>
        <v>1</v>
      </c>
      <c r="Q268" t="str">
        <f>IF(AND(P268&gt;1,COUNTIF($E$6:E268,E268)=1),MAX($Q$5:Q267)+1,"")</f>
        <v/>
      </c>
      <c r="R268" t="str">
        <f t="shared" si="9"/>
        <v/>
      </c>
    </row>
    <row r="269" spans="1:18" ht="22.95" customHeight="1">
      <c r="A269" t="s">
        <v>763</v>
      </c>
      <c r="B269" t="s">
        <v>21</v>
      </c>
      <c r="C269" t="s">
        <v>215</v>
      </c>
      <c r="D269" t="s">
        <v>216</v>
      </c>
      <c r="E269" t="s">
        <v>882</v>
      </c>
      <c r="F269">
        <v>1</v>
      </c>
      <c r="G269" t="s">
        <v>883</v>
      </c>
      <c r="H269" t="s">
        <v>884</v>
      </c>
      <c r="I269" t="s">
        <v>885</v>
      </c>
      <c r="K269" t="s">
        <v>886</v>
      </c>
      <c r="L269" t="s">
        <v>887</v>
      </c>
      <c r="M269" t="s">
        <v>62</v>
      </c>
      <c r="N269" t="s">
        <v>303</v>
      </c>
      <c r="P269">
        <f t="shared" si="8"/>
        <v>1</v>
      </c>
      <c r="Q269" t="str">
        <f>IF(AND(P269&gt;1,COUNTIF($E$6:E269,E269)=1),MAX($Q$5:Q268)+1,"")</f>
        <v/>
      </c>
      <c r="R269" t="str">
        <f t="shared" si="9"/>
        <v/>
      </c>
    </row>
    <row r="270" spans="1:18" ht="22.95" customHeight="1">
      <c r="A270" t="s">
        <v>763</v>
      </c>
      <c r="B270" t="s">
        <v>21</v>
      </c>
      <c r="C270" t="s">
        <v>239</v>
      </c>
      <c r="D270" t="s">
        <v>147</v>
      </c>
      <c r="E270" t="s">
        <v>888</v>
      </c>
      <c r="F270">
        <v>1</v>
      </c>
      <c r="G270" t="s">
        <v>752</v>
      </c>
      <c r="H270" t="s">
        <v>889</v>
      </c>
      <c r="I270" t="s">
        <v>890</v>
      </c>
      <c r="K270" t="s">
        <v>78</v>
      </c>
      <c r="L270" t="s">
        <v>891</v>
      </c>
      <c r="M270" t="s">
        <v>73</v>
      </c>
      <c r="P270">
        <f t="shared" si="8"/>
        <v>2</v>
      </c>
      <c r="Q270">
        <f>IF(AND(P270&gt;1,COUNTIF($E$6:E270,E270)=1),MAX($Q$5:Q269)+1,"")</f>
        <v>9</v>
      </c>
      <c r="R270" t="str">
        <f t="shared" si="9"/>
        <v>VRAI DOUBLON</v>
      </c>
    </row>
    <row r="271" spans="1:18" ht="22.95" customHeight="1">
      <c r="A271" t="s">
        <v>763</v>
      </c>
      <c r="B271" t="s">
        <v>21</v>
      </c>
      <c r="C271" t="s">
        <v>239</v>
      </c>
      <c r="D271" t="s">
        <v>147</v>
      </c>
      <c r="E271" t="s">
        <v>892</v>
      </c>
      <c r="F271">
        <v>1</v>
      </c>
      <c r="I271" t="s">
        <v>893</v>
      </c>
      <c r="L271" t="s">
        <v>894</v>
      </c>
      <c r="M271" t="s">
        <v>73</v>
      </c>
      <c r="P271">
        <f t="shared" si="8"/>
        <v>1</v>
      </c>
      <c r="Q271" t="str">
        <f>IF(AND(P271&gt;1,COUNTIF($E$6:E271,E271)=1),MAX($Q$5:Q270)+1,"")</f>
        <v/>
      </c>
      <c r="R271" t="str">
        <f t="shared" si="9"/>
        <v/>
      </c>
    </row>
    <row r="272" spans="1:18" ht="22.95" customHeight="1">
      <c r="A272" t="s">
        <v>763</v>
      </c>
      <c r="B272" t="s">
        <v>21</v>
      </c>
      <c r="C272" t="s">
        <v>239</v>
      </c>
      <c r="D272" t="s">
        <v>147</v>
      </c>
      <c r="E272" t="s">
        <v>895</v>
      </c>
      <c r="F272">
        <v>1</v>
      </c>
      <c r="G272" t="s">
        <v>249</v>
      </c>
      <c r="H272" t="s">
        <v>312</v>
      </c>
      <c r="I272" t="s">
        <v>896</v>
      </c>
      <c r="K272" t="s">
        <v>78</v>
      </c>
      <c r="L272" t="s">
        <v>798</v>
      </c>
      <c r="M272" t="s">
        <v>73</v>
      </c>
      <c r="P272">
        <f t="shared" si="8"/>
        <v>1</v>
      </c>
      <c r="Q272" t="str">
        <f>IF(AND(P272&gt;1,COUNTIF($E$6:E272,E272)=1),MAX($Q$5:Q271)+1,"")</f>
        <v/>
      </c>
      <c r="R272" t="str">
        <f t="shared" si="9"/>
        <v/>
      </c>
    </row>
    <row r="273" spans="1:18" ht="22.95" customHeight="1">
      <c r="A273" t="s">
        <v>763</v>
      </c>
      <c r="B273" t="s">
        <v>21</v>
      </c>
      <c r="C273" t="s">
        <v>239</v>
      </c>
      <c r="D273" t="s">
        <v>147</v>
      </c>
      <c r="E273" t="s">
        <v>897</v>
      </c>
      <c r="F273">
        <v>1</v>
      </c>
      <c r="G273" t="s">
        <v>249</v>
      </c>
      <c r="H273" t="s">
        <v>312</v>
      </c>
      <c r="I273" t="s">
        <v>896</v>
      </c>
      <c r="K273" t="s">
        <v>78</v>
      </c>
      <c r="L273" t="s">
        <v>798</v>
      </c>
      <c r="M273" t="s">
        <v>73</v>
      </c>
      <c r="P273">
        <f t="shared" si="8"/>
        <v>1</v>
      </c>
      <c r="Q273" t="str">
        <f>IF(AND(P273&gt;1,COUNTIF($E$6:E273,E273)=1),MAX($Q$5:Q272)+1,"")</f>
        <v/>
      </c>
      <c r="R273" t="str">
        <f t="shared" si="9"/>
        <v/>
      </c>
    </row>
    <row r="274" spans="1:18" ht="22.95" customHeight="1">
      <c r="A274" t="s">
        <v>763</v>
      </c>
      <c r="B274" t="s">
        <v>21</v>
      </c>
      <c r="C274" t="s">
        <v>239</v>
      </c>
      <c r="D274" t="s">
        <v>147</v>
      </c>
      <c r="E274" t="s">
        <v>898</v>
      </c>
      <c r="F274">
        <v>1</v>
      </c>
      <c r="G274" t="s">
        <v>249</v>
      </c>
      <c r="H274" t="s">
        <v>312</v>
      </c>
      <c r="I274" t="s">
        <v>896</v>
      </c>
      <c r="K274" t="s">
        <v>78</v>
      </c>
      <c r="L274" t="s">
        <v>798</v>
      </c>
      <c r="M274" t="s">
        <v>73</v>
      </c>
      <c r="P274">
        <f t="shared" si="8"/>
        <v>1</v>
      </c>
      <c r="Q274" t="str">
        <f>IF(AND(P274&gt;1,COUNTIF($E$6:E274,E274)=1),MAX($Q$5:Q273)+1,"")</f>
        <v/>
      </c>
      <c r="R274" t="str">
        <f t="shared" si="9"/>
        <v/>
      </c>
    </row>
    <row r="275" spans="1:18" ht="22.95" customHeight="1">
      <c r="A275" t="s">
        <v>763</v>
      </c>
      <c r="B275" t="s">
        <v>21</v>
      </c>
      <c r="C275" t="s">
        <v>239</v>
      </c>
      <c r="D275" t="s">
        <v>147</v>
      </c>
      <c r="E275" t="s">
        <v>899</v>
      </c>
      <c r="F275">
        <v>1</v>
      </c>
      <c r="G275" t="s">
        <v>249</v>
      </c>
      <c r="H275" t="s">
        <v>312</v>
      </c>
      <c r="I275" t="s">
        <v>896</v>
      </c>
      <c r="K275" t="s">
        <v>78</v>
      </c>
      <c r="L275" t="s">
        <v>798</v>
      </c>
      <c r="M275" t="s">
        <v>73</v>
      </c>
      <c r="P275">
        <f t="shared" si="8"/>
        <v>1</v>
      </c>
      <c r="Q275" t="str">
        <f>IF(AND(P275&gt;1,COUNTIF($E$6:E275,E275)=1),MAX($Q$5:Q274)+1,"")</f>
        <v/>
      </c>
      <c r="R275" t="str">
        <f t="shared" si="9"/>
        <v/>
      </c>
    </row>
    <row r="276" spans="1:18" ht="22.95" customHeight="1">
      <c r="A276" t="s">
        <v>763</v>
      </c>
      <c r="B276" t="s">
        <v>21</v>
      </c>
      <c r="C276" t="s">
        <v>239</v>
      </c>
      <c r="D276" t="s">
        <v>147</v>
      </c>
      <c r="E276" t="s">
        <v>900</v>
      </c>
      <c r="F276">
        <v>1</v>
      </c>
      <c r="G276" t="s">
        <v>901</v>
      </c>
      <c r="H276" t="s">
        <v>488</v>
      </c>
      <c r="I276" t="s">
        <v>902</v>
      </c>
      <c r="J276" t="s">
        <v>245</v>
      </c>
      <c r="K276" t="s">
        <v>903</v>
      </c>
      <c r="L276" t="s">
        <v>904</v>
      </c>
      <c r="M276" t="s">
        <v>73</v>
      </c>
      <c r="P276">
        <f t="shared" si="8"/>
        <v>1</v>
      </c>
      <c r="Q276" t="str">
        <f>IF(AND(P276&gt;1,COUNTIF($E$6:E276,E276)=1),MAX($Q$5:Q275)+1,"")</f>
        <v/>
      </c>
      <c r="R276" t="str">
        <f t="shared" si="9"/>
        <v/>
      </c>
    </row>
    <row r="277" spans="1:18" ht="22.95" customHeight="1">
      <c r="A277" t="s">
        <v>763</v>
      </c>
      <c r="B277" t="s">
        <v>21</v>
      </c>
      <c r="C277" t="s">
        <v>905</v>
      </c>
      <c r="D277" t="s">
        <v>906</v>
      </c>
      <c r="E277" t="s">
        <v>907</v>
      </c>
      <c r="F277">
        <v>1</v>
      </c>
      <c r="G277" t="s">
        <v>92</v>
      </c>
      <c r="I277" t="s">
        <v>908</v>
      </c>
      <c r="K277" t="s">
        <v>909</v>
      </c>
      <c r="L277" t="s">
        <v>910</v>
      </c>
      <c r="M277" t="s">
        <v>73</v>
      </c>
      <c r="P277">
        <f t="shared" si="8"/>
        <v>1</v>
      </c>
      <c r="Q277" t="str">
        <f>IF(AND(P277&gt;1,COUNTIF($E$6:E277,E277)=1),MAX($Q$5:Q276)+1,"")</f>
        <v/>
      </c>
      <c r="R277" t="str">
        <f t="shared" si="9"/>
        <v/>
      </c>
    </row>
    <row r="278" spans="1:18" ht="22.95" customHeight="1">
      <c r="A278" t="s">
        <v>763</v>
      </c>
      <c r="B278" t="s">
        <v>21</v>
      </c>
      <c r="C278" t="s">
        <v>905</v>
      </c>
      <c r="D278" t="s">
        <v>906</v>
      </c>
      <c r="E278" t="s">
        <v>911</v>
      </c>
      <c r="F278">
        <v>1</v>
      </c>
      <c r="G278" t="s">
        <v>92</v>
      </c>
      <c r="I278" t="s">
        <v>912</v>
      </c>
      <c r="K278" t="s">
        <v>909</v>
      </c>
      <c r="L278" t="s">
        <v>910</v>
      </c>
      <c r="M278" t="s">
        <v>73</v>
      </c>
      <c r="P278">
        <f t="shared" si="8"/>
        <v>1</v>
      </c>
      <c r="Q278" t="str">
        <f>IF(AND(P278&gt;1,COUNTIF($E$6:E278,E278)=1),MAX($Q$5:Q277)+1,"")</f>
        <v/>
      </c>
      <c r="R278" t="str">
        <f t="shared" si="9"/>
        <v/>
      </c>
    </row>
    <row r="279" spans="1:18" ht="22.95" customHeight="1">
      <c r="A279" t="s">
        <v>763</v>
      </c>
      <c r="B279" t="s">
        <v>21</v>
      </c>
      <c r="C279" t="s">
        <v>905</v>
      </c>
      <c r="D279" t="s">
        <v>906</v>
      </c>
      <c r="E279" t="s">
        <v>913</v>
      </c>
      <c r="F279">
        <v>1</v>
      </c>
      <c r="G279" t="s">
        <v>92</v>
      </c>
      <c r="I279" t="s">
        <v>914</v>
      </c>
      <c r="K279" t="s">
        <v>909</v>
      </c>
      <c r="L279" t="s">
        <v>910</v>
      </c>
      <c r="M279" t="s">
        <v>73</v>
      </c>
      <c r="P279">
        <f t="shared" si="8"/>
        <v>1</v>
      </c>
      <c r="Q279" t="str">
        <f>IF(AND(P279&gt;1,COUNTIF($E$6:E279,E279)=1),MAX($Q$5:Q278)+1,"")</f>
        <v/>
      </c>
      <c r="R279" t="str">
        <f t="shared" si="9"/>
        <v/>
      </c>
    </row>
    <row r="280" spans="1:18" ht="22.95" customHeight="1">
      <c r="A280" t="s">
        <v>763</v>
      </c>
      <c r="B280" t="s">
        <v>21</v>
      </c>
      <c r="C280" t="s">
        <v>905</v>
      </c>
      <c r="D280" t="s">
        <v>906</v>
      </c>
      <c r="E280" t="s">
        <v>915</v>
      </c>
      <c r="F280">
        <v>1</v>
      </c>
      <c r="G280" t="s">
        <v>92</v>
      </c>
      <c r="I280" t="s">
        <v>916</v>
      </c>
      <c r="K280" t="s">
        <v>917</v>
      </c>
      <c r="L280" t="s">
        <v>910</v>
      </c>
      <c r="M280" t="s">
        <v>73</v>
      </c>
      <c r="P280">
        <f t="shared" si="8"/>
        <v>1</v>
      </c>
      <c r="Q280" t="str">
        <f>IF(AND(P280&gt;1,COUNTIF($E$6:E280,E280)=1),MAX($Q$5:Q279)+1,"")</f>
        <v/>
      </c>
      <c r="R280" t="str">
        <f t="shared" si="9"/>
        <v/>
      </c>
    </row>
    <row r="281" spans="1:18" ht="22.95" customHeight="1">
      <c r="A281" t="s">
        <v>763</v>
      </c>
      <c r="B281" t="s">
        <v>21</v>
      </c>
      <c r="C281" t="s">
        <v>905</v>
      </c>
      <c r="D281" t="s">
        <v>906</v>
      </c>
      <c r="E281" t="s">
        <v>918</v>
      </c>
      <c r="F281">
        <v>1</v>
      </c>
      <c r="G281" t="s">
        <v>919</v>
      </c>
      <c r="H281" t="s">
        <v>920</v>
      </c>
      <c r="I281" t="s">
        <v>921</v>
      </c>
      <c r="J281" t="s">
        <v>245</v>
      </c>
      <c r="K281" t="s">
        <v>922</v>
      </c>
      <c r="L281" t="s">
        <v>923</v>
      </c>
      <c r="M281" t="s">
        <v>62</v>
      </c>
      <c r="N281" t="s">
        <v>520</v>
      </c>
      <c r="P281">
        <f t="shared" si="8"/>
        <v>1</v>
      </c>
      <c r="Q281" t="str">
        <f>IF(AND(P281&gt;1,COUNTIF($E$6:E281,E281)=1),MAX($Q$5:Q280)+1,"")</f>
        <v/>
      </c>
      <c r="R281" t="str">
        <f t="shared" si="9"/>
        <v/>
      </c>
    </row>
    <row r="282" spans="1:18" ht="22.95" customHeight="1">
      <c r="A282" t="s">
        <v>763</v>
      </c>
      <c r="B282" t="s">
        <v>21</v>
      </c>
      <c r="C282" t="s">
        <v>905</v>
      </c>
      <c r="D282" t="s">
        <v>906</v>
      </c>
      <c r="E282" t="s">
        <v>924</v>
      </c>
      <c r="F282">
        <v>1</v>
      </c>
      <c r="G282" t="s">
        <v>919</v>
      </c>
      <c r="H282" t="s">
        <v>920</v>
      </c>
      <c r="I282" t="s">
        <v>921</v>
      </c>
      <c r="J282" t="s">
        <v>245</v>
      </c>
      <c r="K282" t="s">
        <v>922</v>
      </c>
      <c r="L282" t="s">
        <v>925</v>
      </c>
      <c r="M282" t="s">
        <v>62</v>
      </c>
      <c r="N282" t="s">
        <v>520</v>
      </c>
      <c r="P282">
        <f t="shared" si="8"/>
        <v>1</v>
      </c>
      <c r="Q282" t="str">
        <f>IF(AND(P282&gt;1,COUNTIF($E$6:E282,E282)=1),MAX($Q$5:Q281)+1,"")</f>
        <v/>
      </c>
      <c r="R282" t="str">
        <f t="shared" si="9"/>
        <v/>
      </c>
    </row>
    <row r="283" spans="1:18" ht="22.95" customHeight="1">
      <c r="A283" t="s">
        <v>763</v>
      </c>
      <c r="B283" t="s">
        <v>21</v>
      </c>
      <c r="C283" t="s">
        <v>262</v>
      </c>
      <c r="D283" t="s">
        <v>263</v>
      </c>
      <c r="E283" t="s">
        <v>926</v>
      </c>
      <c r="F283">
        <v>1</v>
      </c>
      <c r="G283" t="s">
        <v>927</v>
      </c>
      <c r="H283" t="s">
        <v>928</v>
      </c>
      <c r="I283" t="s">
        <v>929</v>
      </c>
      <c r="K283" t="s">
        <v>457</v>
      </c>
      <c r="L283" t="s">
        <v>930</v>
      </c>
      <c r="M283" t="s">
        <v>73</v>
      </c>
      <c r="P283">
        <f t="shared" si="8"/>
        <v>1</v>
      </c>
      <c r="Q283" t="str">
        <f>IF(AND(P283&gt;1,COUNTIF($E$6:E283,E283)=1),MAX($Q$5:Q282)+1,"")</f>
        <v/>
      </c>
      <c r="R283" t="str">
        <f t="shared" si="9"/>
        <v/>
      </c>
    </row>
    <row r="284" spans="1:18" ht="22.95" customHeight="1">
      <c r="A284" t="s">
        <v>763</v>
      </c>
      <c r="B284" t="s">
        <v>21</v>
      </c>
      <c r="C284" t="s">
        <v>270</v>
      </c>
      <c r="D284" t="s">
        <v>271</v>
      </c>
      <c r="E284" t="s">
        <v>931</v>
      </c>
      <c r="F284">
        <v>1</v>
      </c>
      <c r="G284" t="s">
        <v>932</v>
      </c>
      <c r="H284" t="s">
        <v>933</v>
      </c>
      <c r="I284" t="s">
        <v>934</v>
      </c>
      <c r="K284" t="s">
        <v>78</v>
      </c>
      <c r="L284" t="s">
        <v>935</v>
      </c>
      <c r="M284" t="s">
        <v>73</v>
      </c>
      <c r="P284">
        <f t="shared" si="8"/>
        <v>1</v>
      </c>
      <c r="Q284" t="str">
        <f>IF(AND(P284&gt;1,COUNTIF($E$6:E284,E284)=1),MAX($Q$5:Q283)+1,"")</f>
        <v/>
      </c>
      <c r="R284" t="str">
        <f t="shared" si="9"/>
        <v/>
      </c>
    </row>
    <row r="285" spans="1:18" ht="22.95" customHeight="1">
      <c r="A285" t="s">
        <v>763</v>
      </c>
      <c r="B285" t="s">
        <v>21</v>
      </c>
      <c r="C285" t="s">
        <v>270</v>
      </c>
      <c r="D285" t="s">
        <v>271</v>
      </c>
      <c r="E285" t="s">
        <v>936</v>
      </c>
      <c r="F285">
        <v>1</v>
      </c>
      <c r="G285" t="s">
        <v>937</v>
      </c>
      <c r="H285" t="s">
        <v>938</v>
      </c>
      <c r="I285" t="s">
        <v>939</v>
      </c>
      <c r="K285" t="s">
        <v>940</v>
      </c>
      <c r="L285" t="s">
        <v>941</v>
      </c>
      <c r="M285" t="s">
        <v>73</v>
      </c>
      <c r="P285">
        <f t="shared" si="8"/>
        <v>1</v>
      </c>
      <c r="Q285" t="str">
        <f>IF(AND(P285&gt;1,COUNTIF($E$6:E285,E285)=1),MAX($Q$5:Q284)+1,"")</f>
        <v/>
      </c>
      <c r="R285" t="str">
        <f t="shared" si="9"/>
        <v/>
      </c>
    </row>
    <row r="286" spans="1:18" ht="22.95" customHeight="1">
      <c r="A286" t="s">
        <v>763</v>
      </c>
      <c r="B286" t="s">
        <v>21</v>
      </c>
      <c r="C286" t="s">
        <v>239</v>
      </c>
      <c r="D286" t="s">
        <v>147</v>
      </c>
      <c r="E286" t="s">
        <v>888</v>
      </c>
      <c r="F286">
        <v>1</v>
      </c>
      <c r="G286" t="s">
        <v>752</v>
      </c>
      <c r="H286" t="s">
        <v>312</v>
      </c>
      <c r="I286" t="s">
        <v>896</v>
      </c>
      <c r="K286" t="s">
        <v>78</v>
      </c>
      <c r="L286" t="s">
        <v>798</v>
      </c>
      <c r="M286" t="s">
        <v>73</v>
      </c>
      <c r="P286">
        <f t="shared" si="8"/>
        <v>2</v>
      </c>
      <c r="Q286" t="str">
        <f>IF(AND(P286&gt;1,COUNTIF($E$6:E286,E286)=1),MAX($Q$5:Q285)+1,"")</f>
        <v/>
      </c>
      <c r="R286" t="str">
        <f t="shared" si="9"/>
        <v/>
      </c>
    </row>
    <row r="287" spans="1:18" ht="22.95" customHeight="1">
      <c r="A287" t="s">
        <v>942</v>
      </c>
      <c r="B287" t="s">
        <v>20</v>
      </c>
      <c r="C287" t="s">
        <v>55</v>
      </c>
      <c r="D287" t="s">
        <v>56</v>
      </c>
      <c r="E287" t="s">
        <v>943</v>
      </c>
      <c r="F287">
        <v>1</v>
      </c>
      <c r="G287" t="s">
        <v>296</v>
      </c>
      <c r="H287" t="s">
        <v>944</v>
      </c>
      <c r="I287" t="s">
        <v>112</v>
      </c>
      <c r="L287" t="s">
        <v>945</v>
      </c>
      <c r="M287" t="s">
        <v>62</v>
      </c>
      <c r="N287" t="s">
        <v>63</v>
      </c>
      <c r="P287">
        <f t="shared" si="8"/>
        <v>1</v>
      </c>
      <c r="Q287" t="str">
        <f>IF(AND(P287&gt;1,COUNTIF($E$6:E287,E287)=1),MAX($Q$5:Q286)+1,"")</f>
        <v/>
      </c>
      <c r="R287" t="str">
        <f t="shared" si="9"/>
        <v/>
      </c>
    </row>
    <row r="288" spans="1:18" ht="22.95" customHeight="1">
      <c r="A288" t="s">
        <v>942</v>
      </c>
      <c r="B288" t="s">
        <v>20</v>
      </c>
      <c r="C288" t="s">
        <v>55</v>
      </c>
      <c r="D288" t="s">
        <v>56</v>
      </c>
      <c r="E288" t="s">
        <v>946</v>
      </c>
      <c r="F288">
        <v>1</v>
      </c>
      <c r="G288" t="s">
        <v>947</v>
      </c>
      <c r="H288" t="s">
        <v>948</v>
      </c>
      <c r="I288" t="s">
        <v>949</v>
      </c>
      <c r="K288" t="s">
        <v>406</v>
      </c>
      <c r="L288" t="s">
        <v>950</v>
      </c>
      <c r="M288" t="s">
        <v>62</v>
      </c>
      <c r="N288" t="s">
        <v>951</v>
      </c>
      <c r="P288">
        <f t="shared" si="8"/>
        <v>1</v>
      </c>
      <c r="Q288" t="str">
        <f>IF(AND(P288&gt;1,COUNTIF($E$6:E288,E288)=1),MAX($Q$5:Q287)+1,"")</f>
        <v/>
      </c>
      <c r="R288" t="str">
        <f t="shared" si="9"/>
        <v/>
      </c>
    </row>
    <row r="289" spans="1:18" ht="22.95" customHeight="1">
      <c r="A289" t="s">
        <v>942</v>
      </c>
      <c r="B289" t="s">
        <v>20</v>
      </c>
      <c r="C289" t="s">
        <v>55</v>
      </c>
      <c r="D289" t="s">
        <v>56</v>
      </c>
      <c r="E289" t="s">
        <v>952</v>
      </c>
      <c r="F289">
        <v>1</v>
      </c>
      <c r="G289" t="s">
        <v>947</v>
      </c>
      <c r="H289" t="s">
        <v>948</v>
      </c>
      <c r="I289" t="s">
        <v>949</v>
      </c>
      <c r="K289" t="s">
        <v>406</v>
      </c>
      <c r="L289" t="s">
        <v>950</v>
      </c>
      <c r="M289" t="s">
        <v>62</v>
      </c>
      <c r="N289" t="s">
        <v>951</v>
      </c>
      <c r="P289">
        <f t="shared" si="8"/>
        <v>1</v>
      </c>
      <c r="Q289" t="str">
        <f>IF(AND(P289&gt;1,COUNTIF($E$6:E289,E289)=1),MAX($Q$5:Q288)+1,"")</f>
        <v/>
      </c>
      <c r="R289" t="str">
        <f t="shared" si="9"/>
        <v/>
      </c>
    </row>
    <row r="290" spans="1:18" ht="22.95" customHeight="1">
      <c r="A290" t="s">
        <v>942</v>
      </c>
      <c r="B290" t="s">
        <v>20</v>
      </c>
      <c r="C290" t="s">
        <v>55</v>
      </c>
      <c r="D290" t="s">
        <v>56</v>
      </c>
      <c r="E290" t="s">
        <v>953</v>
      </c>
      <c r="F290">
        <v>1</v>
      </c>
      <c r="G290" t="s">
        <v>947</v>
      </c>
      <c r="H290" t="s">
        <v>948</v>
      </c>
      <c r="I290" t="s">
        <v>949</v>
      </c>
      <c r="K290" t="s">
        <v>406</v>
      </c>
      <c r="L290" t="s">
        <v>950</v>
      </c>
      <c r="M290" t="s">
        <v>62</v>
      </c>
      <c r="N290" t="s">
        <v>951</v>
      </c>
      <c r="P290">
        <f t="shared" si="8"/>
        <v>1</v>
      </c>
      <c r="Q290" t="str">
        <f>IF(AND(P290&gt;1,COUNTIF($E$6:E290,E290)=1),MAX($Q$5:Q289)+1,"")</f>
        <v/>
      </c>
      <c r="R290" t="str">
        <f t="shared" si="9"/>
        <v/>
      </c>
    </row>
    <row r="291" spans="1:18" ht="22.95" customHeight="1">
      <c r="A291" t="s">
        <v>942</v>
      </c>
      <c r="B291" t="s">
        <v>20</v>
      </c>
      <c r="C291" t="s">
        <v>55</v>
      </c>
      <c r="D291" t="s">
        <v>56</v>
      </c>
      <c r="E291" t="s">
        <v>954</v>
      </c>
      <c r="F291">
        <v>1</v>
      </c>
      <c r="G291" t="s">
        <v>92</v>
      </c>
      <c r="I291" t="s">
        <v>955</v>
      </c>
      <c r="K291" t="s">
        <v>406</v>
      </c>
      <c r="L291" t="s">
        <v>956</v>
      </c>
      <c r="M291" t="s">
        <v>62</v>
      </c>
      <c r="N291" t="s">
        <v>957</v>
      </c>
      <c r="P291">
        <f t="shared" si="8"/>
        <v>1</v>
      </c>
      <c r="Q291" t="str">
        <f>IF(AND(P291&gt;1,COUNTIF($E$6:E291,E291)=1),MAX($Q$5:Q290)+1,"")</f>
        <v/>
      </c>
      <c r="R291" t="str">
        <f t="shared" si="9"/>
        <v/>
      </c>
    </row>
    <row r="292" spans="1:18" ht="22.95" customHeight="1">
      <c r="A292" t="s">
        <v>942</v>
      </c>
      <c r="B292" t="s">
        <v>20</v>
      </c>
      <c r="C292" t="s">
        <v>65</v>
      </c>
      <c r="D292" t="s">
        <v>66</v>
      </c>
      <c r="E292" t="s">
        <v>958</v>
      </c>
      <c r="F292">
        <v>1</v>
      </c>
      <c r="G292" t="s">
        <v>83</v>
      </c>
      <c r="H292" t="s">
        <v>959</v>
      </c>
      <c r="K292" t="s">
        <v>960</v>
      </c>
      <c r="L292" t="s">
        <v>961</v>
      </c>
      <c r="M292" t="s">
        <v>102</v>
      </c>
      <c r="P292">
        <f t="shared" si="8"/>
        <v>1</v>
      </c>
      <c r="Q292" t="str">
        <f>IF(AND(P292&gt;1,COUNTIF($E$6:E292,E292)=1),MAX($Q$5:Q291)+1,"")</f>
        <v/>
      </c>
      <c r="R292" t="str">
        <f t="shared" si="9"/>
        <v/>
      </c>
    </row>
    <row r="293" spans="1:18" ht="22.95" customHeight="1">
      <c r="A293" t="s">
        <v>942</v>
      </c>
      <c r="B293" t="s">
        <v>20</v>
      </c>
      <c r="C293" t="s">
        <v>65</v>
      </c>
      <c r="D293" t="s">
        <v>66</v>
      </c>
      <c r="E293" t="s">
        <v>962</v>
      </c>
      <c r="F293">
        <v>1</v>
      </c>
      <c r="G293" t="s">
        <v>83</v>
      </c>
      <c r="H293" t="s">
        <v>959</v>
      </c>
      <c r="K293" t="s">
        <v>960</v>
      </c>
      <c r="L293" t="s">
        <v>961</v>
      </c>
      <c r="M293" t="s">
        <v>102</v>
      </c>
      <c r="P293">
        <f t="shared" si="8"/>
        <v>1</v>
      </c>
      <c r="Q293" t="str">
        <f>IF(AND(P293&gt;1,COUNTIF($E$6:E293,E293)=1),MAX($Q$5:Q292)+1,"")</f>
        <v/>
      </c>
      <c r="R293" t="str">
        <f t="shared" si="9"/>
        <v/>
      </c>
    </row>
    <row r="294" spans="1:18" ht="22.95" customHeight="1">
      <c r="A294" t="s">
        <v>942</v>
      </c>
      <c r="B294" t="s">
        <v>20</v>
      </c>
      <c r="C294" t="s">
        <v>65</v>
      </c>
      <c r="D294" t="s">
        <v>66</v>
      </c>
      <c r="E294" t="s">
        <v>963</v>
      </c>
      <c r="F294">
        <v>1</v>
      </c>
      <c r="G294" t="s">
        <v>83</v>
      </c>
      <c r="H294" t="s">
        <v>959</v>
      </c>
      <c r="K294" t="s">
        <v>960</v>
      </c>
      <c r="L294" t="s">
        <v>961</v>
      </c>
      <c r="M294" t="s">
        <v>102</v>
      </c>
      <c r="P294">
        <f t="shared" si="8"/>
        <v>1</v>
      </c>
      <c r="Q294" t="str">
        <f>IF(AND(P294&gt;1,COUNTIF($E$6:E294,E294)=1),MAX($Q$5:Q293)+1,"")</f>
        <v/>
      </c>
      <c r="R294" t="str">
        <f t="shared" si="9"/>
        <v/>
      </c>
    </row>
    <row r="295" spans="1:18" ht="22.95" customHeight="1">
      <c r="A295" t="s">
        <v>942</v>
      </c>
      <c r="B295" t="s">
        <v>20</v>
      </c>
      <c r="C295" t="s">
        <v>65</v>
      </c>
      <c r="D295" t="s">
        <v>66</v>
      </c>
      <c r="E295" t="s">
        <v>964</v>
      </c>
      <c r="F295">
        <v>1</v>
      </c>
      <c r="G295" t="s">
        <v>83</v>
      </c>
      <c r="H295" t="s">
        <v>959</v>
      </c>
      <c r="K295" t="s">
        <v>960</v>
      </c>
      <c r="L295" t="s">
        <v>961</v>
      </c>
      <c r="M295" t="s">
        <v>102</v>
      </c>
      <c r="P295">
        <f t="shared" si="8"/>
        <v>1</v>
      </c>
      <c r="Q295" t="str">
        <f>IF(AND(P295&gt;1,COUNTIF($E$6:E295,E295)=1),MAX($Q$5:Q294)+1,"")</f>
        <v/>
      </c>
      <c r="R295" t="str">
        <f t="shared" si="9"/>
        <v/>
      </c>
    </row>
    <row r="296" spans="1:18" ht="22.95" customHeight="1">
      <c r="A296" t="s">
        <v>942</v>
      </c>
      <c r="B296" t="s">
        <v>20</v>
      </c>
      <c r="C296" t="s">
        <v>65</v>
      </c>
      <c r="D296" t="s">
        <v>66</v>
      </c>
      <c r="E296" t="s">
        <v>965</v>
      </c>
      <c r="F296">
        <v>1</v>
      </c>
      <c r="G296" t="s">
        <v>83</v>
      </c>
      <c r="H296" t="s">
        <v>959</v>
      </c>
      <c r="K296" t="s">
        <v>960</v>
      </c>
      <c r="L296" t="s">
        <v>966</v>
      </c>
      <c r="M296" t="s">
        <v>62</v>
      </c>
      <c r="N296" t="s">
        <v>811</v>
      </c>
      <c r="P296">
        <f t="shared" si="8"/>
        <v>1</v>
      </c>
      <c r="Q296" t="str">
        <f>IF(AND(P296&gt;1,COUNTIF($E$6:E296,E296)=1),MAX($Q$5:Q295)+1,"")</f>
        <v/>
      </c>
      <c r="R296" t="str">
        <f t="shared" si="9"/>
        <v/>
      </c>
    </row>
    <row r="297" spans="1:18" ht="22.95" customHeight="1">
      <c r="A297" t="s">
        <v>942</v>
      </c>
      <c r="B297" t="s">
        <v>20</v>
      </c>
      <c r="C297" t="s">
        <v>65</v>
      </c>
      <c r="D297" t="s">
        <v>66</v>
      </c>
      <c r="E297" t="s">
        <v>967</v>
      </c>
      <c r="F297">
        <v>1</v>
      </c>
      <c r="G297" t="s">
        <v>83</v>
      </c>
      <c r="H297" t="s">
        <v>959</v>
      </c>
      <c r="K297" t="s">
        <v>960</v>
      </c>
      <c r="L297" t="s">
        <v>966</v>
      </c>
      <c r="M297" t="s">
        <v>62</v>
      </c>
      <c r="N297" t="s">
        <v>811</v>
      </c>
      <c r="P297">
        <f t="shared" si="8"/>
        <v>1</v>
      </c>
      <c r="Q297" t="str">
        <f>IF(AND(P297&gt;1,COUNTIF($E$6:E297,E297)=1),MAX($Q$5:Q296)+1,"")</f>
        <v/>
      </c>
      <c r="R297" t="str">
        <f t="shared" si="9"/>
        <v/>
      </c>
    </row>
    <row r="298" spans="1:18" ht="22.95" customHeight="1">
      <c r="A298" t="s">
        <v>942</v>
      </c>
      <c r="B298" t="s">
        <v>20</v>
      </c>
      <c r="C298" t="s">
        <v>65</v>
      </c>
      <c r="D298" t="s">
        <v>66</v>
      </c>
      <c r="E298" t="s">
        <v>968</v>
      </c>
      <c r="F298">
        <v>1</v>
      </c>
      <c r="G298" t="s">
        <v>969</v>
      </c>
      <c r="H298" t="s">
        <v>970</v>
      </c>
      <c r="I298" t="s">
        <v>406</v>
      </c>
      <c r="K298" t="s">
        <v>406</v>
      </c>
      <c r="L298" t="s">
        <v>971</v>
      </c>
      <c r="M298" t="s">
        <v>102</v>
      </c>
      <c r="P298">
        <f t="shared" si="8"/>
        <v>1</v>
      </c>
      <c r="Q298" t="str">
        <f>IF(AND(P298&gt;1,COUNTIF($E$6:E298,E298)=1),MAX($Q$5:Q297)+1,"")</f>
        <v/>
      </c>
      <c r="R298" t="str">
        <f t="shared" si="9"/>
        <v/>
      </c>
    </row>
    <row r="299" spans="1:18" ht="22.95" customHeight="1">
      <c r="A299" t="s">
        <v>942</v>
      </c>
      <c r="B299" t="s">
        <v>23</v>
      </c>
      <c r="C299" t="s">
        <v>103</v>
      </c>
      <c r="D299" t="s">
        <v>104</v>
      </c>
      <c r="E299" t="s">
        <v>972</v>
      </c>
      <c r="F299">
        <v>1</v>
      </c>
      <c r="G299" t="s">
        <v>973</v>
      </c>
      <c r="H299" t="s">
        <v>974</v>
      </c>
      <c r="I299" t="s">
        <v>975</v>
      </c>
      <c r="L299" t="s">
        <v>976</v>
      </c>
      <c r="M299" t="s">
        <v>73</v>
      </c>
      <c r="P299">
        <f t="shared" si="8"/>
        <v>1</v>
      </c>
      <c r="Q299" t="str">
        <f>IF(AND(P299&gt;1,COUNTIF($E$6:E299,E299)=1),MAX($Q$5:Q298)+1,"")</f>
        <v/>
      </c>
      <c r="R299" t="str">
        <f t="shared" si="9"/>
        <v/>
      </c>
    </row>
    <row r="300" spans="1:18" ht="22.95" customHeight="1">
      <c r="A300" t="s">
        <v>942</v>
      </c>
      <c r="B300" t="s">
        <v>23</v>
      </c>
      <c r="C300" t="s">
        <v>103</v>
      </c>
      <c r="D300" t="s">
        <v>104</v>
      </c>
      <c r="E300" t="s">
        <v>977</v>
      </c>
      <c r="F300">
        <v>1</v>
      </c>
      <c r="G300" t="s">
        <v>139</v>
      </c>
      <c r="I300" t="s">
        <v>978</v>
      </c>
      <c r="K300" t="s">
        <v>109</v>
      </c>
      <c r="L300" t="s">
        <v>979</v>
      </c>
      <c r="M300" t="s">
        <v>73</v>
      </c>
      <c r="P300">
        <f t="shared" si="8"/>
        <v>1</v>
      </c>
      <c r="Q300" t="str">
        <f>IF(AND(P300&gt;1,COUNTIF($E$6:E300,E300)=1),MAX($Q$5:Q299)+1,"")</f>
        <v/>
      </c>
      <c r="R300" t="str">
        <f t="shared" si="9"/>
        <v/>
      </c>
    </row>
    <row r="301" spans="1:18" ht="22.95" customHeight="1">
      <c r="A301" t="s">
        <v>942</v>
      </c>
      <c r="B301" t="s">
        <v>25</v>
      </c>
      <c r="C301" t="s">
        <v>115</v>
      </c>
      <c r="D301" t="s">
        <v>116</v>
      </c>
      <c r="E301" t="s">
        <v>980</v>
      </c>
      <c r="F301">
        <v>1</v>
      </c>
      <c r="G301" t="s">
        <v>981</v>
      </c>
      <c r="H301" t="s">
        <v>409</v>
      </c>
      <c r="I301" t="s">
        <v>982</v>
      </c>
      <c r="L301" t="s">
        <v>983</v>
      </c>
      <c r="M301" t="s">
        <v>73</v>
      </c>
      <c r="P301">
        <f t="shared" si="8"/>
        <v>1</v>
      </c>
      <c r="Q301" t="str">
        <f>IF(AND(P301&gt;1,COUNTIF($E$6:E301,E301)=1),MAX($Q$5:Q300)+1,"")</f>
        <v/>
      </c>
      <c r="R301" t="str">
        <f t="shared" si="9"/>
        <v/>
      </c>
    </row>
    <row r="302" spans="1:18" ht="22.95" customHeight="1">
      <c r="A302" t="s">
        <v>942</v>
      </c>
      <c r="B302" t="s">
        <v>25</v>
      </c>
      <c r="C302" t="s">
        <v>115</v>
      </c>
      <c r="D302" t="s">
        <v>116</v>
      </c>
      <c r="E302" t="s">
        <v>984</v>
      </c>
      <c r="F302">
        <v>1</v>
      </c>
      <c r="G302" t="s">
        <v>981</v>
      </c>
      <c r="H302" t="s">
        <v>409</v>
      </c>
      <c r="I302" t="s">
        <v>985</v>
      </c>
      <c r="L302" t="s">
        <v>983</v>
      </c>
      <c r="M302" t="s">
        <v>73</v>
      </c>
      <c r="P302">
        <f t="shared" si="8"/>
        <v>1</v>
      </c>
      <c r="Q302" t="str">
        <f>IF(AND(P302&gt;1,COUNTIF($E$6:E302,E302)=1),MAX($Q$5:Q301)+1,"")</f>
        <v/>
      </c>
      <c r="R302" t="str">
        <f t="shared" si="9"/>
        <v/>
      </c>
    </row>
    <row r="303" spans="1:18" ht="22.95" customHeight="1">
      <c r="A303" t="s">
        <v>942</v>
      </c>
      <c r="B303" t="s">
        <v>24</v>
      </c>
      <c r="C303" t="s">
        <v>426</v>
      </c>
      <c r="D303" t="s">
        <v>427</v>
      </c>
      <c r="E303" t="s">
        <v>986</v>
      </c>
      <c r="F303">
        <v>1</v>
      </c>
      <c r="G303" t="s">
        <v>987</v>
      </c>
      <c r="H303" t="s">
        <v>988</v>
      </c>
      <c r="I303" t="s">
        <v>989</v>
      </c>
      <c r="L303" t="s">
        <v>990</v>
      </c>
      <c r="M303" t="s">
        <v>62</v>
      </c>
      <c r="N303" t="s">
        <v>130</v>
      </c>
      <c r="P303">
        <f t="shared" si="8"/>
        <v>1</v>
      </c>
      <c r="Q303" t="str">
        <f>IF(AND(P303&gt;1,COUNTIF($E$6:E303,E303)=1),MAX($Q$5:Q302)+1,"")</f>
        <v/>
      </c>
      <c r="R303" t="str">
        <f t="shared" si="9"/>
        <v/>
      </c>
    </row>
    <row r="304" spans="1:18" ht="22.95" customHeight="1">
      <c r="A304" t="s">
        <v>942</v>
      </c>
      <c r="B304" t="s">
        <v>24</v>
      </c>
      <c r="C304" t="s">
        <v>426</v>
      </c>
      <c r="D304" t="s">
        <v>427</v>
      </c>
      <c r="E304" t="s">
        <v>991</v>
      </c>
      <c r="F304">
        <v>1</v>
      </c>
      <c r="G304" t="s">
        <v>139</v>
      </c>
      <c r="I304" t="s">
        <v>992</v>
      </c>
      <c r="K304" t="s">
        <v>109</v>
      </c>
      <c r="L304" t="s">
        <v>993</v>
      </c>
      <c r="M304" t="s">
        <v>62</v>
      </c>
      <c r="N304" t="s">
        <v>520</v>
      </c>
      <c r="P304">
        <f t="shared" si="8"/>
        <v>1</v>
      </c>
      <c r="Q304" t="str">
        <f>IF(AND(P304&gt;1,COUNTIF($E$6:E304,E304)=1),MAX($Q$5:Q303)+1,"")</f>
        <v/>
      </c>
      <c r="R304" t="str">
        <f t="shared" si="9"/>
        <v/>
      </c>
    </row>
    <row r="305" spans="1:18" ht="22.95" customHeight="1">
      <c r="A305" t="s">
        <v>942</v>
      </c>
      <c r="B305" t="s">
        <v>24</v>
      </c>
      <c r="C305" t="s">
        <v>426</v>
      </c>
      <c r="D305" t="s">
        <v>427</v>
      </c>
      <c r="E305" t="s">
        <v>994</v>
      </c>
      <c r="F305">
        <v>1</v>
      </c>
      <c r="G305" t="s">
        <v>139</v>
      </c>
      <c r="I305" t="s">
        <v>995</v>
      </c>
      <c r="L305" t="s">
        <v>996</v>
      </c>
      <c r="M305" t="s">
        <v>62</v>
      </c>
      <c r="N305" t="s">
        <v>520</v>
      </c>
      <c r="P305">
        <f t="shared" si="8"/>
        <v>1</v>
      </c>
      <c r="Q305" t="str">
        <f>IF(AND(P305&gt;1,COUNTIF($E$6:E305,E305)=1),MAX($Q$5:Q304)+1,"")</f>
        <v/>
      </c>
      <c r="R305" t="str">
        <f t="shared" si="9"/>
        <v/>
      </c>
    </row>
    <row r="306" spans="1:18" ht="22.95" customHeight="1">
      <c r="A306" t="s">
        <v>942</v>
      </c>
      <c r="B306" t="s">
        <v>24</v>
      </c>
      <c r="C306" t="s">
        <v>431</v>
      </c>
      <c r="D306" t="s">
        <v>216</v>
      </c>
      <c r="E306" t="s">
        <v>997</v>
      </c>
      <c r="F306">
        <v>1</v>
      </c>
      <c r="G306" t="s">
        <v>139</v>
      </c>
      <c r="I306" t="s">
        <v>998</v>
      </c>
      <c r="L306" t="s">
        <v>999</v>
      </c>
      <c r="M306" t="s">
        <v>73</v>
      </c>
      <c r="P306">
        <f t="shared" si="8"/>
        <v>1</v>
      </c>
      <c r="Q306" t="str">
        <f>IF(AND(P306&gt;1,COUNTIF($E$6:E306,E306)=1),MAX($Q$5:Q305)+1,"")</f>
        <v/>
      </c>
      <c r="R306" t="str">
        <f t="shared" si="9"/>
        <v/>
      </c>
    </row>
    <row r="307" spans="1:18" ht="22.95" customHeight="1">
      <c r="A307" t="s">
        <v>942</v>
      </c>
      <c r="B307" t="s">
        <v>24</v>
      </c>
      <c r="C307" t="s">
        <v>431</v>
      </c>
      <c r="D307" t="s">
        <v>216</v>
      </c>
      <c r="E307" t="s">
        <v>1000</v>
      </c>
      <c r="F307">
        <v>1</v>
      </c>
      <c r="G307" t="s">
        <v>92</v>
      </c>
      <c r="I307" t="s">
        <v>1001</v>
      </c>
      <c r="L307" t="s">
        <v>999</v>
      </c>
      <c r="M307" t="s">
        <v>73</v>
      </c>
      <c r="P307">
        <f t="shared" si="8"/>
        <v>1</v>
      </c>
      <c r="Q307" t="str">
        <f>IF(AND(P307&gt;1,COUNTIF($E$6:E307,E307)=1),MAX($Q$5:Q306)+1,"")</f>
        <v/>
      </c>
      <c r="R307" t="str">
        <f t="shared" si="9"/>
        <v/>
      </c>
    </row>
    <row r="308" spans="1:18" ht="22.95" customHeight="1">
      <c r="A308" t="s">
        <v>942</v>
      </c>
      <c r="B308" t="s">
        <v>24</v>
      </c>
      <c r="C308" t="s">
        <v>431</v>
      </c>
      <c r="D308" t="s">
        <v>216</v>
      </c>
      <c r="E308" t="s">
        <v>1002</v>
      </c>
      <c r="F308">
        <v>1</v>
      </c>
      <c r="G308" t="s">
        <v>92</v>
      </c>
      <c r="I308" t="s">
        <v>1003</v>
      </c>
      <c r="L308" t="s">
        <v>999</v>
      </c>
      <c r="M308" t="s">
        <v>73</v>
      </c>
      <c r="P308">
        <f t="shared" si="8"/>
        <v>1</v>
      </c>
      <c r="Q308" t="str">
        <f>IF(AND(P308&gt;1,COUNTIF($E$6:E308,E308)=1),MAX($Q$5:Q307)+1,"")</f>
        <v/>
      </c>
      <c r="R308" t="str">
        <f t="shared" si="9"/>
        <v/>
      </c>
    </row>
    <row r="309" spans="1:18" ht="22.95" customHeight="1">
      <c r="A309" t="s">
        <v>942</v>
      </c>
      <c r="B309" t="s">
        <v>24</v>
      </c>
      <c r="C309" t="s">
        <v>431</v>
      </c>
      <c r="D309" t="s">
        <v>216</v>
      </c>
      <c r="E309" t="s">
        <v>1004</v>
      </c>
      <c r="F309">
        <v>1</v>
      </c>
      <c r="G309" t="s">
        <v>139</v>
      </c>
      <c r="I309" t="s">
        <v>1005</v>
      </c>
      <c r="L309" t="s">
        <v>1006</v>
      </c>
      <c r="M309" t="s">
        <v>73</v>
      </c>
      <c r="P309">
        <f t="shared" si="8"/>
        <v>1</v>
      </c>
      <c r="Q309" t="str">
        <f>IF(AND(P309&gt;1,COUNTIF($E$6:E309,E309)=1),MAX($Q$5:Q308)+1,"")</f>
        <v/>
      </c>
      <c r="R309" t="str">
        <f t="shared" si="9"/>
        <v/>
      </c>
    </row>
    <row r="310" spans="1:18" ht="22.95" customHeight="1">
      <c r="A310" t="s">
        <v>942</v>
      </c>
      <c r="B310" t="s">
        <v>24</v>
      </c>
      <c r="C310" t="s">
        <v>431</v>
      </c>
      <c r="D310" t="s">
        <v>216</v>
      </c>
      <c r="E310" t="s">
        <v>1007</v>
      </c>
      <c r="F310">
        <v>1</v>
      </c>
      <c r="G310" t="s">
        <v>1008</v>
      </c>
      <c r="H310" t="s">
        <v>1009</v>
      </c>
      <c r="I310" t="s">
        <v>1010</v>
      </c>
      <c r="K310" t="s">
        <v>1011</v>
      </c>
      <c r="L310" t="s">
        <v>1012</v>
      </c>
      <c r="M310" t="s">
        <v>62</v>
      </c>
      <c r="N310" t="s">
        <v>130</v>
      </c>
      <c r="P310">
        <f t="shared" si="8"/>
        <v>1</v>
      </c>
      <c r="Q310" t="str">
        <f>IF(AND(P310&gt;1,COUNTIF($E$6:E310,E310)=1),MAX($Q$5:Q309)+1,"")</f>
        <v/>
      </c>
      <c r="R310" t="str">
        <f t="shared" si="9"/>
        <v/>
      </c>
    </row>
    <row r="311" spans="1:18" ht="22.95" customHeight="1">
      <c r="A311" t="s">
        <v>942</v>
      </c>
      <c r="B311" t="s">
        <v>24</v>
      </c>
      <c r="C311" t="s">
        <v>431</v>
      </c>
      <c r="D311" t="s">
        <v>216</v>
      </c>
      <c r="E311" t="s">
        <v>1013</v>
      </c>
      <c r="F311">
        <v>1</v>
      </c>
      <c r="G311" t="s">
        <v>1008</v>
      </c>
      <c r="H311" t="s">
        <v>1009</v>
      </c>
      <c r="I311" t="s">
        <v>1010</v>
      </c>
      <c r="K311" t="s">
        <v>1011</v>
      </c>
      <c r="L311" t="s">
        <v>1012</v>
      </c>
      <c r="M311" t="s">
        <v>62</v>
      </c>
      <c r="N311" t="s">
        <v>130</v>
      </c>
      <c r="P311">
        <f t="shared" si="8"/>
        <v>1</v>
      </c>
      <c r="Q311" t="str">
        <f>IF(AND(P311&gt;1,COUNTIF($E$6:E311,E311)=1),MAX($Q$5:Q310)+1,"")</f>
        <v/>
      </c>
      <c r="R311" t="str">
        <f t="shared" si="9"/>
        <v/>
      </c>
    </row>
    <row r="312" spans="1:18" ht="22.95" customHeight="1">
      <c r="A312" t="s">
        <v>942</v>
      </c>
      <c r="B312" t="s">
        <v>24</v>
      </c>
      <c r="C312" t="s">
        <v>431</v>
      </c>
      <c r="D312" t="s">
        <v>216</v>
      </c>
      <c r="E312" t="s">
        <v>1014</v>
      </c>
      <c r="F312">
        <v>1</v>
      </c>
      <c r="G312" t="s">
        <v>1008</v>
      </c>
      <c r="H312" t="s">
        <v>1009</v>
      </c>
      <c r="I312" t="s">
        <v>1010</v>
      </c>
      <c r="K312" t="s">
        <v>1011</v>
      </c>
      <c r="L312" t="s">
        <v>1015</v>
      </c>
      <c r="M312" t="s">
        <v>62</v>
      </c>
      <c r="N312" t="s">
        <v>130</v>
      </c>
      <c r="P312">
        <f t="shared" si="8"/>
        <v>1</v>
      </c>
      <c r="Q312" t="str">
        <f>IF(AND(P312&gt;1,COUNTIF($E$6:E312,E312)=1),MAX($Q$5:Q311)+1,"")</f>
        <v/>
      </c>
      <c r="R312" t="str">
        <f t="shared" si="9"/>
        <v/>
      </c>
    </row>
    <row r="313" spans="1:18" ht="22.95" customHeight="1">
      <c r="A313" t="s">
        <v>942</v>
      </c>
      <c r="B313" t="s">
        <v>24</v>
      </c>
      <c r="C313" t="s">
        <v>431</v>
      </c>
      <c r="D313" t="s">
        <v>216</v>
      </c>
      <c r="E313" t="s">
        <v>1016</v>
      </c>
      <c r="F313">
        <v>1</v>
      </c>
      <c r="G313" t="s">
        <v>1008</v>
      </c>
      <c r="H313" t="s">
        <v>1009</v>
      </c>
      <c r="I313" t="s">
        <v>1017</v>
      </c>
      <c r="K313" t="s">
        <v>1011</v>
      </c>
      <c r="L313" t="s">
        <v>1018</v>
      </c>
      <c r="M313" t="s">
        <v>62</v>
      </c>
      <c r="N313" t="s">
        <v>130</v>
      </c>
      <c r="P313">
        <f t="shared" si="8"/>
        <v>1</v>
      </c>
      <c r="Q313" t="str">
        <f>IF(AND(P313&gt;1,COUNTIF($E$6:E313,E313)=1),MAX($Q$5:Q312)+1,"")</f>
        <v/>
      </c>
      <c r="R313" t="str">
        <f t="shared" si="9"/>
        <v/>
      </c>
    </row>
    <row r="314" spans="1:18" ht="22.95" customHeight="1">
      <c r="A314" t="s">
        <v>942</v>
      </c>
      <c r="B314" t="s">
        <v>24</v>
      </c>
      <c r="C314" t="s">
        <v>431</v>
      </c>
      <c r="D314" t="s">
        <v>216</v>
      </c>
      <c r="E314" t="s">
        <v>1019</v>
      </c>
      <c r="F314">
        <v>1</v>
      </c>
      <c r="G314" t="s">
        <v>1020</v>
      </c>
      <c r="H314" t="s">
        <v>988</v>
      </c>
      <c r="I314" t="s">
        <v>1021</v>
      </c>
      <c r="K314" t="s">
        <v>1011</v>
      </c>
      <c r="L314" t="s">
        <v>1022</v>
      </c>
      <c r="M314" t="s">
        <v>62</v>
      </c>
      <c r="N314" t="s">
        <v>130</v>
      </c>
      <c r="P314">
        <f t="shared" si="8"/>
        <v>1</v>
      </c>
      <c r="Q314" t="str">
        <f>IF(AND(P314&gt;1,COUNTIF($E$6:E314,E314)=1),MAX($Q$5:Q313)+1,"")</f>
        <v/>
      </c>
      <c r="R314" t="str">
        <f t="shared" si="9"/>
        <v/>
      </c>
    </row>
    <row r="315" spans="1:18" ht="22.95" customHeight="1">
      <c r="A315" t="s">
        <v>942</v>
      </c>
      <c r="B315" t="s">
        <v>24</v>
      </c>
      <c r="C315" t="s">
        <v>436</v>
      </c>
      <c r="D315" t="s">
        <v>437</v>
      </c>
      <c r="E315" t="s">
        <v>1023</v>
      </c>
      <c r="F315">
        <v>1</v>
      </c>
      <c r="G315" t="s">
        <v>139</v>
      </c>
      <c r="I315" t="s">
        <v>112</v>
      </c>
      <c r="K315" t="s">
        <v>109</v>
      </c>
      <c r="L315" t="s">
        <v>1024</v>
      </c>
      <c r="M315" t="s">
        <v>62</v>
      </c>
      <c r="N315" t="s">
        <v>520</v>
      </c>
      <c r="P315">
        <f t="shared" si="8"/>
        <v>1</v>
      </c>
      <c r="Q315" t="str">
        <f>IF(AND(P315&gt;1,COUNTIF($E$6:E315,E315)=1),MAX($Q$5:Q314)+1,"")</f>
        <v/>
      </c>
      <c r="R315" t="str">
        <f t="shared" si="9"/>
        <v/>
      </c>
    </row>
    <row r="316" spans="1:18" ht="22.95" customHeight="1">
      <c r="A316" t="s">
        <v>942</v>
      </c>
      <c r="B316" t="s">
        <v>24</v>
      </c>
      <c r="C316" t="s">
        <v>436</v>
      </c>
      <c r="D316" t="s">
        <v>437</v>
      </c>
      <c r="E316" t="s">
        <v>1025</v>
      </c>
      <c r="F316">
        <v>1</v>
      </c>
      <c r="G316" t="s">
        <v>139</v>
      </c>
      <c r="I316" t="s">
        <v>112</v>
      </c>
      <c r="K316" t="s">
        <v>109</v>
      </c>
      <c r="L316" t="s">
        <v>1024</v>
      </c>
      <c r="M316" t="s">
        <v>62</v>
      </c>
      <c r="N316" t="s">
        <v>520</v>
      </c>
      <c r="P316">
        <f t="shared" si="8"/>
        <v>1</v>
      </c>
      <c r="Q316" t="str">
        <f>IF(AND(P316&gt;1,COUNTIF($E$6:E316,E316)=1),MAX($Q$5:Q315)+1,"")</f>
        <v/>
      </c>
      <c r="R316" t="str">
        <f t="shared" si="9"/>
        <v/>
      </c>
    </row>
    <row r="317" spans="1:18" ht="22.95" customHeight="1">
      <c r="A317" t="s">
        <v>942</v>
      </c>
      <c r="B317" t="s">
        <v>24</v>
      </c>
      <c r="C317" t="s">
        <v>136</v>
      </c>
      <c r="D317" t="s">
        <v>137</v>
      </c>
      <c r="E317" t="s">
        <v>1026</v>
      </c>
      <c r="F317">
        <v>1</v>
      </c>
      <c r="G317" t="s">
        <v>1027</v>
      </c>
      <c r="I317" t="s">
        <v>406</v>
      </c>
      <c r="L317" t="s">
        <v>1028</v>
      </c>
      <c r="M317" t="s">
        <v>62</v>
      </c>
      <c r="N317" t="s">
        <v>130</v>
      </c>
      <c r="P317">
        <f t="shared" si="8"/>
        <v>1</v>
      </c>
      <c r="Q317" t="str">
        <f>IF(AND(P317&gt;1,COUNTIF($E$6:E317,E317)=1),MAX($Q$5:Q316)+1,"")</f>
        <v/>
      </c>
      <c r="R317" t="str">
        <f t="shared" si="9"/>
        <v/>
      </c>
    </row>
    <row r="318" spans="1:18" ht="22.95" customHeight="1">
      <c r="A318" t="s">
        <v>942</v>
      </c>
      <c r="B318" t="s">
        <v>24</v>
      </c>
      <c r="C318" t="s">
        <v>136</v>
      </c>
      <c r="D318" t="s">
        <v>137</v>
      </c>
      <c r="E318" t="s">
        <v>1029</v>
      </c>
      <c r="F318">
        <v>1</v>
      </c>
      <c r="G318" t="s">
        <v>1027</v>
      </c>
      <c r="H318" t="s">
        <v>1030</v>
      </c>
      <c r="L318" t="s">
        <v>1031</v>
      </c>
      <c r="M318" t="s">
        <v>62</v>
      </c>
      <c r="N318" t="s">
        <v>130</v>
      </c>
      <c r="P318">
        <f t="shared" si="8"/>
        <v>1</v>
      </c>
      <c r="Q318" t="str">
        <f>IF(AND(P318&gt;1,COUNTIF($E$6:E318,E318)=1),MAX($Q$5:Q317)+1,"")</f>
        <v/>
      </c>
      <c r="R318" t="str">
        <f t="shared" si="9"/>
        <v/>
      </c>
    </row>
    <row r="319" spans="1:18" ht="22.95" customHeight="1">
      <c r="A319" t="s">
        <v>942</v>
      </c>
      <c r="B319" t="s">
        <v>24</v>
      </c>
      <c r="C319" t="s">
        <v>136</v>
      </c>
      <c r="D319" t="s">
        <v>137</v>
      </c>
      <c r="E319" t="s">
        <v>1032</v>
      </c>
      <c r="F319">
        <v>1</v>
      </c>
      <c r="G319" t="s">
        <v>1027</v>
      </c>
      <c r="H319" t="s">
        <v>1030</v>
      </c>
      <c r="L319" t="s">
        <v>1033</v>
      </c>
      <c r="M319" t="s">
        <v>62</v>
      </c>
      <c r="N319" t="s">
        <v>130</v>
      </c>
      <c r="P319">
        <f t="shared" si="8"/>
        <v>1</v>
      </c>
      <c r="Q319" t="str">
        <f>IF(AND(P319&gt;1,COUNTIF($E$6:E319,E319)=1),MAX($Q$5:Q318)+1,"")</f>
        <v/>
      </c>
      <c r="R319" t="str">
        <f t="shared" si="9"/>
        <v/>
      </c>
    </row>
    <row r="320" spans="1:18" ht="22.95" customHeight="1">
      <c r="A320" t="s">
        <v>942</v>
      </c>
      <c r="B320" t="s">
        <v>24</v>
      </c>
      <c r="C320" t="s">
        <v>136</v>
      </c>
      <c r="D320" t="s">
        <v>137</v>
      </c>
      <c r="E320" t="s">
        <v>1034</v>
      </c>
      <c r="F320">
        <v>1</v>
      </c>
      <c r="G320" t="s">
        <v>1027</v>
      </c>
      <c r="H320" t="s">
        <v>1030</v>
      </c>
      <c r="L320" t="s">
        <v>1035</v>
      </c>
      <c r="M320" t="s">
        <v>62</v>
      </c>
      <c r="N320" t="s">
        <v>130</v>
      </c>
      <c r="P320">
        <f t="shared" si="8"/>
        <v>1</v>
      </c>
      <c r="Q320" t="str">
        <f>IF(AND(P320&gt;1,COUNTIF($E$6:E320,E320)=1),MAX($Q$5:Q319)+1,"")</f>
        <v/>
      </c>
      <c r="R320" t="str">
        <f t="shared" si="9"/>
        <v/>
      </c>
    </row>
    <row r="321" spans="1:18" ht="22.95" customHeight="1">
      <c r="A321" t="s">
        <v>942</v>
      </c>
      <c r="B321" t="s">
        <v>24</v>
      </c>
      <c r="C321" t="s">
        <v>136</v>
      </c>
      <c r="D321" t="s">
        <v>137</v>
      </c>
      <c r="E321" t="s">
        <v>1036</v>
      </c>
      <c r="F321">
        <v>1</v>
      </c>
      <c r="G321" t="s">
        <v>1027</v>
      </c>
      <c r="H321" t="s">
        <v>1030</v>
      </c>
      <c r="L321" t="s">
        <v>1035</v>
      </c>
      <c r="M321" t="s">
        <v>62</v>
      </c>
      <c r="N321" t="s">
        <v>130</v>
      </c>
      <c r="P321">
        <f t="shared" si="8"/>
        <v>1</v>
      </c>
      <c r="Q321" t="str">
        <f>IF(AND(P321&gt;1,COUNTIF($E$6:E321,E321)=1),MAX($Q$5:Q320)+1,"")</f>
        <v/>
      </c>
      <c r="R321" t="str">
        <f t="shared" si="9"/>
        <v/>
      </c>
    </row>
    <row r="322" spans="1:18" ht="22.95" customHeight="1">
      <c r="A322" t="s">
        <v>942</v>
      </c>
      <c r="B322" t="s">
        <v>24</v>
      </c>
      <c r="C322" t="s">
        <v>136</v>
      </c>
      <c r="D322" t="s">
        <v>137</v>
      </c>
      <c r="E322" t="s">
        <v>1037</v>
      </c>
      <c r="F322">
        <v>1</v>
      </c>
      <c r="G322" t="s">
        <v>1027</v>
      </c>
      <c r="H322" t="s">
        <v>1030</v>
      </c>
      <c r="L322" t="s">
        <v>1035</v>
      </c>
      <c r="M322" t="s">
        <v>62</v>
      </c>
      <c r="N322" t="s">
        <v>130</v>
      </c>
      <c r="P322">
        <f t="shared" si="8"/>
        <v>1</v>
      </c>
      <c r="Q322" t="str">
        <f>IF(AND(P322&gt;1,COUNTIF($E$6:E322,E322)=1),MAX($Q$5:Q321)+1,"")</f>
        <v/>
      </c>
      <c r="R322" t="str">
        <f t="shared" si="9"/>
        <v/>
      </c>
    </row>
    <row r="323" spans="1:18" ht="22.95" customHeight="1">
      <c r="A323" t="s">
        <v>942</v>
      </c>
      <c r="B323" t="s">
        <v>24</v>
      </c>
      <c r="C323" t="s">
        <v>136</v>
      </c>
      <c r="D323" t="s">
        <v>137</v>
      </c>
      <c r="E323" t="s">
        <v>1038</v>
      </c>
      <c r="F323">
        <v>1</v>
      </c>
      <c r="G323" t="s">
        <v>1027</v>
      </c>
      <c r="H323" t="s">
        <v>1030</v>
      </c>
      <c r="L323" t="s">
        <v>1031</v>
      </c>
      <c r="M323" t="s">
        <v>62</v>
      </c>
      <c r="N323" t="s">
        <v>130</v>
      </c>
      <c r="P323">
        <f t="shared" si="8"/>
        <v>1</v>
      </c>
      <c r="Q323" t="str">
        <f>IF(AND(P323&gt;1,COUNTIF($E$6:E323,E323)=1),MAX($Q$5:Q322)+1,"")</f>
        <v/>
      </c>
      <c r="R323" t="str">
        <f t="shared" si="9"/>
        <v/>
      </c>
    </row>
    <row r="324" spans="1:18" ht="22.95" customHeight="1">
      <c r="A324" t="s">
        <v>942</v>
      </c>
      <c r="B324" t="s">
        <v>24</v>
      </c>
      <c r="C324" t="s">
        <v>136</v>
      </c>
      <c r="D324" t="s">
        <v>137</v>
      </c>
      <c r="E324" t="s">
        <v>1039</v>
      </c>
      <c r="F324">
        <v>1</v>
      </c>
      <c r="G324" t="s">
        <v>92</v>
      </c>
      <c r="L324" t="s">
        <v>1040</v>
      </c>
      <c r="M324" t="s">
        <v>102</v>
      </c>
      <c r="P324">
        <f t="shared" si="8"/>
        <v>1</v>
      </c>
      <c r="Q324" t="str">
        <f>IF(AND(P324&gt;1,COUNTIF($E$6:E324,E324)=1),MAX($Q$5:Q323)+1,"")</f>
        <v/>
      </c>
      <c r="R324" t="str">
        <f t="shared" si="9"/>
        <v/>
      </c>
    </row>
    <row r="325" spans="1:18" ht="22.95" customHeight="1">
      <c r="A325" t="s">
        <v>942</v>
      </c>
      <c r="B325" t="s">
        <v>24</v>
      </c>
      <c r="C325" t="s">
        <v>136</v>
      </c>
      <c r="D325" t="s">
        <v>137</v>
      </c>
      <c r="E325" t="s">
        <v>1041</v>
      </c>
      <c r="F325">
        <v>1</v>
      </c>
      <c r="G325" t="s">
        <v>1027</v>
      </c>
      <c r="H325" t="s">
        <v>1030</v>
      </c>
      <c r="I325" t="s">
        <v>406</v>
      </c>
      <c r="L325" t="s">
        <v>1042</v>
      </c>
      <c r="M325" t="s">
        <v>62</v>
      </c>
      <c r="N325" t="s">
        <v>130</v>
      </c>
      <c r="P325">
        <f t="shared" si="8"/>
        <v>1</v>
      </c>
      <c r="Q325" t="str">
        <f>IF(AND(P325&gt;1,COUNTIF($E$6:E325,E325)=1),MAX($Q$5:Q324)+1,"")</f>
        <v/>
      </c>
      <c r="R325" t="str">
        <f t="shared" si="9"/>
        <v/>
      </c>
    </row>
    <row r="326" spans="1:18" ht="22.95" customHeight="1">
      <c r="A326" t="s">
        <v>942</v>
      </c>
      <c r="B326" t="s">
        <v>28</v>
      </c>
      <c r="C326" t="s">
        <v>448</v>
      </c>
      <c r="D326" t="s">
        <v>449</v>
      </c>
      <c r="E326" t="s">
        <v>1043</v>
      </c>
      <c r="F326">
        <v>1</v>
      </c>
      <c r="G326" t="s">
        <v>92</v>
      </c>
      <c r="I326" t="s">
        <v>1044</v>
      </c>
      <c r="K326" t="s">
        <v>109</v>
      </c>
      <c r="L326" t="s">
        <v>1045</v>
      </c>
      <c r="M326" t="s">
        <v>73</v>
      </c>
      <c r="P326">
        <f t="shared" ref="P326:P389" si="10">COUNTIF($E$6:$E$1740,E326)</f>
        <v>1</v>
      </c>
      <c r="Q326" t="str">
        <f>IF(AND(P326&gt;1,COUNTIF($E$6:E326,E326)=1),MAX($Q$5:Q325)+1,"")</f>
        <v/>
      </c>
      <c r="R326" t="str">
        <f t="shared" ref="R326:R389" si="11">IF(Q326="","",IF(COUNTIFS($E$6:$E$1740,E326,$A$6:$A$1740,A326,$C$6:$C$1740,C326)&lt;P326,"LÉGITIME",IF(COUNTIFS($E$6:$E$1740,E326,$A$6:$A$1740,A326,$C$6:$C$1740,C326,$M$6:$M$1740,M326)&lt;P326,"STATUT DIFFÉRENT","VRAI DOUBLON")))</f>
        <v/>
      </c>
    </row>
    <row r="327" spans="1:18" ht="22.95" customHeight="1">
      <c r="A327" t="s">
        <v>942</v>
      </c>
      <c r="B327" t="s">
        <v>28</v>
      </c>
      <c r="C327" t="s">
        <v>146</v>
      </c>
      <c r="D327" t="s">
        <v>147</v>
      </c>
      <c r="E327" t="s">
        <v>1046</v>
      </c>
      <c r="F327">
        <v>1</v>
      </c>
      <c r="G327" t="s">
        <v>1047</v>
      </c>
      <c r="H327" t="s">
        <v>1048</v>
      </c>
      <c r="I327" t="s">
        <v>1049</v>
      </c>
      <c r="K327" t="s">
        <v>687</v>
      </c>
      <c r="L327" t="s">
        <v>1050</v>
      </c>
      <c r="M327" t="s">
        <v>73</v>
      </c>
      <c r="P327">
        <f t="shared" si="10"/>
        <v>1</v>
      </c>
      <c r="Q327" t="str">
        <f>IF(AND(P327&gt;1,COUNTIF($E$6:E327,E327)=1),MAX($Q$5:Q326)+1,"")</f>
        <v/>
      </c>
      <c r="R327" t="str">
        <f t="shared" si="11"/>
        <v/>
      </c>
    </row>
    <row r="328" spans="1:18" ht="22.95" customHeight="1">
      <c r="A328" t="s">
        <v>942</v>
      </c>
      <c r="B328" t="s">
        <v>28</v>
      </c>
      <c r="C328" t="s">
        <v>146</v>
      </c>
      <c r="D328" t="s">
        <v>147</v>
      </c>
      <c r="E328" t="s">
        <v>1051</v>
      </c>
      <c r="F328">
        <v>1</v>
      </c>
      <c r="G328" t="s">
        <v>249</v>
      </c>
      <c r="H328" t="s">
        <v>1052</v>
      </c>
      <c r="I328" t="s">
        <v>1053</v>
      </c>
      <c r="K328" t="s">
        <v>78</v>
      </c>
      <c r="L328" t="s">
        <v>1054</v>
      </c>
      <c r="M328" t="s">
        <v>73</v>
      </c>
      <c r="P328">
        <f t="shared" si="10"/>
        <v>1</v>
      </c>
      <c r="Q328" t="str">
        <f>IF(AND(P328&gt;1,COUNTIF($E$6:E328,E328)=1),MAX($Q$5:Q327)+1,"")</f>
        <v/>
      </c>
      <c r="R328" t="str">
        <f t="shared" si="11"/>
        <v/>
      </c>
    </row>
    <row r="329" spans="1:18" ht="22.95" customHeight="1">
      <c r="A329" t="s">
        <v>942</v>
      </c>
      <c r="B329" t="s">
        <v>28</v>
      </c>
      <c r="C329" t="s">
        <v>146</v>
      </c>
      <c r="D329" t="s">
        <v>147</v>
      </c>
      <c r="E329" t="s">
        <v>1055</v>
      </c>
      <c r="F329">
        <v>1</v>
      </c>
      <c r="G329" t="s">
        <v>249</v>
      </c>
      <c r="H329" t="s">
        <v>1052</v>
      </c>
      <c r="I329" t="s">
        <v>1053</v>
      </c>
      <c r="K329" t="s">
        <v>78</v>
      </c>
      <c r="L329" t="s">
        <v>1054</v>
      </c>
      <c r="M329" t="s">
        <v>73</v>
      </c>
      <c r="P329">
        <f t="shared" si="10"/>
        <v>1</v>
      </c>
      <c r="Q329" t="str">
        <f>IF(AND(P329&gt;1,COUNTIF($E$6:E329,E329)=1),MAX($Q$5:Q328)+1,"")</f>
        <v/>
      </c>
      <c r="R329" t="str">
        <f t="shared" si="11"/>
        <v/>
      </c>
    </row>
    <row r="330" spans="1:18" ht="22.95" customHeight="1">
      <c r="A330" t="s">
        <v>942</v>
      </c>
      <c r="B330" t="s">
        <v>28</v>
      </c>
      <c r="C330" t="s">
        <v>146</v>
      </c>
      <c r="D330" t="s">
        <v>147</v>
      </c>
      <c r="E330" t="s">
        <v>1056</v>
      </c>
      <c r="F330">
        <v>1</v>
      </c>
      <c r="G330" t="s">
        <v>249</v>
      </c>
      <c r="H330" t="s">
        <v>1052</v>
      </c>
      <c r="I330" t="s">
        <v>1053</v>
      </c>
      <c r="K330" t="s">
        <v>78</v>
      </c>
      <c r="L330" t="s">
        <v>1054</v>
      </c>
      <c r="M330" t="s">
        <v>73</v>
      </c>
      <c r="P330">
        <f t="shared" si="10"/>
        <v>1</v>
      </c>
      <c r="Q330" t="str">
        <f>IF(AND(P330&gt;1,COUNTIF($E$6:E330,E330)=1),MAX($Q$5:Q329)+1,"")</f>
        <v/>
      </c>
      <c r="R330" t="str">
        <f t="shared" si="11"/>
        <v/>
      </c>
    </row>
    <row r="331" spans="1:18" ht="22.95" customHeight="1">
      <c r="A331" t="s">
        <v>942</v>
      </c>
      <c r="B331" t="s">
        <v>28</v>
      </c>
      <c r="C331" t="s">
        <v>146</v>
      </c>
      <c r="D331" t="s">
        <v>147</v>
      </c>
      <c r="E331" t="s">
        <v>1057</v>
      </c>
      <c r="F331">
        <v>1</v>
      </c>
      <c r="G331" t="s">
        <v>249</v>
      </c>
      <c r="H331" t="s">
        <v>1058</v>
      </c>
      <c r="I331" t="s">
        <v>1053</v>
      </c>
      <c r="K331" t="s">
        <v>78</v>
      </c>
      <c r="L331" t="s">
        <v>1054</v>
      </c>
      <c r="M331" t="s">
        <v>73</v>
      </c>
      <c r="P331">
        <f t="shared" si="10"/>
        <v>1</v>
      </c>
      <c r="Q331" t="str">
        <f>IF(AND(P331&gt;1,COUNTIF($E$6:E331,E331)=1),MAX($Q$5:Q330)+1,"")</f>
        <v/>
      </c>
      <c r="R331" t="str">
        <f t="shared" si="11"/>
        <v/>
      </c>
    </row>
    <row r="332" spans="1:18" ht="22.95" customHeight="1">
      <c r="A332" t="s">
        <v>942</v>
      </c>
      <c r="B332" t="s">
        <v>28</v>
      </c>
      <c r="C332" t="s">
        <v>146</v>
      </c>
      <c r="D332" t="s">
        <v>147</v>
      </c>
      <c r="E332" t="s">
        <v>1059</v>
      </c>
      <c r="F332">
        <v>1</v>
      </c>
      <c r="I332" t="s">
        <v>141</v>
      </c>
      <c r="L332" t="s">
        <v>1060</v>
      </c>
      <c r="M332" t="s">
        <v>102</v>
      </c>
      <c r="P332">
        <f t="shared" si="10"/>
        <v>1</v>
      </c>
      <c r="Q332" t="str">
        <f>IF(AND(P332&gt;1,COUNTIF($E$6:E332,E332)=1),MAX($Q$5:Q331)+1,"")</f>
        <v/>
      </c>
      <c r="R332" t="str">
        <f t="shared" si="11"/>
        <v/>
      </c>
    </row>
    <row r="333" spans="1:18" ht="22.95" customHeight="1">
      <c r="A333" t="s">
        <v>942</v>
      </c>
      <c r="B333" t="s">
        <v>28</v>
      </c>
      <c r="C333" t="s">
        <v>167</v>
      </c>
      <c r="D333" t="s">
        <v>168</v>
      </c>
      <c r="E333" t="s">
        <v>1061</v>
      </c>
      <c r="F333">
        <v>1</v>
      </c>
      <c r="G333" t="s">
        <v>1062</v>
      </c>
      <c r="H333" t="s">
        <v>1030</v>
      </c>
      <c r="I333" t="s">
        <v>1063</v>
      </c>
      <c r="K333" t="s">
        <v>109</v>
      </c>
      <c r="L333" t="s">
        <v>1064</v>
      </c>
      <c r="M333" t="s">
        <v>102</v>
      </c>
      <c r="P333">
        <f t="shared" si="10"/>
        <v>1</v>
      </c>
      <c r="Q333" t="str">
        <f>IF(AND(P333&gt;1,COUNTIF($E$6:E333,E333)=1),MAX($Q$5:Q332)+1,"")</f>
        <v/>
      </c>
      <c r="R333" t="str">
        <f t="shared" si="11"/>
        <v/>
      </c>
    </row>
    <row r="334" spans="1:18" ht="22.95" customHeight="1">
      <c r="A334" t="s">
        <v>942</v>
      </c>
      <c r="B334" t="s">
        <v>28</v>
      </c>
      <c r="C334" t="s">
        <v>167</v>
      </c>
      <c r="D334" t="s">
        <v>168</v>
      </c>
      <c r="E334" t="s">
        <v>1065</v>
      </c>
      <c r="F334">
        <v>1</v>
      </c>
      <c r="G334" t="s">
        <v>1066</v>
      </c>
      <c r="H334" t="s">
        <v>1067</v>
      </c>
      <c r="I334" t="s">
        <v>1063</v>
      </c>
      <c r="K334" t="s">
        <v>109</v>
      </c>
      <c r="L334" t="s">
        <v>1064</v>
      </c>
      <c r="M334" t="s">
        <v>102</v>
      </c>
      <c r="P334">
        <f t="shared" si="10"/>
        <v>1</v>
      </c>
      <c r="Q334" t="str">
        <f>IF(AND(P334&gt;1,COUNTIF($E$6:E334,E334)=1),MAX($Q$5:Q333)+1,"")</f>
        <v/>
      </c>
      <c r="R334" t="str">
        <f t="shared" si="11"/>
        <v/>
      </c>
    </row>
    <row r="335" spans="1:18" ht="22.95" customHeight="1">
      <c r="A335" t="s">
        <v>942</v>
      </c>
      <c r="B335" t="s">
        <v>28</v>
      </c>
      <c r="C335" t="s">
        <v>167</v>
      </c>
      <c r="D335" t="s">
        <v>168</v>
      </c>
      <c r="E335" t="s">
        <v>1068</v>
      </c>
      <c r="F335">
        <v>1</v>
      </c>
      <c r="G335" t="s">
        <v>1066</v>
      </c>
      <c r="H335" t="s">
        <v>1067</v>
      </c>
      <c r="I335" t="s">
        <v>1063</v>
      </c>
      <c r="K335" t="s">
        <v>109</v>
      </c>
      <c r="L335" t="s">
        <v>1064</v>
      </c>
      <c r="M335" t="s">
        <v>102</v>
      </c>
      <c r="P335">
        <f t="shared" si="10"/>
        <v>1</v>
      </c>
      <c r="Q335" t="str">
        <f>IF(AND(P335&gt;1,COUNTIF($E$6:E335,E335)=1),MAX($Q$5:Q334)+1,"")</f>
        <v/>
      </c>
      <c r="R335" t="str">
        <f t="shared" si="11"/>
        <v/>
      </c>
    </row>
    <row r="336" spans="1:18" ht="22.95" customHeight="1">
      <c r="A336" t="s">
        <v>942</v>
      </c>
      <c r="B336" t="s">
        <v>27</v>
      </c>
      <c r="C336" t="s">
        <v>1069</v>
      </c>
      <c r="D336" t="s">
        <v>1070</v>
      </c>
      <c r="E336" t="s">
        <v>1071</v>
      </c>
      <c r="F336">
        <v>1</v>
      </c>
      <c r="G336" t="s">
        <v>92</v>
      </c>
      <c r="I336" t="s">
        <v>1072</v>
      </c>
      <c r="K336" t="s">
        <v>109</v>
      </c>
      <c r="L336" t="s">
        <v>1073</v>
      </c>
      <c r="M336" t="s">
        <v>102</v>
      </c>
      <c r="P336">
        <f t="shared" si="10"/>
        <v>1</v>
      </c>
      <c r="Q336" t="str">
        <f>IF(AND(P336&gt;1,COUNTIF($E$6:E336,E336)=1),MAX($Q$5:Q335)+1,"")</f>
        <v/>
      </c>
      <c r="R336" t="str">
        <f t="shared" si="11"/>
        <v/>
      </c>
    </row>
    <row r="337" spans="1:18" ht="22.95" customHeight="1">
      <c r="A337" t="s">
        <v>942</v>
      </c>
      <c r="B337" t="s">
        <v>26</v>
      </c>
      <c r="C337" t="s">
        <v>196</v>
      </c>
      <c r="D337" t="s">
        <v>197</v>
      </c>
      <c r="E337" t="s">
        <v>1074</v>
      </c>
      <c r="F337">
        <v>1</v>
      </c>
      <c r="G337" t="s">
        <v>1075</v>
      </c>
      <c r="H337" t="s">
        <v>1076</v>
      </c>
      <c r="I337" t="s">
        <v>112</v>
      </c>
      <c r="K337" t="s">
        <v>109</v>
      </c>
      <c r="L337" t="s">
        <v>1077</v>
      </c>
      <c r="M337" t="s">
        <v>102</v>
      </c>
      <c r="P337">
        <f t="shared" si="10"/>
        <v>1</v>
      </c>
      <c r="Q337" t="str">
        <f>IF(AND(P337&gt;1,COUNTIF($E$6:E337,E337)=1),MAX($Q$5:Q336)+1,"")</f>
        <v/>
      </c>
      <c r="R337" t="str">
        <f t="shared" si="11"/>
        <v/>
      </c>
    </row>
    <row r="338" spans="1:18" ht="22.95" customHeight="1">
      <c r="A338" t="s">
        <v>942</v>
      </c>
      <c r="B338" t="s">
        <v>26</v>
      </c>
      <c r="C338" t="s">
        <v>196</v>
      </c>
      <c r="D338" t="s">
        <v>147</v>
      </c>
      <c r="E338" t="s">
        <v>1078</v>
      </c>
      <c r="F338">
        <v>1</v>
      </c>
      <c r="G338" t="s">
        <v>92</v>
      </c>
      <c r="I338" t="s">
        <v>141</v>
      </c>
      <c r="K338" t="s">
        <v>406</v>
      </c>
      <c r="L338" t="s">
        <v>1079</v>
      </c>
      <c r="M338" t="s">
        <v>102</v>
      </c>
      <c r="P338">
        <f t="shared" si="10"/>
        <v>1</v>
      </c>
      <c r="Q338" t="str">
        <f>IF(AND(P338&gt;1,COUNTIF($E$6:E338,E338)=1),MAX($Q$5:Q337)+1,"")</f>
        <v/>
      </c>
      <c r="R338" t="str">
        <f t="shared" si="11"/>
        <v/>
      </c>
    </row>
    <row r="339" spans="1:18" ht="22.95" customHeight="1">
      <c r="A339" t="s">
        <v>942</v>
      </c>
      <c r="B339" t="s">
        <v>26</v>
      </c>
      <c r="C339" t="s">
        <v>196</v>
      </c>
      <c r="D339" t="s">
        <v>147</v>
      </c>
      <c r="E339" t="s">
        <v>1080</v>
      </c>
      <c r="F339">
        <v>1</v>
      </c>
      <c r="G339" t="s">
        <v>1081</v>
      </c>
      <c r="H339" t="s">
        <v>1082</v>
      </c>
      <c r="I339" t="s">
        <v>141</v>
      </c>
      <c r="K339" t="s">
        <v>406</v>
      </c>
      <c r="L339" t="s">
        <v>1083</v>
      </c>
      <c r="M339" t="s">
        <v>62</v>
      </c>
      <c r="N339" t="s">
        <v>63</v>
      </c>
      <c r="P339">
        <f t="shared" si="10"/>
        <v>1</v>
      </c>
      <c r="Q339" t="str">
        <f>IF(AND(P339&gt;1,COUNTIF($E$6:E339,E339)=1),MAX($Q$5:Q338)+1,"")</f>
        <v/>
      </c>
      <c r="R339" t="str">
        <f t="shared" si="11"/>
        <v/>
      </c>
    </row>
    <row r="340" spans="1:18" ht="22.95" customHeight="1">
      <c r="A340" t="s">
        <v>942</v>
      </c>
      <c r="B340" t="s">
        <v>29</v>
      </c>
      <c r="C340" t="s">
        <v>1084</v>
      </c>
      <c r="D340" t="s">
        <v>1085</v>
      </c>
      <c r="E340" t="s">
        <v>1086</v>
      </c>
      <c r="F340">
        <v>1</v>
      </c>
      <c r="G340" t="s">
        <v>1066</v>
      </c>
      <c r="H340" t="s">
        <v>1067</v>
      </c>
      <c r="K340" t="s">
        <v>408</v>
      </c>
      <c r="L340" t="s">
        <v>1087</v>
      </c>
      <c r="M340" t="s">
        <v>62</v>
      </c>
      <c r="N340" t="s">
        <v>1088</v>
      </c>
      <c r="P340">
        <f t="shared" si="10"/>
        <v>1</v>
      </c>
      <c r="Q340" t="str">
        <f>IF(AND(P340&gt;1,COUNTIF($E$6:E340,E340)=1),MAX($Q$5:Q339)+1,"")</f>
        <v/>
      </c>
      <c r="R340" t="str">
        <f t="shared" si="11"/>
        <v/>
      </c>
    </row>
    <row r="341" spans="1:18" ht="22.95" customHeight="1">
      <c r="A341" t="s">
        <v>942</v>
      </c>
      <c r="B341" t="s">
        <v>29</v>
      </c>
      <c r="C341" t="s">
        <v>1084</v>
      </c>
      <c r="D341" t="s">
        <v>1085</v>
      </c>
      <c r="E341" t="s">
        <v>1089</v>
      </c>
      <c r="F341">
        <v>1</v>
      </c>
      <c r="G341" t="s">
        <v>1066</v>
      </c>
      <c r="H341" t="s">
        <v>1067</v>
      </c>
      <c r="I341" t="s">
        <v>1090</v>
      </c>
      <c r="J341" t="s">
        <v>99</v>
      </c>
      <c r="K341" t="s">
        <v>109</v>
      </c>
      <c r="L341" t="s">
        <v>1091</v>
      </c>
      <c r="M341" t="s">
        <v>102</v>
      </c>
      <c r="P341">
        <f t="shared" si="10"/>
        <v>1</v>
      </c>
      <c r="Q341" t="str">
        <f>IF(AND(P341&gt;1,COUNTIF($E$6:E341,E341)=1),MAX($Q$5:Q340)+1,"")</f>
        <v/>
      </c>
      <c r="R341" t="str">
        <f t="shared" si="11"/>
        <v/>
      </c>
    </row>
    <row r="342" spans="1:18" ht="22.95" customHeight="1">
      <c r="A342" t="s">
        <v>942</v>
      </c>
      <c r="B342" t="s">
        <v>29</v>
      </c>
      <c r="C342" t="s">
        <v>1084</v>
      </c>
      <c r="D342" t="s">
        <v>1085</v>
      </c>
      <c r="E342" t="s">
        <v>1092</v>
      </c>
      <c r="F342">
        <v>1</v>
      </c>
      <c r="G342" t="s">
        <v>1066</v>
      </c>
      <c r="H342" t="s">
        <v>1067</v>
      </c>
      <c r="I342" t="s">
        <v>1090</v>
      </c>
      <c r="J342" t="s">
        <v>99</v>
      </c>
      <c r="K342" t="s">
        <v>109</v>
      </c>
      <c r="L342" t="s">
        <v>1091</v>
      </c>
      <c r="M342" t="s">
        <v>102</v>
      </c>
      <c r="P342">
        <f t="shared" si="10"/>
        <v>1</v>
      </c>
      <c r="Q342" t="str">
        <f>IF(AND(P342&gt;1,COUNTIF($E$6:E342,E342)=1),MAX($Q$5:Q341)+1,"")</f>
        <v/>
      </c>
      <c r="R342" t="str">
        <f t="shared" si="11"/>
        <v/>
      </c>
    </row>
    <row r="343" spans="1:18" ht="22.95" customHeight="1">
      <c r="A343" t="s">
        <v>942</v>
      </c>
      <c r="B343" t="s">
        <v>29</v>
      </c>
      <c r="C343" t="s">
        <v>1084</v>
      </c>
      <c r="D343" t="s">
        <v>1085</v>
      </c>
      <c r="E343" t="s">
        <v>1093</v>
      </c>
      <c r="F343">
        <v>1</v>
      </c>
      <c r="G343" t="s">
        <v>92</v>
      </c>
      <c r="I343" t="s">
        <v>1094</v>
      </c>
      <c r="L343" t="s">
        <v>1095</v>
      </c>
      <c r="M343" t="s">
        <v>62</v>
      </c>
      <c r="N343" t="s">
        <v>63</v>
      </c>
      <c r="P343">
        <f t="shared" si="10"/>
        <v>1</v>
      </c>
      <c r="Q343" t="str">
        <f>IF(AND(P343&gt;1,COUNTIF($E$6:E343,E343)=1),MAX($Q$5:Q342)+1,"")</f>
        <v/>
      </c>
      <c r="R343" t="str">
        <f t="shared" si="11"/>
        <v/>
      </c>
    </row>
    <row r="344" spans="1:18" ht="22.95" customHeight="1">
      <c r="A344" t="s">
        <v>942</v>
      </c>
      <c r="B344" t="s">
        <v>21</v>
      </c>
      <c r="C344" t="s">
        <v>207</v>
      </c>
      <c r="D344" t="s">
        <v>258</v>
      </c>
      <c r="E344" t="s">
        <v>1096</v>
      </c>
      <c r="F344">
        <v>1</v>
      </c>
      <c r="G344" t="s">
        <v>139</v>
      </c>
      <c r="I344" t="s">
        <v>1097</v>
      </c>
      <c r="K344" t="s">
        <v>1098</v>
      </c>
      <c r="L344" t="s">
        <v>1099</v>
      </c>
      <c r="M344" t="s">
        <v>73</v>
      </c>
      <c r="P344">
        <f t="shared" si="10"/>
        <v>1</v>
      </c>
      <c r="Q344" t="str">
        <f>IF(AND(P344&gt;1,COUNTIF($E$6:E344,E344)=1),MAX($Q$5:Q343)+1,"")</f>
        <v/>
      </c>
      <c r="R344" t="str">
        <f t="shared" si="11"/>
        <v/>
      </c>
    </row>
    <row r="345" spans="1:18" ht="22.95" customHeight="1">
      <c r="A345" t="s">
        <v>942</v>
      </c>
      <c r="B345" t="s">
        <v>21</v>
      </c>
      <c r="C345" t="s">
        <v>215</v>
      </c>
      <c r="D345" t="s">
        <v>216</v>
      </c>
      <c r="E345" t="s">
        <v>1100</v>
      </c>
      <c r="F345">
        <v>1</v>
      </c>
      <c r="G345" t="s">
        <v>139</v>
      </c>
      <c r="I345" t="s">
        <v>1101</v>
      </c>
      <c r="L345" t="s">
        <v>1102</v>
      </c>
      <c r="M345" t="s">
        <v>62</v>
      </c>
      <c r="N345" t="s">
        <v>161</v>
      </c>
      <c r="P345">
        <f t="shared" si="10"/>
        <v>1</v>
      </c>
      <c r="Q345" t="str">
        <f>IF(AND(P345&gt;1,COUNTIF($E$6:E345,E345)=1),MAX($Q$5:Q344)+1,"")</f>
        <v/>
      </c>
      <c r="R345" t="str">
        <f t="shared" si="11"/>
        <v/>
      </c>
    </row>
    <row r="346" spans="1:18" ht="22.95" customHeight="1">
      <c r="A346" t="s">
        <v>942</v>
      </c>
      <c r="B346" t="s">
        <v>21</v>
      </c>
      <c r="C346" t="s">
        <v>215</v>
      </c>
      <c r="D346" t="s">
        <v>216</v>
      </c>
      <c r="E346" t="s">
        <v>1103</v>
      </c>
      <c r="F346">
        <v>1</v>
      </c>
      <c r="G346" t="s">
        <v>139</v>
      </c>
      <c r="I346" t="s">
        <v>1101</v>
      </c>
      <c r="L346" t="s">
        <v>1102</v>
      </c>
      <c r="M346" t="s">
        <v>62</v>
      </c>
      <c r="N346" t="s">
        <v>161</v>
      </c>
      <c r="P346">
        <f t="shared" si="10"/>
        <v>1</v>
      </c>
      <c r="Q346" t="str">
        <f>IF(AND(P346&gt;1,COUNTIF($E$6:E346,E346)=1),MAX($Q$5:Q345)+1,"")</f>
        <v/>
      </c>
      <c r="R346" t="str">
        <f t="shared" si="11"/>
        <v/>
      </c>
    </row>
    <row r="347" spans="1:18" ht="22.95" customHeight="1">
      <c r="A347" t="s">
        <v>942</v>
      </c>
      <c r="B347" t="s">
        <v>21</v>
      </c>
      <c r="C347" t="s">
        <v>215</v>
      </c>
      <c r="D347" t="s">
        <v>216</v>
      </c>
      <c r="E347" t="s">
        <v>1104</v>
      </c>
      <c r="F347">
        <v>1</v>
      </c>
      <c r="G347" t="s">
        <v>1105</v>
      </c>
      <c r="H347" t="s">
        <v>211</v>
      </c>
      <c r="I347" t="s">
        <v>1106</v>
      </c>
      <c r="L347" t="s">
        <v>1107</v>
      </c>
      <c r="M347" t="s">
        <v>62</v>
      </c>
      <c r="N347" t="s">
        <v>130</v>
      </c>
      <c r="P347">
        <f t="shared" si="10"/>
        <v>1</v>
      </c>
      <c r="Q347" t="str">
        <f>IF(AND(P347&gt;1,COUNTIF($E$6:E347,E347)=1),MAX($Q$5:Q346)+1,"")</f>
        <v/>
      </c>
      <c r="R347" t="str">
        <f t="shared" si="11"/>
        <v/>
      </c>
    </row>
    <row r="348" spans="1:18" ht="22.95" customHeight="1">
      <c r="A348" t="s">
        <v>942</v>
      </c>
      <c r="B348" t="s">
        <v>21</v>
      </c>
      <c r="C348" t="s">
        <v>228</v>
      </c>
      <c r="D348" t="s">
        <v>229</v>
      </c>
      <c r="E348" t="s">
        <v>1108</v>
      </c>
      <c r="F348">
        <v>1</v>
      </c>
      <c r="G348" t="s">
        <v>1109</v>
      </c>
      <c r="H348" t="s">
        <v>1110</v>
      </c>
      <c r="I348" t="s">
        <v>1111</v>
      </c>
      <c r="L348" t="s">
        <v>1112</v>
      </c>
      <c r="M348" t="s">
        <v>73</v>
      </c>
      <c r="P348">
        <f t="shared" si="10"/>
        <v>1</v>
      </c>
      <c r="Q348" t="str">
        <f>IF(AND(P348&gt;1,COUNTIF($E$6:E348,E348)=1),MAX($Q$5:Q347)+1,"")</f>
        <v/>
      </c>
      <c r="R348" t="str">
        <f t="shared" si="11"/>
        <v/>
      </c>
    </row>
    <row r="349" spans="1:18" ht="22.95" customHeight="1">
      <c r="A349" t="s">
        <v>942</v>
      </c>
      <c r="B349" t="s">
        <v>21</v>
      </c>
      <c r="C349" t="s">
        <v>228</v>
      </c>
      <c r="D349" t="s">
        <v>229</v>
      </c>
      <c r="E349" t="s">
        <v>1113</v>
      </c>
      <c r="F349">
        <v>1</v>
      </c>
      <c r="G349" t="s">
        <v>659</v>
      </c>
      <c r="H349" t="s">
        <v>533</v>
      </c>
      <c r="I349" t="s">
        <v>1114</v>
      </c>
      <c r="L349" t="s">
        <v>1115</v>
      </c>
      <c r="M349" t="s">
        <v>73</v>
      </c>
      <c r="P349">
        <f t="shared" si="10"/>
        <v>1</v>
      </c>
      <c r="Q349" t="str">
        <f>IF(AND(P349&gt;1,COUNTIF($E$6:E349,E349)=1),MAX($Q$5:Q348)+1,"")</f>
        <v/>
      </c>
      <c r="R349" t="str">
        <f t="shared" si="11"/>
        <v/>
      </c>
    </row>
    <row r="350" spans="1:18" ht="22.95" customHeight="1">
      <c r="A350" t="s">
        <v>942</v>
      </c>
      <c r="B350" t="s">
        <v>21</v>
      </c>
      <c r="C350" t="s">
        <v>228</v>
      </c>
      <c r="D350" t="s">
        <v>229</v>
      </c>
      <c r="E350" t="s">
        <v>1116</v>
      </c>
      <c r="F350">
        <v>1</v>
      </c>
      <c r="G350" t="s">
        <v>1117</v>
      </c>
      <c r="H350" t="s">
        <v>1118</v>
      </c>
      <c r="I350" t="s">
        <v>1119</v>
      </c>
      <c r="K350" t="s">
        <v>109</v>
      </c>
      <c r="L350" t="s">
        <v>1120</v>
      </c>
      <c r="M350" t="s">
        <v>62</v>
      </c>
      <c r="N350" t="s">
        <v>63</v>
      </c>
      <c r="P350">
        <f t="shared" si="10"/>
        <v>1</v>
      </c>
      <c r="Q350" t="str">
        <f>IF(AND(P350&gt;1,COUNTIF($E$6:E350,E350)=1),MAX($Q$5:Q349)+1,"")</f>
        <v/>
      </c>
      <c r="R350" t="str">
        <f t="shared" si="11"/>
        <v/>
      </c>
    </row>
    <row r="351" spans="1:18" ht="22.95" customHeight="1">
      <c r="A351" t="s">
        <v>942</v>
      </c>
      <c r="B351" t="s">
        <v>21</v>
      </c>
      <c r="C351" t="s">
        <v>228</v>
      </c>
      <c r="D351" t="s">
        <v>229</v>
      </c>
      <c r="E351" t="s">
        <v>1121</v>
      </c>
      <c r="F351">
        <v>1</v>
      </c>
      <c r="G351" t="s">
        <v>1122</v>
      </c>
      <c r="H351" t="s">
        <v>1118</v>
      </c>
      <c r="I351" t="s">
        <v>1123</v>
      </c>
      <c r="K351" t="s">
        <v>109</v>
      </c>
      <c r="L351" t="s">
        <v>1124</v>
      </c>
      <c r="M351" t="s">
        <v>62</v>
      </c>
      <c r="N351" t="s">
        <v>130</v>
      </c>
      <c r="P351">
        <f t="shared" si="10"/>
        <v>1</v>
      </c>
      <c r="Q351" t="str">
        <f>IF(AND(P351&gt;1,COUNTIF($E$6:E351,E351)=1),MAX($Q$5:Q350)+1,"")</f>
        <v/>
      </c>
      <c r="R351" t="str">
        <f t="shared" si="11"/>
        <v/>
      </c>
    </row>
    <row r="352" spans="1:18" ht="22.95" customHeight="1">
      <c r="A352" t="s">
        <v>942</v>
      </c>
      <c r="B352" t="s">
        <v>21</v>
      </c>
      <c r="C352" t="s">
        <v>228</v>
      </c>
      <c r="D352" t="s">
        <v>229</v>
      </c>
      <c r="E352" t="s">
        <v>1125</v>
      </c>
      <c r="F352">
        <v>1</v>
      </c>
      <c r="G352" t="s">
        <v>1126</v>
      </c>
      <c r="H352" t="s">
        <v>1127</v>
      </c>
      <c r="I352" t="s">
        <v>1128</v>
      </c>
      <c r="L352" t="s">
        <v>1129</v>
      </c>
      <c r="M352" t="s">
        <v>62</v>
      </c>
      <c r="N352" t="s">
        <v>130</v>
      </c>
      <c r="P352">
        <f t="shared" si="10"/>
        <v>1</v>
      </c>
      <c r="Q352" t="str">
        <f>IF(AND(P352&gt;1,COUNTIF($E$6:E352,E352)=1),MAX($Q$5:Q351)+1,"")</f>
        <v/>
      </c>
      <c r="R352" t="str">
        <f t="shared" si="11"/>
        <v/>
      </c>
    </row>
    <row r="353" spans="1:18" ht="22.95" customHeight="1">
      <c r="A353" t="s">
        <v>942</v>
      </c>
      <c r="B353" t="s">
        <v>21</v>
      </c>
      <c r="C353" t="s">
        <v>228</v>
      </c>
      <c r="D353" t="s">
        <v>229</v>
      </c>
      <c r="E353" t="s">
        <v>1130</v>
      </c>
      <c r="F353">
        <v>1</v>
      </c>
      <c r="G353" t="s">
        <v>1122</v>
      </c>
      <c r="H353" t="s">
        <v>1118</v>
      </c>
      <c r="I353" t="s">
        <v>1131</v>
      </c>
      <c r="L353" t="s">
        <v>1132</v>
      </c>
      <c r="M353" t="s">
        <v>62</v>
      </c>
      <c r="N353" t="s">
        <v>187</v>
      </c>
      <c r="P353">
        <f t="shared" si="10"/>
        <v>1</v>
      </c>
      <c r="Q353" t="str">
        <f>IF(AND(P353&gt;1,COUNTIF($E$6:E353,E353)=1),MAX($Q$5:Q352)+1,"")</f>
        <v/>
      </c>
      <c r="R353" t="str">
        <f t="shared" si="11"/>
        <v/>
      </c>
    </row>
    <row r="354" spans="1:18" ht="22.95" customHeight="1">
      <c r="A354" t="s">
        <v>942</v>
      </c>
      <c r="B354" t="s">
        <v>21</v>
      </c>
      <c r="C354" t="s">
        <v>1133</v>
      </c>
      <c r="D354" t="s">
        <v>437</v>
      </c>
      <c r="E354" t="s">
        <v>1134</v>
      </c>
      <c r="F354">
        <v>1</v>
      </c>
      <c r="G354" t="s">
        <v>1135</v>
      </c>
      <c r="H354" t="s">
        <v>1136</v>
      </c>
      <c r="I354" t="s">
        <v>1137</v>
      </c>
      <c r="K354" t="s">
        <v>78</v>
      </c>
      <c r="L354" t="s">
        <v>1138</v>
      </c>
      <c r="M354" t="s">
        <v>73</v>
      </c>
      <c r="P354">
        <f t="shared" si="10"/>
        <v>1</v>
      </c>
      <c r="Q354" t="str">
        <f>IF(AND(P354&gt;1,COUNTIF($E$6:E354,E354)=1),MAX($Q$5:Q353)+1,"")</f>
        <v/>
      </c>
      <c r="R354" t="str">
        <f t="shared" si="11"/>
        <v/>
      </c>
    </row>
    <row r="355" spans="1:18" ht="22.95" customHeight="1">
      <c r="A355" t="s">
        <v>942</v>
      </c>
      <c r="B355" t="s">
        <v>21</v>
      </c>
      <c r="C355" t="s">
        <v>1133</v>
      </c>
      <c r="D355" t="s">
        <v>437</v>
      </c>
      <c r="E355" t="s">
        <v>1139</v>
      </c>
      <c r="F355">
        <v>1</v>
      </c>
      <c r="I355" t="s">
        <v>1140</v>
      </c>
      <c r="K355" t="s">
        <v>1141</v>
      </c>
      <c r="L355" t="s">
        <v>1142</v>
      </c>
      <c r="M355" t="s">
        <v>62</v>
      </c>
      <c r="N355" t="s">
        <v>957</v>
      </c>
      <c r="P355">
        <f t="shared" si="10"/>
        <v>1</v>
      </c>
      <c r="Q355" t="str">
        <f>IF(AND(P355&gt;1,COUNTIF($E$6:E355,E355)=1),MAX($Q$5:Q354)+1,"")</f>
        <v/>
      </c>
      <c r="R355" t="str">
        <f t="shared" si="11"/>
        <v/>
      </c>
    </row>
    <row r="356" spans="1:18" ht="22.95" customHeight="1">
      <c r="A356" t="s">
        <v>942</v>
      </c>
      <c r="B356" t="s">
        <v>21</v>
      </c>
      <c r="C356" t="s">
        <v>1133</v>
      </c>
      <c r="D356" t="s">
        <v>437</v>
      </c>
      <c r="E356" t="s">
        <v>1143</v>
      </c>
      <c r="F356">
        <v>1</v>
      </c>
      <c r="I356" t="s">
        <v>141</v>
      </c>
      <c r="J356" t="s">
        <v>99</v>
      </c>
      <c r="L356" t="s">
        <v>1060</v>
      </c>
      <c r="M356" t="s">
        <v>102</v>
      </c>
      <c r="P356">
        <f t="shared" si="10"/>
        <v>1</v>
      </c>
      <c r="Q356" t="str">
        <f>IF(AND(P356&gt;1,COUNTIF($E$6:E356,E356)=1),MAX($Q$5:Q355)+1,"")</f>
        <v/>
      </c>
      <c r="R356" t="str">
        <f t="shared" si="11"/>
        <v/>
      </c>
    </row>
    <row r="357" spans="1:18" ht="22.95" customHeight="1">
      <c r="A357" t="s">
        <v>942</v>
      </c>
      <c r="B357" t="s">
        <v>21</v>
      </c>
      <c r="C357" t="s">
        <v>1133</v>
      </c>
      <c r="D357" t="s">
        <v>437</v>
      </c>
      <c r="E357" t="s">
        <v>1144</v>
      </c>
      <c r="F357">
        <v>1</v>
      </c>
      <c r="I357" t="s">
        <v>141</v>
      </c>
      <c r="J357" t="s">
        <v>99</v>
      </c>
      <c r="L357" t="s">
        <v>1060</v>
      </c>
      <c r="M357" t="s">
        <v>102</v>
      </c>
      <c r="P357">
        <f t="shared" si="10"/>
        <v>1</v>
      </c>
      <c r="Q357" t="str">
        <f>IF(AND(P357&gt;1,COUNTIF($E$6:E357,E357)=1),MAX($Q$5:Q356)+1,"")</f>
        <v/>
      </c>
      <c r="R357" t="str">
        <f t="shared" si="11"/>
        <v/>
      </c>
    </row>
    <row r="358" spans="1:18" ht="22.95" customHeight="1">
      <c r="A358" t="s">
        <v>1145</v>
      </c>
      <c r="B358" t="s">
        <v>22</v>
      </c>
      <c r="C358" t="s">
        <v>779</v>
      </c>
      <c r="D358" t="s">
        <v>780</v>
      </c>
      <c r="E358" t="s">
        <v>1146</v>
      </c>
      <c r="F358">
        <v>1</v>
      </c>
      <c r="G358" t="s">
        <v>92</v>
      </c>
      <c r="I358" t="s">
        <v>1147</v>
      </c>
      <c r="L358" t="s">
        <v>1148</v>
      </c>
      <c r="M358" t="s">
        <v>102</v>
      </c>
      <c r="P358">
        <f t="shared" si="10"/>
        <v>1</v>
      </c>
      <c r="Q358" t="str">
        <f>IF(AND(P358&gt;1,COUNTIF($E$6:E358,E358)=1),MAX($Q$5:Q357)+1,"")</f>
        <v/>
      </c>
      <c r="R358" t="str">
        <f t="shared" si="11"/>
        <v/>
      </c>
    </row>
    <row r="359" spans="1:18" ht="22.95" customHeight="1">
      <c r="A359" t="s">
        <v>1145</v>
      </c>
      <c r="B359" t="s">
        <v>22</v>
      </c>
      <c r="C359" t="s">
        <v>1149</v>
      </c>
      <c r="D359" t="s">
        <v>1150</v>
      </c>
      <c r="E359" t="s">
        <v>1151</v>
      </c>
      <c r="F359">
        <v>1</v>
      </c>
      <c r="G359" t="s">
        <v>149</v>
      </c>
      <c r="H359" t="s">
        <v>1152</v>
      </c>
      <c r="I359" t="s">
        <v>112</v>
      </c>
      <c r="K359" t="s">
        <v>109</v>
      </c>
      <c r="L359" t="s">
        <v>1153</v>
      </c>
      <c r="M359" t="s">
        <v>62</v>
      </c>
      <c r="N359" t="s">
        <v>811</v>
      </c>
      <c r="P359">
        <f t="shared" si="10"/>
        <v>1</v>
      </c>
      <c r="Q359" t="str">
        <f>IF(AND(P359&gt;1,COUNTIF($E$6:E359,E359)=1),MAX($Q$5:Q358)+1,"")</f>
        <v/>
      </c>
      <c r="R359" t="str">
        <f t="shared" si="11"/>
        <v/>
      </c>
    </row>
    <row r="360" spans="1:18" ht="22.95" customHeight="1">
      <c r="A360" t="s">
        <v>1145</v>
      </c>
      <c r="B360" t="s">
        <v>22</v>
      </c>
      <c r="C360" t="s">
        <v>1154</v>
      </c>
      <c r="D360" t="s">
        <v>1155</v>
      </c>
      <c r="E360" t="s">
        <v>1156</v>
      </c>
      <c r="F360">
        <v>1</v>
      </c>
      <c r="G360" t="s">
        <v>508</v>
      </c>
      <c r="H360" t="s">
        <v>1157</v>
      </c>
      <c r="I360" t="s">
        <v>1158</v>
      </c>
      <c r="L360" t="s">
        <v>1159</v>
      </c>
      <c r="M360" t="s">
        <v>73</v>
      </c>
      <c r="P360">
        <f t="shared" si="10"/>
        <v>1</v>
      </c>
      <c r="Q360" t="str">
        <f>IF(AND(P360&gt;1,COUNTIF($E$6:E360,E360)=1),MAX($Q$5:Q359)+1,"")</f>
        <v/>
      </c>
      <c r="R360" t="str">
        <f t="shared" si="11"/>
        <v/>
      </c>
    </row>
    <row r="361" spans="1:18" ht="22.95" customHeight="1">
      <c r="A361" t="s">
        <v>1145</v>
      </c>
      <c r="B361" t="s">
        <v>22</v>
      </c>
      <c r="C361" t="s">
        <v>370</v>
      </c>
      <c r="D361" t="s">
        <v>371</v>
      </c>
      <c r="E361" t="s">
        <v>1160</v>
      </c>
      <c r="F361">
        <v>1</v>
      </c>
      <c r="G361" t="s">
        <v>1161</v>
      </c>
      <c r="H361" t="s">
        <v>1162</v>
      </c>
      <c r="I361" t="s">
        <v>119</v>
      </c>
      <c r="K361" t="s">
        <v>109</v>
      </c>
      <c r="L361" t="s">
        <v>1163</v>
      </c>
      <c r="M361" t="s">
        <v>62</v>
      </c>
      <c r="N361" t="s">
        <v>130</v>
      </c>
      <c r="P361">
        <f t="shared" si="10"/>
        <v>1</v>
      </c>
      <c r="Q361" t="str">
        <f>IF(AND(P361&gt;1,COUNTIF($E$6:E361,E361)=1),MAX($Q$5:Q360)+1,"")</f>
        <v/>
      </c>
      <c r="R361" t="str">
        <f t="shared" si="11"/>
        <v/>
      </c>
    </row>
    <row r="362" spans="1:18" ht="22.95" customHeight="1">
      <c r="A362" t="s">
        <v>1145</v>
      </c>
      <c r="B362" t="s">
        <v>25</v>
      </c>
      <c r="C362" t="s">
        <v>115</v>
      </c>
      <c r="D362" t="s">
        <v>116</v>
      </c>
      <c r="E362" t="s">
        <v>1164</v>
      </c>
      <c r="F362">
        <v>1</v>
      </c>
      <c r="G362" t="s">
        <v>92</v>
      </c>
      <c r="J362" t="s">
        <v>99</v>
      </c>
      <c r="L362" t="s">
        <v>1165</v>
      </c>
      <c r="M362" t="s">
        <v>102</v>
      </c>
      <c r="P362">
        <f t="shared" si="10"/>
        <v>1</v>
      </c>
      <c r="Q362" t="str">
        <f>IF(AND(P362&gt;1,COUNTIF($E$6:E362,E362)=1),MAX($Q$5:Q361)+1,"")</f>
        <v/>
      </c>
      <c r="R362" t="str">
        <f t="shared" si="11"/>
        <v/>
      </c>
    </row>
    <row r="363" spans="1:18" ht="22.95" customHeight="1">
      <c r="A363" t="s">
        <v>1145</v>
      </c>
      <c r="B363" t="s">
        <v>25</v>
      </c>
      <c r="C363" t="s">
        <v>115</v>
      </c>
      <c r="D363" t="s">
        <v>116</v>
      </c>
      <c r="E363" t="s">
        <v>1166</v>
      </c>
      <c r="F363">
        <v>1</v>
      </c>
      <c r="G363" t="s">
        <v>92</v>
      </c>
      <c r="J363" t="s">
        <v>99</v>
      </c>
      <c r="L363" t="s">
        <v>1165</v>
      </c>
      <c r="M363" t="s">
        <v>102</v>
      </c>
      <c r="P363">
        <f t="shared" si="10"/>
        <v>1</v>
      </c>
      <c r="Q363" t="str">
        <f>IF(AND(P363&gt;1,COUNTIF($E$6:E363,E363)=1),MAX($Q$5:Q362)+1,"")</f>
        <v/>
      </c>
      <c r="R363" t="str">
        <f t="shared" si="11"/>
        <v/>
      </c>
    </row>
    <row r="364" spans="1:18" ht="22.95" customHeight="1">
      <c r="A364" t="s">
        <v>1145</v>
      </c>
      <c r="B364" t="s">
        <v>25</v>
      </c>
      <c r="C364" t="s">
        <v>115</v>
      </c>
      <c r="D364" t="s">
        <v>116</v>
      </c>
      <c r="E364" t="s">
        <v>1167</v>
      </c>
      <c r="F364">
        <v>1</v>
      </c>
      <c r="G364" t="s">
        <v>92</v>
      </c>
      <c r="J364" t="s">
        <v>99</v>
      </c>
      <c r="L364" t="s">
        <v>1165</v>
      </c>
      <c r="M364" t="s">
        <v>102</v>
      </c>
      <c r="P364">
        <f t="shared" si="10"/>
        <v>1</v>
      </c>
      <c r="Q364" t="str">
        <f>IF(AND(P364&gt;1,COUNTIF($E$6:E364,E364)=1),MAX($Q$5:Q363)+1,"")</f>
        <v/>
      </c>
      <c r="R364" t="str">
        <f t="shared" si="11"/>
        <v/>
      </c>
    </row>
    <row r="365" spans="1:18" ht="22.95" customHeight="1">
      <c r="A365" t="s">
        <v>1145</v>
      </c>
      <c r="B365" t="s">
        <v>25</v>
      </c>
      <c r="C365" t="s">
        <v>115</v>
      </c>
      <c r="D365" t="s">
        <v>116</v>
      </c>
      <c r="E365" t="s">
        <v>1168</v>
      </c>
      <c r="F365">
        <v>1</v>
      </c>
      <c r="G365" t="s">
        <v>92</v>
      </c>
      <c r="J365" t="s">
        <v>99</v>
      </c>
      <c r="L365" t="s">
        <v>1165</v>
      </c>
      <c r="M365" t="s">
        <v>102</v>
      </c>
      <c r="P365">
        <f t="shared" si="10"/>
        <v>1</v>
      </c>
      <c r="Q365" t="str">
        <f>IF(AND(P365&gt;1,COUNTIF($E$6:E365,E365)=1),MAX($Q$5:Q364)+1,"")</f>
        <v/>
      </c>
      <c r="R365" t="str">
        <f t="shared" si="11"/>
        <v/>
      </c>
    </row>
    <row r="366" spans="1:18" ht="22.95" customHeight="1">
      <c r="A366" t="s">
        <v>1145</v>
      </c>
      <c r="B366" t="s">
        <v>25</v>
      </c>
      <c r="C366" t="s">
        <v>115</v>
      </c>
      <c r="D366" t="s">
        <v>116</v>
      </c>
      <c r="E366" t="s">
        <v>1169</v>
      </c>
      <c r="F366">
        <v>1</v>
      </c>
      <c r="G366" t="s">
        <v>92</v>
      </c>
      <c r="J366" t="s">
        <v>99</v>
      </c>
      <c r="L366" t="s">
        <v>1165</v>
      </c>
      <c r="M366" t="s">
        <v>102</v>
      </c>
      <c r="P366">
        <f t="shared" si="10"/>
        <v>1</v>
      </c>
      <c r="Q366" t="str">
        <f>IF(AND(P366&gt;1,COUNTIF($E$6:E366,E366)=1),MAX($Q$5:Q365)+1,"")</f>
        <v/>
      </c>
      <c r="R366" t="str">
        <f t="shared" si="11"/>
        <v/>
      </c>
    </row>
    <row r="367" spans="1:18" ht="22.95" customHeight="1">
      <c r="A367" t="s">
        <v>1145</v>
      </c>
      <c r="B367" t="s">
        <v>25</v>
      </c>
      <c r="C367" t="s">
        <v>115</v>
      </c>
      <c r="D367" t="s">
        <v>116</v>
      </c>
      <c r="E367" t="s">
        <v>1170</v>
      </c>
      <c r="F367">
        <v>1</v>
      </c>
      <c r="G367" t="s">
        <v>92</v>
      </c>
      <c r="J367" t="s">
        <v>99</v>
      </c>
      <c r="L367" t="s">
        <v>1165</v>
      </c>
      <c r="M367" t="s">
        <v>102</v>
      </c>
      <c r="P367">
        <f t="shared" si="10"/>
        <v>1</v>
      </c>
      <c r="Q367" t="str">
        <f>IF(AND(P367&gt;1,COUNTIF($E$6:E367,E367)=1),MAX($Q$5:Q366)+1,"")</f>
        <v/>
      </c>
      <c r="R367" t="str">
        <f t="shared" si="11"/>
        <v/>
      </c>
    </row>
    <row r="368" spans="1:18" ht="22.95" customHeight="1">
      <c r="A368" t="s">
        <v>1145</v>
      </c>
      <c r="B368" t="s">
        <v>25</v>
      </c>
      <c r="C368" t="s">
        <v>115</v>
      </c>
      <c r="D368" t="s">
        <v>116</v>
      </c>
      <c r="E368" t="s">
        <v>1171</v>
      </c>
      <c r="F368">
        <v>1</v>
      </c>
      <c r="G368" t="s">
        <v>92</v>
      </c>
      <c r="J368" t="s">
        <v>99</v>
      </c>
      <c r="L368" t="s">
        <v>1165</v>
      </c>
      <c r="M368" t="s">
        <v>102</v>
      </c>
      <c r="P368">
        <f t="shared" si="10"/>
        <v>1</v>
      </c>
      <c r="Q368" t="str">
        <f>IF(AND(P368&gt;1,COUNTIF($E$6:E368,E368)=1),MAX($Q$5:Q367)+1,"")</f>
        <v/>
      </c>
      <c r="R368" t="str">
        <f t="shared" si="11"/>
        <v/>
      </c>
    </row>
    <row r="369" spans="1:18" ht="22.95" customHeight="1">
      <c r="A369" t="s">
        <v>1145</v>
      </c>
      <c r="B369" t="s">
        <v>25</v>
      </c>
      <c r="C369" t="s">
        <v>115</v>
      </c>
      <c r="D369" t="s">
        <v>116</v>
      </c>
      <c r="E369" t="s">
        <v>1172</v>
      </c>
      <c r="F369">
        <v>1</v>
      </c>
      <c r="G369" t="s">
        <v>92</v>
      </c>
      <c r="J369" t="s">
        <v>99</v>
      </c>
      <c r="L369" t="s">
        <v>1165</v>
      </c>
      <c r="M369" t="s">
        <v>102</v>
      </c>
      <c r="P369">
        <f t="shared" si="10"/>
        <v>1</v>
      </c>
      <c r="Q369" t="str">
        <f>IF(AND(P369&gt;1,COUNTIF($E$6:E369,E369)=1),MAX($Q$5:Q368)+1,"")</f>
        <v/>
      </c>
      <c r="R369" t="str">
        <f t="shared" si="11"/>
        <v/>
      </c>
    </row>
    <row r="370" spans="1:18" ht="22.95" customHeight="1">
      <c r="A370" t="s">
        <v>1145</v>
      </c>
      <c r="B370" t="s">
        <v>25</v>
      </c>
      <c r="C370" t="s">
        <v>115</v>
      </c>
      <c r="D370" t="s">
        <v>116</v>
      </c>
      <c r="E370" t="s">
        <v>1173</v>
      </c>
      <c r="F370">
        <v>1</v>
      </c>
      <c r="G370" t="s">
        <v>92</v>
      </c>
      <c r="J370" t="s">
        <v>99</v>
      </c>
      <c r="L370" t="s">
        <v>1165</v>
      </c>
      <c r="M370" t="s">
        <v>102</v>
      </c>
      <c r="P370">
        <f t="shared" si="10"/>
        <v>1</v>
      </c>
      <c r="Q370" t="str">
        <f>IF(AND(P370&gt;1,COUNTIF($E$6:E370,E370)=1),MAX($Q$5:Q369)+1,"")</f>
        <v/>
      </c>
      <c r="R370" t="str">
        <f t="shared" si="11"/>
        <v/>
      </c>
    </row>
    <row r="371" spans="1:18" ht="22.95" customHeight="1">
      <c r="A371" t="s">
        <v>1145</v>
      </c>
      <c r="B371" t="s">
        <v>24</v>
      </c>
      <c r="C371" t="s">
        <v>619</v>
      </c>
      <c r="D371" t="s">
        <v>116</v>
      </c>
      <c r="E371" t="s">
        <v>1174</v>
      </c>
      <c r="F371">
        <v>1</v>
      </c>
      <c r="G371" t="s">
        <v>139</v>
      </c>
      <c r="I371" t="s">
        <v>1175</v>
      </c>
      <c r="L371" t="s">
        <v>1176</v>
      </c>
      <c r="M371" t="s">
        <v>62</v>
      </c>
      <c r="N371" t="s">
        <v>520</v>
      </c>
      <c r="P371">
        <f t="shared" si="10"/>
        <v>1</v>
      </c>
      <c r="Q371" t="str">
        <f>IF(AND(P371&gt;1,COUNTIF($E$6:E371,E371)=1),MAX($Q$5:Q370)+1,"")</f>
        <v/>
      </c>
      <c r="R371" t="str">
        <f t="shared" si="11"/>
        <v/>
      </c>
    </row>
    <row r="372" spans="1:18" ht="22.95" customHeight="1">
      <c r="A372" t="s">
        <v>1145</v>
      </c>
      <c r="B372" t="s">
        <v>24</v>
      </c>
      <c r="C372" t="s">
        <v>619</v>
      </c>
      <c r="D372" t="s">
        <v>116</v>
      </c>
      <c r="E372" t="s">
        <v>1177</v>
      </c>
      <c r="F372">
        <v>1</v>
      </c>
      <c r="G372" t="s">
        <v>92</v>
      </c>
      <c r="L372" t="s">
        <v>1178</v>
      </c>
      <c r="M372" t="s">
        <v>102</v>
      </c>
      <c r="P372">
        <f t="shared" si="10"/>
        <v>1</v>
      </c>
      <c r="Q372" t="str">
        <f>IF(AND(P372&gt;1,COUNTIF($E$6:E372,E372)=1),MAX($Q$5:Q371)+1,"")</f>
        <v/>
      </c>
      <c r="R372" t="str">
        <f t="shared" si="11"/>
        <v/>
      </c>
    </row>
    <row r="373" spans="1:18" ht="22.95" customHeight="1">
      <c r="A373" t="s">
        <v>1145</v>
      </c>
      <c r="B373" t="s">
        <v>24</v>
      </c>
      <c r="C373" t="s">
        <v>431</v>
      </c>
      <c r="D373" t="s">
        <v>216</v>
      </c>
      <c r="E373" t="s">
        <v>1179</v>
      </c>
      <c r="F373">
        <v>1</v>
      </c>
      <c r="I373" t="s">
        <v>1180</v>
      </c>
      <c r="K373" t="s">
        <v>1181</v>
      </c>
      <c r="L373" t="s">
        <v>1182</v>
      </c>
      <c r="M373" t="s">
        <v>62</v>
      </c>
      <c r="N373" t="s">
        <v>719</v>
      </c>
      <c r="P373">
        <f t="shared" si="10"/>
        <v>1</v>
      </c>
      <c r="Q373" t="str">
        <f>IF(AND(P373&gt;1,COUNTIF($E$6:E373,E373)=1),MAX($Q$5:Q372)+1,"")</f>
        <v/>
      </c>
      <c r="R373" t="str">
        <f t="shared" si="11"/>
        <v/>
      </c>
    </row>
    <row r="374" spans="1:18" ht="22.95" customHeight="1">
      <c r="A374" t="s">
        <v>1145</v>
      </c>
      <c r="B374" t="s">
        <v>24</v>
      </c>
      <c r="C374" t="s">
        <v>431</v>
      </c>
      <c r="D374" t="s">
        <v>216</v>
      </c>
      <c r="E374" t="s">
        <v>1183</v>
      </c>
      <c r="F374">
        <v>1</v>
      </c>
      <c r="I374" t="s">
        <v>1180</v>
      </c>
      <c r="K374" t="s">
        <v>1181</v>
      </c>
      <c r="L374" t="s">
        <v>1184</v>
      </c>
      <c r="M374" t="s">
        <v>62</v>
      </c>
      <c r="N374" t="s">
        <v>719</v>
      </c>
      <c r="P374">
        <f t="shared" si="10"/>
        <v>1</v>
      </c>
      <c r="Q374" t="str">
        <f>IF(AND(P374&gt;1,COUNTIF($E$6:E374,E374)=1),MAX($Q$5:Q373)+1,"")</f>
        <v/>
      </c>
      <c r="R374" t="str">
        <f t="shared" si="11"/>
        <v/>
      </c>
    </row>
    <row r="375" spans="1:18" ht="22.95" customHeight="1">
      <c r="A375" t="s">
        <v>1145</v>
      </c>
      <c r="B375" t="s">
        <v>24</v>
      </c>
      <c r="C375" t="s">
        <v>431</v>
      </c>
      <c r="D375" t="s">
        <v>216</v>
      </c>
      <c r="E375" t="s">
        <v>1185</v>
      </c>
      <c r="F375">
        <v>1</v>
      </c>
      <c r="I375" t="s">
        <v>1186</v>
      </c>
      <c r="K375" t="s">
        <v>1187</v>
      </c>
      <c r="L375" t="s">
        <v>1188</v>
      </c>
      <c r="M375" t="s">
        <v>62</v>
      </c>
      <c r="N375" t="s">
        <v>719</v>
      </c>
      <c r="P375">
        <f t="shared" si="10"/>
        <v>1</v>
      </c>
      <c r="Q375" t="str">
        <f>IF(AND(P375&gt;1,COUNTIF($E$6:E375,E375)=1),MAX($Q$5:Q374)+1,"")</f>
        <v/>
      </c>
      <c r="R375" t="str">
        <f t="shared" si="11"/>
        <v/>
      </c>
    </row>
    <row r="376" spans="1:18" ht="22.95" customHeight="1">
      <c r="A376" t="s">
        <v>1145</v>
      </c>
      <c r="B376" t="s">
        <v>24</v>
      </c>
      <c r="C376" t="s">
        <v>431</v>
      </c>
      <c r="D376" t="s">
        <v>216</v>
      </c>
      <c r="E376" t="s">
        <v>1189</v>
      </c>
      <c r="F376">
        <v>1</v>
      </c>
      <c r="I376" t="s">
        <v>1186</v>
      </c>
      <c r="K376" t="s">
        <v>1187</v>
      </c>
      <c r="L376" t="s">
        <v>1190</v>
      </c>
      <c r="M376" t="s">
        <v>62</v>
      </c>
      <c r="N376" t="s">
        <v>719</v>
      </c>
      <c r="P376">
        <f t="shared" si="10"/>
        <v>1</v>
      </c>
      <c r="Q376" t="str">
        <f>IF(AND(P376&gt;1,COUNTIF($E$6:E376,E376)=1),MAX($Q$5:Q375)+1,"")</f>
        <v/>
      </c>
      <c r="R376" t="str">
        <f t="shared" si="11"/>
        <v/>
      </c>
    </row>
    <row r="377" spans="1:18" ht="22.95" customHeight="1">
      <c r="A377" t="s">
        <v>1145</v>
      </c>
      <c r="B377" t="s">
        <v>24</v>
      </c>
      <c r="C377" t="s">
        <v>431</v>
      </c>
      <c r="D377" t="s">
        <v>216</v>
      </c>
      <c r="E377" t="s">
        <v>1191</v>
      </c>
      <c r="F377">
        <v>1</v>
      </c>
      <c r="G377" t="s">
        <v>92</v>
      </c>
      <c r="I377" t="s">
        <v>1192</v>
      </c>
      <c r="K377" t="s">
        <v>109</v>
      </c>
      <c r="L377" t="s">
        <v>1193</v>
      </c>
      <c r="M377" t="s">
        <v>102</v>
      </c>
      <c r="P377">
        <f t="shared" si="10"/>
        <v>1</v>
      </c>
      <c r="Q377" t="str">
        <f>IF(AND(P377&gt;1,COUNTIF($E$6:E377,E377)=1),MAX($Q$5:Q376)+1,"")</f>
        <v/>
      </c>
      <c r="R377" t="str">
        <f t="shared" si="11"/>
        <v/>
      </c>
    </row>
    <row r="378" spans="1:18" ht="22.95" customHeight="1">
      <c r="A378" t="s">
        <v>1145</v>
      </c>
      <c r="B378" t="s">
        <v>24</v>
      </c>
      <c r="C378" t="s">
        <v>436</v>
      </c>
      <c r="D378" t="s">
        <v>437</v>
      </c>
      <c r="E378" t="s">
        <v>1194</v>
      </c>
      <c r="F378">
        <v>1</v>
      </c>
      <c r="G378" t="s">
        <v>139</v>
      </c>
      <c r="I378" t="s">
        <v>1195</v>
      </c>
      <c r="K378" t="s">
        <v>320</v>
      </c>
      <c r="L378" t="s">
        <v>1196</v>
      </c>
      <c r="M378" t="s">
        <v>62</v>
      </c>
      <c r="N378" t="s">
        <v>520</v>
      </c>
      <c r="P378">
        <f t="shared" si="10"/>
        <v>1</v>
      </c>
      <c r="Q378" t="str">
        <f>IF(AND(P378&gt;1,COUNTIF($E$6:E378,E378)=1),MAX($Q$5:Q377)+1,"")</f>
        <v/>
      </c>
      <c r="R378" t="str">
        <f t="shared" si="11"/>
        <v/>
      </c>
    </row>
    <row r="379" spans="1:18" ht="22.95" customHeight="1">
      <c r="A379" t="s">
        <v>1145</v>
      </c>
      <c r="B379" t="s">
        <v>24</v>
      </c>
      <c r="C379" t="s">
        <v>443</v>
      </c>
      <c r="D379" t="s">
        <v>444</v>
      </c>
      <c r="E379" t="s">
        <v>1197</v>
      </c>
      <c r="F379">
        <v>1</v>
      </c>
      <c r="G379" t="s">
        <v>139</v>
      </c>
      <c r="I379" t="s">
        <v>406</v>
      </c>
      <c r="K379" t="s">
        <v>406</v>
      </c>
      <c r="L379" t="s">
        <v>1198</v>
      </c>
      <c r="M379" t="s">
        <v>62</v>
      </c>
      <c r="N379" t="s">
        <v>520</v>
      </c>
      <c r="P379">
        <f t="shared" si="10"/>
        <v>1</v>
      </c>
      <c r="Q379" t="str">
        <f>IF(AND(P379&gt;1,COUNTIF($E$6:E379,E379)=1),MAX($Q$5:Q378)+1,"")</f>
        <v/>
      </c>
      <c r="R379" t="str">
        <f t="shared" si="11"/>
        <v/>
      </c>
    </row>
    <row r="380" spans="1:18" ht="22.95" customHeight="1">
      <c r="A380" t="s">
        <v>1145</v>
      </c>
      <c r="B380" t="s">
        <v>24</v>
      </c>
      <c r="C380" t="s">
        <v>443</v>
      </c>
      <c r="D380" t="s">
        <v>444</v>
      </c>
      <c r="E380" t="s">
        <v>1199</v>
      </c>
      <c r="F380">
        <v>1</v>
      </c>
      <c r="G380" t="s">
        <v>139</v>
      </c>
      <c r="I380" t="s">
        <v>406</v>
      </c>
      <c r="K380" t="s">
        <v>406</v>
      </c>
      <c r="L380" t="s">
        <v>1198</v>
      </c>
      <c r="M380" t="s">
        <v>62</v>
      </c>
      <c r="N380" t="s">
        <v>520</v>
      </c>
      <c r="P380">
        <f t="shared" si="10"/>
        <v>1</v>
      </c>
      <c r="Q380" t="str">
        <f>IF(AND(P380&gt;1,COUNTIF($E$6:E380,E380)=1),MAX($Q$5:Q379)+1,"")</f>
        <v/>
      </c>
      <c r="R380" t="str">
        <f t="shared" si="11"/>
        <v/>
      </c>
    </row>
    <row r="381" spans="1:18" ht="22.95" customHeight="1">
      <c r="A381" t="s">
        <v>1145</v>
      </c>
      <c r="B381" t="s">
        <v>24</v>
      </c>
      <c r="C381" t="s">
        <v>443</v>
      </c>
      <c r="D381" t="s">
        <v>444</v>
      </c>
      <c r="E381" t="s">
        <v>1200</v>
      </c>
      <c r="F381">
        <v>1</v>
      </c>
      <c r="G381" t="s">
        <v>139</v>
      </c>
      <c r="I381" t="s">
        <v>406</v>
      </c>
      <c r="K381" t="s">
        <v>406</v>
      </c>
      <c r="L381" t="s">
        <v>1201</v>
      </c>
      <c r="M381" t="s">
        <v>62</v>
      </c>
      <c r="N381" t="s">
        <v>520</v>
      </c>
      <c r="P381">
        <f t="shared" si="10"/>
        <v>1</v>
      </c>
      <c r="Q381" t="str">
        <f>IF(AND(P381&gt;1,COUNTIF($E$6:E381,E381)=1),MAX($Q$5:Q380)+1,"")</f>
        <v/>
      </c>
      <c r="R381" t="str">
        <f t="shared" si="11"/>
        <v/>
      </c>
    </row>
    <row r="382" spans="1:18" ht="22.95" customHeight="1">
      <c r="A382" t="s">
        <v>1145</v>
      </c>
      <c r="B382" t="s">
        <v>24</v>
      </c>
      <c r="C382" t="s">
        <v>443</v>
      </c>
      <c r="D382" t="s">
        <v>444</v>
      </c>
      <c r="E382" t="s">
        <v>1202</v>
      </c>
      <c r="F382">
        <v>1</v>
      </c>
      <c r="G382" t="s">
        <v>139</v>
      </c>
      <c r="I382" t="s">
        <v>406</v>
      </c>
      <c r="K382" t="s">
        <v>406</v>
      </c>
      <c r="L382" t="s">
        <v>1203</v>
      </c>
      <c r="M382" t="s">
        <v>62</v>
      </c>
      <c r="N382" t="s">
        <v>520</v>
      </c>
      <c r="P382">
        <f t="shared" si="10"/>
        <v>1</v>
      </c>
      <c r="Q382" t="str">
        <f>IF(AND(P382&gt;1,COUNTIF($E$6:E382,E382)=1),MAX($Q$5:Q381)+1,"")</f>
        <v/>
      </c>
      <c r="R382" t="str">
        <f t="shared" si="11"/>
        <v/>
      </c>
    </row>
    <row r="383" spans="1:18" ht="22.95" customHeight="1">
      <c r="A383" t="s">
        <v>1145</v>
      </c>
      <c r="B383" t="s">
        <v>28</v>
      </c>
      <c r="C383" t="s">
        <v>146</v>
      </c>
      <c r="D383" t="s">
        <v>147</v>
      </c>
      <c r="E383" t="s">
        <v>1204</v>
      </c>
      <c r="F383">
        <v>1</v>
      </c>
      <c r="G383" t="s">
        <v>1205</v>
      </c>
      <c r="H383" t="s">
        <v>1206</v>
      </c>
      <c r="I383" t="s">
        <v>1207</v>
      </c>
      <c r="K383" t="s">
        <v>78</v>
      </c>
      <c r="L383" t="s">
        <v>1208</v>
      </c>
      <c r="M383" t="s">
        <v>73</v>
      </c>
      <c r="P383">
        <f t="shared" si="10"/>
        <v>1</v>
      </c>
      <c r="Q383" t="str">
        <f>IF(AND(P383&gt;1,COUNTIF($E$6:E383,E383)=1),MAX($Q$5:Q382)+1,"")</f>
        <v/>
      </c>
      <c r="R383" t="str">
        <f t="shared" si="11"/>
        <v/>
      </c>
    </row>
    <row r="384" spans="1:18" ht="22.95" customHeight="1">
      <c r="A384" t="s">
        <v>1145</v>
      </c>
      <c r="B384" t="s">
        <v>28</v>
      </c>
      <c r="C384" t="s">
        <v>146</v>
      </c>
      <c r="D384" t="s">
        <v>147</v>
      </c>
      <c r="E384" t="s">
        <v>1209</v>
      </c>
      <c r="F384">
        <v>1</v>
      </c>
      <c r="G384" t="s">
        <v>1205</v>
      </c>
      <c r="H384" t="s">
        <v>1206</v>
      </c>
      <c r="I384" t="s">
        <v>1207</v>
      </c>
      <c r="K384" t="s">
        <v>78</v>
      </c>
      <c r="L384" t="s">
        <v>1208</v>
      </c>
      <c r="M384" t="s">
        <v>73</v>
      </c>
      <c r="P384">
        <f t="shared" si="10"/>
        <v>1</v>
      </c>
      <c r="Q384" t="str">
        <f>IF(AND(P384&gt;1,COUNTIF($E$6:E384,E384)=1),MAX($Q$5:Q383)+1,"")</f>
        <v/>
      </c>
      <c r="R384" t="str">
        <f t="shared" si="11"/>
        <v/>
      </c>
    </row>
    <row r="385" spans="1:18" ht="22.95" customHeight="1">
      <c r="A385" t="s">
        <v>1145</v>
      </c>
      <c r="B385" t="s">
        <v>28</v>
      </c>
      <c r="C385" t="s">
        <v>146</v>
      </c>
      <c r="D385" t="s">
        <v>147</v>
      </c>
      <c r="E385" t="s">
        <v>1210</v>
      </c>
      <c r="F385">
        <v>1</v>
      </c>
      <c r="G385" t="s">
        <v>149</v>
      </c>
      <c r="H385" t="s">
        <v>1152</v>
      </c>
      <c r="I385" t="s">
        <v>1211</v>
      </c>
      <c r="K385" t="s">
        <v>849</v>
      </c>
      <c r="L385" t="s">
        <v>1212</v>
      </c>
      <c r="M385" t="s">
        <v>62</v>
      </c>
      <c r="N385" t="s">
        <v>303</v>
      </c>
      <c r="P385">
        <f t="shared" si="10"/>
        <v>1</v>
      </c>
      <c r="Q385" t="str">
        <f>IF(AND(P385&gt;1,COUNTIF($E$6:E385,E385)=1),MAX($Q$5:Q384)+1,"")</f>
        <v/>
      </c>
      <c r="R385" t="str">
        <f t="shared" si="11"/>
        <v/>
      </c>
    </row>
    <row r="386" spans="1:18" ht="22.95" customHeight="1">
      <c r="A386" t="s">
        <v>1145</v>
      </c>
      <c r="B386" t="s">
        <v>28</v>
      </c>
      <c r="C386" t="s">
        <v>146</v>
      </c>
      <c r="D386" t="s">
        <v>147</v>
      </c>
      <c r="E386" t="s">
        <v>1213</v>
      </c>
      <c r="F386">
        <v>1</v>
      </c>
      <c r="G386" t="s">
        <v>149</v>
      </c>
      <c r="H386" t="s">
        <v>1152</v>
      </c>
      <c r="I386" t="s">
        <v>1211</v>
      </c>
      <c r="K386" t="s">
        <v>849</v>
      </c>
      <c r="L386" t="s">
        <v>1214</v>
      </c>
      <c r="M386" t="s">
        <v>73</v>
      </c>
      <c r="P386">
        <f t="shared" si="10"/>
        <v>1</v>
      </c>
      <c r="Q386" t="str">
        <f>IF(AND(P386&gt;1,COUNTIF($E$6:E386,E386)=1),MAX($Q$5:Q385)+1,"")</f>
        <v/>
      </c>
      <c r="R386" t="str">
        <f t="shared" si="11"/>
        <v/>
      </c>
    </row>
    <row r="387" spans="1:18" ht="22.95" customHeight="1">
      <c r="A387" t="s">
        <v>1145</v>
      </c>
      <c r="B387" t="s">
        <v>28</v>
      </c>
      <c r="C387" t="s">
        <v>146</v>
      </c>
      <c r="D387" t="s">
        <v>147</v>
      </c>
      <c r="E387" t="s">
        <v>1215</v>
      </c>
      <c r="F387">
        <v>1</v>
      </c>
      <c r="G387" t="s">
        <v>1216</v>
      </c>
      <c r="H387" t="s">
        <v>1217</v>
      </c>
      <c r="I387" t="s">
        <v>1218</v>
      </c>
      <c r="K387" t="s">
        <v>320</v>
      </c>
      <c r="L387" t="s">
        <v>1219</v>
      </c>
      <c r="M387" t="s">
        <v>62</v>
      </c>
      <c r="N387" t="s">
        <v>811</v>
      </c>
      <c r="P387">
        <f t="shared" si="10"/>
        <v>1</v>
      </c>
      <c r="Q387" t="str">
        <f>IF(AND(P387&gt;1,COUNTIF($E$6:E387,E387)=1),MAX($Q$5:Q386)+1,"")</f>
        <v/>
      </c>
      <c r="R387" t="str">
        <f t="shared" si="11"/>
        <v/>
      </c>
    </row>
    <row r="388" spans="1:18" ht="22.95" customHeight="1">
      <c r="A388" t="s">
        <v>1145</v>
      </c>
      <c r="B388" t="s">
        <v>28</v>
      </c>
      <c r="C388" t="s">
        <v>167</v>
      </c>
      <c r="D388" t="s">
        <v>168</v>
      </c>
      <c r="E388" t="s">
        <v>1220</v>
      </c>
      <c r="F388">
        <v>1</v>
      </c>
      <c r="G388" t="s">
        <v>1221</v>
      </c>
      <c r="H388" t="s">
        <v>1222</v>
      </c>
      <c r="I388" t="s">
        <v>1223</v>
      </c>
      <c r="K388" t="s">
        <v>849</v>
      </c>
      <c r="L388" t="s">
        <v>1224</v>
      </c>
      <c r="M388" t="s">
        <v>62</v>
      </c>
      <c r="N388" t="s">
        <v>303</v>
      </c>
      <c r="P388">
        <f t="shared" si="10"/>
        <v>1</v>
      </c>
      <c r="Q388" t="str">
        <f>IF(AND(P388&gt;1,COUNTIF($E$6:E388,E388)=1),MAX($Q$5:Q387)+1,"")</f>
        <v/>
      </c>
      <c r="R388" t="str">
        <f t="shared" si="11"/>
        <v/>
      </c>
    </row>
    <row r="389" spans="1:18" ht="22.95" customHeight="1">
      <c r="A389" t="s">
        <v>1145</v>
      </c>
      <c r="B389" t="s">
        <v>28</v>
      </c>
      <c r="C389" t="s">
        <v>167</v>
      </c>
      <c r="D389" t="s">
        <v>168</v>
      </c>
      <c r="E389" t="s">
        <v>1225</v>
      </c>
      <c r="F389">
        <v>1</v>
      </c>
      <c r="G389" t="s">
        <v>1226</v>
      </c>
      <c r="H389" t="s">
        <v>1067</v>
      </c>
      <c r="I389" t="s">
        <v>141</v>
      </c>
      <c r="K389" t="s">
        <v>406</v>
      </c>
      <c r="L389" t="s">
        <v>1227</v>
      </c>
      <c r="M389" t="s">
        <v>62</v>
      </c>
      <c r="N389" t="s">
        <v>130</v>
      </c>
      <c r="P389">
        <f t="shared" si="10"/>
        <v>1</v>
      </c>
      <c r="Q389" t="str">
        <f>IF(AND(P389&gt;1,COUNTIF($E$6:E389,E389)=1),MAX($Q$5:Q388)+1,"")</f>
        <v/>
      </c>
      <c r="R389" t="str">
        <f t="shared" si="11"/>
        <v/>
      </c>
    </row>
    <row r="390" spans="1:18" ht="22.95" customHeight="1">
      <c r="A390" t="s">
        <v>1145</v>
      </c>
      <c r="B390" t="s">
        <v>30</v>
      </c>
      <c r="C390" t="s">
        <v>180</v>
      </c>
      <c r="D390" t="s">
        <v>181</v>
      </c>
      <c r="E390" t="s">
        <v>1228</v>
      </c>
      <c r="F390">
        <v>1</v>
      </c>
      <c r="G390" t="s">
        <v>139</v>
      </c>
      <c r="L390" t="s">
        <v>1229</v>
      </c>
      <c r="M390" t="s">
        <v>73</v>
      </c>
      <c r="P390">
        <f t="shared" ref="P390:P453" si="12">COUNTIF($E$6:$E$1740,E390)</f>
        <v>2</v>
      </c>
      <c r="Q390">
        <f>IF(AND(P390&gt;1,COUNTIF($E$6:E390,E390)=1),MAX($Q$5:Q389)+1,"")</f>
        <v>10</v>
      </c>
      <c r="R390" t="str">
        <f t="shared" ref="R390:R453" si="13">IF(Q390="","",IF(COUNTIFS($E$6:$E$1740,E390,$A$6:$A$1740,A390,$C$6:$C$1740,C390)&lt;P390,"LÉGITIME",IF(COUNTIFS($E$6:$E$1740,E390,$A$6:$A$1740,A390,$C$6:$C$1740,C390,$M$6:$M$1740,M390)&lt;P390,"STATUT DIFFÉRENT","VRAI DOUBLON")))</f>
        <v>STATUT DIFFÉRENT</v>
      </c>
    </row>
    <row r="391" spans="1:18" ht="22.95" customHeight="1">
      <c r="A391" t="s">
        <v>1145</v>
      </c>
      <c r="B391" t="s">
        <v>30</v>
      </c>
      <c r="C391" t="s">
        <v>188</v>
      </c>
      <c r="D391" t="s">
        <v>189</v>
      </c>
      <c r="E391" t="s">
        <v>1230</v>
      </c>
      <c r="F391">
        <v>1</v>
      </c>
      <c r="G391" t="s">
        <v>919</v>
      </c>
      <c r="H391" t="s">
        <v>1231</v>
      </c>
      <c r="I391" t="s">
        <v>406</v>
      </c>
      <c r="K391" t="s">
        <v>406</v>
      </c>
      <c r="L391" t="s">
        <v>1232</v>
      </c>
      <c r="M391" t="s">
        <v>62</v>
      </c>
      <c r="N391" t="s">
        <v>130</v>
      </c>
      <c r="P391">
        <f t="shared" si="12"/>
        <v>1</v>
      </c>
      <c r="Q391" t="str">
        <f>IF(AND(P391&gt;1,COUNTIF($E$6:E391,E391)=1),MAX($Q$5:Q390)+1,"")</f>
        <v/>
      </c>
      <c r="R391" t="str">
        <f t="shared" si="13"/>
        <v/>
      </c>
    </row>
    <row r="392" spans="1:18" ht="22.95" customHeight="1">
      <c r="A392" t="s">
        <v>1145</v>
      </c>
      <c r="B392" t="s">
        <v>30</v>
      </c>
      <c r="C392" t="s">
        <v>188</v>
      </c>
      <c r="D392" t="s">
        <v>189</v>
      </c>
      <c r="E392" t="s">
        <v>1233</v>
      </c>
      <c r="F392">
        <v>1</v>
      </c>
      <c r="G392" t="s">
        <v>919</v>
      </c>
      <c r="H392" t="s">
        <v>1231</v>
      </c>
      <c r="I392" t="s">
        <v>406</v>
      </c>
      <c r="K392" t="s">
        <v>406</v>
      </c>
      <c r="L392" t="s">
        <v>1234</v>
      </c>
      <c r="M392" t="s">
        <v>73</v>
      </c>
      <c r="P392">
        <f t="shared" si="12"/>
        <v>1</v>
      </c>
      <c r="Q392" t="str">
        <f>IF(AND(P392&gt;1,COUNTIF($E$6:E392,E392)=1),MAX($Q$5:Q391)+1,"")</f>
        <v/>
      </c>
      <c r="R392" t="str">
        <f t="shared" si="13"/>
        <v/>
      </c>
    </row>
    <row r="393" spans="1:18" ht="22.95" customHeight="1">
      <c r="A393" t="s">
        <v>1145</v>
      </c>
      <c r="B393" t="s">
        <v>30</v>
      </c>
      <c r="C393" t="s">
        <v>188</v>
      </c>
      <c r="D393" t="s">
        <v>189</v>
      </c>
      <c r="E393" t="s">
        <v>1235</v>
      </c>
      <c r="F393">
        <v>1</v>
      </c>
      <c r="G393" t="s">
        <v>1236</v>
      </c>
      <c r="H393" t="s">
        <v>1237</v>
      </c>
      <c r="I393" t="s">
        <v>406</v>
      </c>
      <c r="K393" t="s">
        <v>406</v>
      </c>
      <c r="L393" t="s">
        <v>1238</v>
      </c>
      <c r="M393" t="s">
        <v>102</v>
      </c>
      <c r="P393">
        <f t="shared" si="12"/>
        <v>1</v>
      </c>
      <c r="Q393" t="str">
        <f>IF(AND(P393&gt;1,COUNTIF($E$6:E393,E393)=1),MAX($Q$5:Q392)+1,"")</f>
        <v/>
      </c>
      <c r="R393" t="str">
        <f t="shared" si="13"/>
        <v/>
      </c>
    </row>
    <row r="394" spans="1:18" ht="22.95" customHeight="1">
      <c r="A394" t="s">
        <v>1145</v>
      </c>
      <c r="B394" t="s">
        <v>30</v>
      </c>
      <c r="C394" t="s">
        <v>188</v>
      </c>
      <c r="D394" t="s">
        <v>189</v>
      </c>
      <c r="E394" t="s">
        <v>1239</v>
      </c>
      <c r="F394">
        <v>1</v>
      </c>
      <c r="G394" t="s">
        <v>92</v>
      </c>
      <c r="I394" t="s">
        <v>406</v>
      </c>
      <c r="K394" t="s">
        <v>406</v>
      </c>
      <c r="L394" t="s">
        <v>1240</v>
      </c>
      <c r="M394" t="s">
        <v>102</v>
      </c>
      <c r="P394">
        <f t="shared" si="12"/>
        <v>1</v>
      </c>
      <c r="Q394" t="str">
        <f>IF(AND(P394&gt;1,COUNTIF($E$6:E394,E394)=1),MAX($Q$5:Q393)+1,"")</f>
        <v/>
      </c>
      <c r="R394" t="str">
        <f t="shared" si="13"/>
        <v/>
      </c>
    </row>
    <row r="395" spans="1:18" ht="22.95" customHeight="1">
      <c r="A395" t="s">
        <v>1145</v>
      </c>
      <c r="B395" t="s">
        <v>26</v>
      </c>
      <c r="C395" t="s">
        <v>196</v>
      </c>
      <c r="D395" t="s">
        <v>197</v>
      </c>
      <c r="E395" t="s">
        <v>1241</v>
      </c>
      <c r="F395">
        <v>1</v>
      </c>
      <c r="G395" t="s">
        <v>92</v>
      </c>
      <c r="I395" t="s">
        <v>141</v>
      </c>
      <c r="K395" t="s">
        <v>406</v>
      </c>
      <c r="L395" t="s">
        <v>1242</v>
      </c>
      <c r="M395" t="s">
        <v>102</v>
      </c>
      <c r="P395">
        <f t="shared" si="12"/>
        <v>1</v>
      </c>
      <c r="Q395" t="str">
        <f>IF(AND(P395&gt;1,COUNTIF($E$6:E395,E395)=1),MAX($Q$5:Q394)+1,"")</f>
        <v/>
      </c>
      <c r="R395" t="str">
        <f t="shared" si="13"/>
        <v/>
      </c>
    </row>
    <row r="396" spans="1:18" ht="22.95" customHeight="1">
      <c r="A396" t="s">
        <v>1145</v>
      </c>
      <c r="B396" t="s">
        <v>26</v>
      </c>
      <c r="C396" t="s">
        <v>196</v>
      </c>
      <c r="D396" t="s">
        <v>197</v>
      </c>
      <c r="E396" t="s">
        <v>1243</v>
      </c>
      <c r="F396">
        <v>1</v>
      </c>
      <c r="G396" t="s">
        <v>92</v>
      </c>
      <c r="I396" t="s">
        <v>141</v>
      </c>
      <c r="K396" t="s">
        <v>406</v>
      </c>
      <c r="L396" t="s">
        <v>1242</v>
      </c>
      <c r="M396" t="s">
        <v>102</v>
      </c>
      <c r="P396">
        <f t="shared" si="12"/>
        <v>1</v>
      </c>
      <c r="Q396" t="str">
        <f>IF(AND(P396&gt;1,COUNTIF($E$6:E396,E396)=1),MAX($Q$5:Q395)+1,"")</f>
        <v/>
      </c>
      <c r="R396" t="str">
        <f t="shared" si="13"/>
        <v/>
      </c>
    </row>
    <row r="397" spans="1:18" ht="22.95" customHeight="1">
      <c r="A397" t="s">
        <v>1145</v>
      </c>
      <c r="B397" t="s">
        <v>26</v>
      </c>
      <c r="C397" t="s">
        <v>196</v>
      </c>
      <c r="D397" t="s">
        <v>197</v>
      </c>
      <c r="E397" t="s">
        <v>1244</v>
      </c>
      <c r="F397">
        <v>1</v>
      </c>
      <c r="G397" t="s">
        <v>92</v>
      </c>
      <c r="I397" t="s">
        <v>141</v>
      </c>
      <c r="K397" t="s">
        <v>406</v>
      </c>
      <c r="L397" t="s">
        <v>1242</v>
      </c>
      <c r="M397" t="s">
        <v>102</v>
      </c>
      <c r="P397">
        <f t="shared" si="12"/>
        <v>1</v>
      </c>
      <c r="Q397" t="str">
        <f>IF(AND(P397&gt;1,COUNTIF($E$6:E397,E397)=1),MAX($Q$5:Q396)+1,"")</f>
        <v/>
      </c>
      <c r="R397" t="str">
        <f t="shared" si="13"/>
        <v/>
      </c>
    </row>
    <row r="398" spans="1:18" ht="22.95" customHeight="1">
      <c r="A398" t="s">
        <v>1145</v>
      </c>
      <c r="B398" t="s">
        <v>26</v>
      </c>
      <c r="C398" t="s">
        <v>196</v>
      </c>
      <c r="D398" t="s">
        <v>197</v>
      </c>
      <c r="E398" t="s">
        <v>1245</v>
      </c>
      <c r="F398">
        <v>1</v>
      </c>
      <c r="G398" t="s">
        <v>92</v>
      </c>
      <c r="I398" t="s">
        <v>141</v>
      </c>
      <c r="K398" t="s">
        <v>406</v>
      </c>
      <c r="L398" t="s">
        <v>1246</v>
      </c>
      <c r="M398" t="s">
        <v>102</v>
      </c>
      <c r="P398">
        <f t="shared" si="12"/>
        <v>1</v>
      </c>
      <c r="Q398" t="str">
        <f>IF(AND(P398&gt;1,COUNTIF($E$6:E398,E398)=1),MAX($Q$5:Q397)+1,"")</f>
        <v/>
      </c>
      <c r="R398" t="str">
        <f t="shared" si="13"/>
        <v/>
      </c>
    </row>
    <row r="399" spans="1:18" ht="22.95" customHeight="1">
      <c r="A399" t="s">
        <v>1145</v>
      </c>
      <c r="B399" t="s">
        <v>26</v>
      </c>
      <c r="C399" t="s">
        <v>196</v>
      </c>
      <c r="D399" t="s">
        <v>197</v>
      </c>
      <c r="E399" t="s">
        <v>1247</v>
      </c>
      <c r="F399">
        <v>1</v>
      </c>
      <c r="G399" t="s">
        <v>92</v>
      </c>
      <c r="I399" t="s">
        <v>141</v>
      </c>
      <c r="K399" t="s">
        <v>406</v>
      </c>
      <c r="L399" t="s">
        <v>1248</v>
      </c>
      <c r="M399" t="s">
        <v>102</v>
      </c>
      <c r="P399">
        <f t="shared" si="12"/>
        <v>1</v>
      </c>
      <c r="Q399" t="str">
        <f>IF(AND(P399&gt;1,COUNTIF($E$6:E399,E399)=1),MAX($Q$5:Q398)+1,"")</f>
        <v/>
      </c>
      <c r="R399" t="str">
        <f t="shared" si="13"/>
        <v/>
      </c>
    </row>
    <row r="400" spans="1:18" ht="22.95" customHeight="1">
      <c r="A400" t="s">
        <v>1145</v>
      </c>
      <c r="B400" t="s">
        <v>26</v>
      </c>
      <c r="C400" t="s">
        <v>196</v>
      </c>
      <c r="D400" t="s">
        <v>197</v>
      </c>
      <c r="E400" t="s">
        <v>1249</v>
      </c>
      <c r="F400">
        <v>1</v>
      </c>
      <c r="G400" t="s">
        <v>494</v>
      </c>
      <c r="H400" t="s">
        <v>1250</v>
      </c>
      <c r="I400" t="s">
        <v>1251</v>
      </c>
      <c r="K400" t="s">
        <v>687</v>
      </c>
      <c r="L400" t="s">
        <v>1252</v>
      </c>
      <c r="M400" t="s">
        <v>62</v>
      </c>
      <c r="N400" t="s">
        <v>130</v>
      </c>
      <c r="P400">
        <f t="shared" si="12"/>
        <v>1</v>
      </c>
      <c r="Q400" t="str">
        <f>IF(AND(P400&gt;1,COUNTIF($E$6:E400,E400)=1),MAX($Q$5:Q399)+1,"")</f>
        <v/>
      </c>
      <c r="R400" t="str">
        <f t="shared" si="13"/>
        <v/>
      </c>
    </row>
    <row r="401" spans="1:18" ht="22.95" customHeight="1">
      <c r="A401" t="s">
        <v>1145</v>
      </c>
      <c r="B401" t="s">
        <v>26</v>
      </c>
      <c r="C401" t="s">
        <v>196</v>
      </c>
      <c r="D401" t="s">
        <v>197</v>
      </c>
      <c r="E401" t="s">
        <v>1253</v>
      </c>
      <c r="F401">
        <v>1</v>
      </c>
      <c r="G401" t="s">
        <v>92</v>
      </c>
      <c r="I401" t="s">
        <v>1254</v>
      </c>
      <c r="L401" t="s">
        <v>1255</v>
      </c>
      <c r="M401" t="s">
        <v>102</v>
      </c>
      <c r="P401">
        <f t="shared" si="12"/>
        <v>1</v>
      </c>
      <c r="Q401" t="str">
        <f>IF(AND(P401&gt;1,COUNTIF($E$6:E401,E401)=1),MAX($Q$5:Q400)+1,"")</f>
        <v/>
      </c>
      <c r="R401" t="str">
        <f t="shared" si="13"/>
        <v/>
      </c>
    </row>
    <row r="402" spans="1:18" ht="22.95" customHeight="1">
      <c r="A402" t="s">
        <v>1145</v>
      </c>
      <c r="B402" t="s">
        <v>26</v>
      </c>
      <c r="C402" t="s">
        <v>196</v>
      </c>
      <c r="D402" t="s">
        <v>197</v>
      </c>
      <c r="E402" t="s">
        <v>1256</v>
      </c>
      <c r="F402">
        <v>1</v>
      </c>
      <c r="G402" t="s">
        <v>92</v>
      </c>
      <c r="I402" t="s">
        <v>141</v>
      </c>
      <c r="K402" t="s">
        <v>406</v>
      </c>
      <c r="L402" t="s">
        <v>1257</v>
      </c>
      <c r="M402" t="s">
        <v>102</v>
      </c>
      <c r="P402">
        <f t="shared" si="12"/>
        <v>1</v>
      </c>
      <c r="Q402" t="str">
        <f>IF(AND(P402&gt;1,COUNTIF($E$6:E402,E402)=1),MAX($Q$5:Q401)+1,"")</f>
        <v/>
      </c>
      <c r="R402" t="str">
        <f t="shared" si="13"/>
        <v/>
      </c>
    </row>
    <row r="403" spans="1:18" ht="22.95" customHeight="1">
      <c r="A403" t="s">
        <v>1145</v>
      </c>
      <c r="B403" t="s">
        <v>31</v>
      </c>
      <c r="C403" t="s">
        <v>491</v>
      </c>
      <c r="D403" t="s">
        <v>492</v>
      </c>
      <c r="E403" t="s">
        <v>1258</v>
      </c>
      <c r="F403">
        <v>1</v>
      </c>
      <c r="I403" t="s">
        <v>1259</v>
      </c>
      <c r="K403" t="s">
        <v>109</v>
      </c>
      <c r="L403" t="s">
        <v>1260</v>
      </c>
      <c r="M403" t="s">
        <v>73</v>
      </c>
      <c r="P403">
        <f t="shared" si="12"/>
        <v>1</v>
      </c>
      <c r="Q403" t="str">
        <f>IF(AND(P403&gt;1,COUNTIF($E$6:E403,E403)=1),MAX($Q$5:Q402)+1,"")</f>
        <v/>
      </c>
      <c r="R403" t="str">
        <f t="shared" si="13"/>
        <v/>
      </c>
    </row>
    <row r="404" spans="1:18" ht="22.95" customHeight="1">
      <c r="A404" t="s">
        <v>1145</v>
      </c>
      <c r="B404" t="s">
        <v>31</v>
      </c>
      <c r="C404" t="s">
        <v>491</v>
      </c>
      <c r="D404" t="s">
        <v>492</v>
      </c>
      <c r="E404" t="s">
        <v>1261</v>
      </c>
      <c r="F404">
        <v>1</v>
      </c>
      <c r="G404" t="s">
        <v>139</v>
      </c>
      <c r="I404" t="s">
        <v>1262</v>
      </c>
      <c r="K404" t="s">
        <v>109</v>
      </c>
      <c r="L404" t="s">
        <v>1263</v>
      </c>
      <c r="M404" t="s">
        <v>62</v>
      </c>
      <c r="N404" t="s">
        <v>520</v>
      </c>
      <c r="P404">
        <f t="shared" si="12"/>
        <v>1</v>
      </c>
      <c r="Q404" t="str">
        <f>IF(AND(P404&gt;1,COUNTIF($E$6:E404,E404)=1),MAX($Q$5:Q403)+1,"")</f>
        <v/>
      </c>
      <c r="R404" t="str">
        <f t="shared" si="13"/>
        <v/>
      </c>
    </row>
    <row r="405" spans="1:18" ht="22.95" customHeight="1">
      <c r="A405" t="s">
        <v>1145</v>
      </c>
      <c r="B405" t="s">
        <v>32</v>
      </c>
      <c r="C405" t="s">
        <v>200</v>
      </c>
      <c r="D405" t="s">
        <v>201</v>
      </c>
      <c r="E405" t="s">
        <v>1264</v>
      </c>
      <c r="F405">
        <v>1</v>
      </c>
      <c r="G405" t="s">
        <v>92</v>
      </c>
      <c r="I405" t="s">
        <v>141</v>
      </c>
      <c r="K405" t="s">
        <v>406</v>
      </c>
      <c r="L405" t="s">
        <v>1265</v>
      </c>
      <c r="M405" t="s">
        <v>102</v>
      </c>
      <c r="P405">
        <f t="shared" si="12"/>
        <v>1</v>
      </c>
      <c r="Q405" t="str">
        <f>IF(AND(P405&gt;1,COUNTIF($E$6:E405,E405)=1),MAX($Q$5:Q404)+1,"")</f>
        <v/>
      </c>
      <c r="R405" t="str">
        <f t="shared" si="13"/>
        <v/>
      </c>
    </row>
    <row r="406" spans="1:18" ht="22.95" customHeight="1">
      <c r="A406" t="s">
        <v>1145</v>
      </c>
      <c r="B406" t="s">
        <v>21</v>
      </c>
      <c r="C406" t="s">
        <v>207</v>
      </c>
      <c r="D406" t="s">
        <v>208</v>
      </c>
      <c r="E406" t="s">
        <v>1266</v>
      </c>
      <c r="F406">
        <v>1</v>
      </c>
      <c r="G406" t="s">
        <v>1267</v>
      </c>
      <c r="H406" t="s">
        <v>1268</v>
      </c>
      <c r="I406" t="s">
        <v>1269</v>
      </c>
      <c r="L406" t="s">
        <v>1270</v>
      </c>
      <c r="M406" t="s">
        <v>102</v>
      </c>
      <c r="P406">
        <f t="shared" si="12"/>
        <v>1</v>
      </c>
      <c r="Q406" t="str">
        <f>IF(AND(P406&gt;1,COUNTIF($E$6:E406,E406)=1),MAX($Q$5:Q405)+1,"")</f>
        <v/>
      </c>
      <c r="R406" t="str">
        <f t="shared" si="13"/>
        <v/>
      </c>
    </row>
    <row r="407" spans="1:18" ht="22.95" customHeight="1">
      <c r="A407" t="s">
        <v>1145</v>
      </c>
      <c r="B407" t="s">
        <v>21</v>
      </c>
      <c r="C407" t="s">
        <v>207</v>
      </c>
      <c r="D407" t="s">
        <v>208</v>
      </c>
      <c r="E407" t="s">
        <v>1271</v>
      </c>
      <c r="F407">
        <v>1</v>
      </c>
      <c r="G407" t="s">
        <v>1272</v>
      </c>
      <c r="H407" t="s">
        <v>1273</v>
      </c>
      <c r="I407" t="s">
        <v>1274</v>
      </c>
      <c r="L407" t="s">
        <v>1275</v>
      </c>
      <c r="M407" t="s">
        <v>73</v>
      </c>
      <c r="P407">
        <f t="shared" si="12"/>
        <v>1</v>
      </c>
      <c r="Q407" t="str">
        <f>IF(AND(P407&gt;1,COUNTIF($E$6:E407,E407)=1),MAX($Q$5:Q406)+1,"")</f>
        <v/>
      </c>
      <c r="R407" t="str">
        <f t="shared" si="13"/>
        <v/>
      </c>
    </row>
    <row r="408" spans="1:18" ht="22.95" customHeight="1">
      <c r="A408" t="s">
        <v>1145</v>
      </c>
      <c r="B408" t="s">
        <v>21</v>
      </c>
      <c r="C408" t="s">
        <v>207</v>
      </c>
      <c r="D408" t="s">
        <v>208</v>
      </c>
      <c r="E408" t="s">
        <v>1276</v>
      </c>
      <c r="F408">
        <v>1</v>
      </c>
      <c r="G408" t="s">
        <v>92</v>
      </c>
      <c r="I408" t="s">
        <v>1277</v>
      </c>
      <c r="K408" t="s">
        <v>1278</v>
      </c>
      <c r="L408" t="s">
        <v>1279</v>
      </c>
      <c r="M408" t="s">
        <v>102</v>
      </c>
      <c r="P408">
        <f t="shared" si="12"/>
        <v>1</v>
      </c>
      <c r="Q408" t="str">
        <f>IF(AND(P408&gt;1,COUNTIF($E$6:E408,E408)=1),MAX($Q$5:Q407)+1,"")</f>
        <v/>
      </c>
      <c r="R408" t="str">
        <f t="shared" si="13"/>
        <v/>
      </c>
    </row>
    <row r="409" spans="1:18" ht="22.95" customHeight="1">
      <c r="A409" t="s">
        <v>1145</v>
      </c>
      <c r="B409" t="s">
        <v>21</v>
      </c>
      <c r="C409" t="s">
        <v>215</v>
      </c>
      <c r="D409" t="s">
        <v>216</v>
      </c>
      <c r="E409" t="s">
        <v>1280</v>
      </c>
      <c r="F409">
        <v>1</v>
      </c>
      <c r="G409" t="s">
        <v>1126</v>
      </c>
      <c r="H409" t="s">
        <v>1281</v>
      </c>
      <c r="I409" t="s">
        <v>1282</v>
      </c>
      <c r="K409" t="s">
        <v>803</v>
      </c>
      <c r="L409" t="s">
        <v>1283</v>
      </c>
      <c r="M409" t="s">
        <v>62</v>
      </c>
      <c r="N409" t="s">
        <v>811</v>
      </c>
      <c r="P409">
        <f t="shared" si="12"/>
        <v>1</v>
      </c>
      <c r="Q409" t="str">
        <f>IF(AND(P409&gt;1,COUNTIF($E$6:E409,E409)=1),MAX($Q$5:Q408)+1,"")</f>
        <v/>
      </c>
      <c r="R409" t="str">
        <f t="shared" si="13"/>
        <v/>
      </c>
    </row>
    <row r="410" spans="1:18" ht="22.95" customHeight="1">
      <c r="A410" t="s">
        <v>1145</v>
      </c>
      <c r="B410" t="s">
        <v>21</v>
      </c>
      <c r="C410" t="s">
        <v>239</v>
      </c>
      <c r="D410" t="s">
        <v>1284</v>
      </c>
      <c r="E410" t="s">
        <v>1285</v>
      </c>
      <c r="F410">
        <v>1</v>
      </c>
      <c r="G410" t="s">
        <v>1286</v>
      </c>
      <c r="H410" t="s">
        <v>1287</v>
      </c>
      <c r="I410" t="s">
        <v>1288</v>
      </c>
      <c r="K410" t="s">
        <v>78</v>
      </c>
      <c r="L410" t="s">
        <v>1289</v>
      </c>
      <c r="M410" t="s">
        <v>73</v>
      </c>
      <c r="P410">
        <f t="shared" si="12"/>
        <v>1</v>
      </c>
      <c r="Q410" t="str">
        <f>IF(AND(P410&gt;1,COUNTIF($E$6:E410,E410)=1),MAX($Q$5:Q409)+1,"")</f>
        <v/>
      </c>
      <c r="R410" t="str">
        <f t="shared" si="13"/>
        <v/>
      </c>
    </row>
    <row r="411" spans="1:18" ht="22.95" customHeight="1">
      <c r="A411" t="s">
        <v>1145</v>
      </c>
      <c r="B411" t="s">
        <v>21</v>
      </c>
      <c r="C411" t="s">
        <v>239</v>
      </c>
      <c r="D411" t="s">
        <v>1284</v>
      </c>
      <c r="E411" t="s">
        <v>1290</v>
      </c>
      <c r="F411">
        <v>1</v>
      </c>
      <c r="G411" t="s">
        <v>1291</v>
      </c>
      <c r="H411" t="s">
        <v>1292</v>
      </c>
      <c r="I411" t="s">
        <v>1293</v>
      </c>
      <c r="K411" t="s">
        <v>78</v>
      </c>
      <c r="L411" t="s">
        <v>1289</v>
      </c>
      <c r="M411" t="s">
        <v>73</v>
      </c>
      <c r="P411">
        <f t="shared" si="12"/>
        <v>1</v>
      </c>
      <c r="Q411" t="str">
        <f>IF(AND(P411&gt;1,COUNTIF($E$6:E411,E411)=1),MAX($Q$5:Q410)+1,"")</f>
        <v/>
      </c>
      <c r="R411" t="str">
        <f t="shared" si="13"/>
        <v/>
      </c>
    </row>
    <row r="412" spans="1:18" ht="22.95" customHeight="1">
      <c r="A412" t="s">
        <v>1145</v>
      </c>
      <c r="B412" t="s">
        <v>21</v>
      </c>
      <c r="C412" t="s">
        <v>239</v>
      </c>
      <c r="D412" t="s">
        <v>1284</v>
      </c>
      <c r="E412" t="s">
        <v>1294</v>
      </c>
      <c r="F412">
        <v>1</v>
      </c>
      <c r="G412" t="s">
        <v>1291</v>
      </c>
      <c r="H412" t="s">
        <v>1292</v>
      </c>
      <c r="I412" t="s">
        <v>1295</v>
      </c>
      <c r="K412" t="s">
        <v>78</v>
      </c>
      <c r="L412" t="s">
        <v>1289</v>
      </c>
      <c r="M412" t="s">
        <v>73</v>
      </c>
      <c r="P412">
        <f t="shared" si="12"/>
        <v>1</v>
      </c>
      <c r="Q412" t="str">
        <f>IF(AND(P412&gt;1,COUNTIF($E$6:E412,E412)=1),MAX($Q$5:Q411)+1,"")</f>
        <v/>
      </c>
      <c r="R412" t="str">
        <f t="shared" si="13"/>
        <v/>
      </c>
    </row>
    <row r="413" spans="1:18" ht="22.95" customHeight="1">
      <c r="A413" t="s">
        <v>1145</v>
      </c>
      <c r="B413" t="s">
        <v>21</v>
      </c>
      <c r="C413" t="s">
        <v>239</v>
      </c>
      <c r="D413" t="s">
        <v>1284</v>
      </c>
      <c r="E413" t="s">
        <v>1296</v>
      </c>
      <c r="F413">
        <v>1</v>
      </c>
      <c r="G413" t="s">
        <v>1291</v>
      </c>
      <c r="H413" t="s">
        <v>1292</v>
      </c>
      <c r="I413" t="s">
        <v>1293</v>
      </c>
      <c r="K413" t="s">
        <v>78</v>
      </c>
      <c r="L413" t="s">
        <v>1289</v>
      </c>
      <c r="M413" t="s">
        <v>73</v>
      </c>
      <c r="P413">
        <f t="shared" si="12"/>
        <v>1</v>
      </c>
      <c r="Q413" t="str">
        <f>IF(AND(P413&gt;1,COUNTIF($E$6:E413,E413)=1),MAX($Q$5:Q412)+1,"")</f>
        <v/>
      </c>
      <c r="R413" t="str">
        <f t="shared" si="13"/>
        <v/>
      </c>
    </row>
    <row r="414" spans="1:18" ht="22.95" customHeight="1">
      <c r="A414" t="s">
        <v>1145</v>
      </c>
      <c r="B414" t="s">
        <v>21</v>
      </c>
      <c r="C414" t="s">
        <v>239</v>
      </c>
      <c r="D414" t="s">
        <v>1284</v>
      </c>
      <c r="E414" t="s">
        <v>1297</v>
      </c>
      <c r="F414">
        <v>1</v>
      </c>
      <c r="G414" t="s">
        <v>1286</v>
      </c>
      <c r="H414" t="s">
        <v>1287</v>
      </c>
      <c r="I414" t="s">
        <v>141</v>
      </c>
      <c r="K414" t="s">
        <v>406</v>
      </c>
      <c r="L414" t="s">
        <v>1298</v>
      </c>
      <c r="M414" t="s">
        <v>62</v>
      </c>
      <c r="N414" t="s">
        <v>130</v>
      </c>
      <c r="P414">
        <f t="shared" si="12"/>
        <v>1</v>
      </c>
      <c r="Q414" t="str">
        <f>IF(AND(P414&gt;1,COUNTIF($E$6:E414,E414)=1),MAX($Q$5:Q413)+1,"")</f>
        <v/>
      </c>
      <c r="R414" t="str">
        <f t="shared" si="13"/>
        <v/>
      </c>
    </row>
    <row r="415" spans="1:18" ht="22.95" customHeight="1">
      <c r="A415" t="s">
        <v>1145</v>
      </c>
      <c r="B415" t="s">
        <v>21</v>
      </c>
      <c r="C415" t="s">
        <v>270</v>
      </c>
      <c r="D415" t="s">
        <v>271</v>
      </c>
      <c r="E415" t="s">
        <v>1299</v>
      </c>
      <c r="F415">
        <v>1</v>
      </c>
      <c r="G415" t="s">
        <v>1300</v>
      </c>
      <c r="H415" t="s">
        <v>1301</v>
      </c>
      <c r="I415" t="s">
        <v>1302</v>
      </c>
      <c r="L415" t="s">
        <v>1303</v>
      </c>
      <c r="M415" t="s">
        <v>73</v>
      </c>
      <c r="P415">
        <f t="shared" si="12"/>
        <v>1</v>
      </c>
      <c r="Q415" t="str">
        <f>IF(AND(P415&gt;1,COUNTIF($E$6:E415,E415)=1),MAX($Q$5:Q414)+1,"")</f>
        <v/>
      </c>
      <c r="R415" t="str">
        <f t="shared" si="13"/>
        <v/>
      </c>
    </row>
    <row r="416" spans="1:18" ht="22.95" customHeight="1">
      <c r="A416" t="s">
        <v>1145</v>
      </c>
      <c r="B416" t="s">
        <v>30</v>
      </c>
      <c r="C416" t="s">
        <v>180</v>
      </c>
      <c r="D416" t="s">
        <v>181</v>
      </c>
      <c r="E416" t="s">
        <v>1228</v>
      </c>
      <c r="F416">
        <v>1</v>
      </c>
      <c r="G416" t="s">
        <v>139</v>
      </c>
      <c r="I416" t="s">
        <v>112</v>
      </c>
      <c r="K416" t="s">
        <v>109</v>
      </c>
      <c r="L416" t="s">
        <v>1304</v>
      </c>
      <c r="M416" t="s">
        <v>102</v>
      </c>
      <c r="P416">
        <f t="shared" si="12"/>
        <v>2</v>
      </c>
      <c r="Q416" t="str">
        <f>IF(AND(P416&gt;1,COUNTIF($E$6:E416,E416)=1),MAX($Q$5:Q415)+1,"")</f>
        <v/>
      </c>
      <c r="R416" t="str">
        <f t="shared" si="13"/>
        <v/>
      </c>
    </row>
    <row r="417" spans="1:18" ht="22.95" customHeight="1">
      <c r="A417" t="s">
        <v>1305</v>
      </c>
      <c r="B417" t="s">
        <v>20</v>
      </c>
      <c r="C417" t="s">
        <v>65</v>
      </c>
      <c r="D417" t="s">
        <v>66</v>
      </c>
      <c r="E417" t="s">
        <v>1306</v>
      </c>
      <c r="F417">
        <v>1</v>
      </c>
      <c r="G417" t="s">
        <v>92</v>
      </c>
      <c r="I417" t="s">
        <v>140</v>
      </c>
      <c r="K417" t="s">
        <v>1307</v>
      </c>
      <c r="L417" t="s">
        <v>1308</v>
      </c>
      <c r="M417" t="s">
        <v>102</v>
      </c>
      <c r="P417">
        <f t="shared" si="12"/>
        <v>1</v>
      </c>
      <c r="Q417" t="str">
        <f>IF(AND(P417&gt;1,COUNTIF($E$6:E417,E417)=1),MAX($Q$5:Q416)+1,"")</f>
        <v/>
      </c>
      <c r="R417" t="str">
        <f t="shared" si="13"/>
        <v/>
      </c>
    </row>
    <row r="418" spans="1:18" ht="22.95" customHeight="1">
      <c r="A418" t="s">
        <v>1305</v>
      </c>
      <c r="B418" t="s">
        <v>22</v>
      </c>
      <c r="C418" t="s">
        <v>1149</v>
      </c>
      <c r="D418" t="s">
        <v>1150</v>
      </c>
      <c r="E418" t="s">
        <v>1309</v>
      </c>
      <c r="F418">
        <v>1</v>
      </c>
      <c r="G418" t="s">
        <v>1310</v>
      </c>
      <c r="H418" t="s">
        <v>1311</v>
      </c>
      <c r="I418" t="s">
        <v>140</v>
      </c>
      <c r="K418" t="s">
        <v>406</v>
      </c>
      <c r="L418" t="s">
        <v>1312</v>
      </c>
      <c r="M418" t="s">
        <v>62</v>
      </c>
      <c r="N418" t="s">
        <v>63</v>
      </c>
      <c r="P418">
        <f t="shared" si="12"/>
        <v>1</v>
      </c>
      <c r="Q418" t="str">
        <f>IF(AND(P418&gt;1,COUNTIF($E$6:E418,E418)=1),MAX($Q$5:Q417)+1,"")</f>
        <v/>
      </c>
      <c r="R418" t="str">
        <f t="shared" si="13"/>
        <v/>
      </c>
    </row>
    <row r="419" spans="1:18" ht="22.95" customHeight="1">
      <c r="A419" t="s">
        <v>1305</v>
      </c>
      <c r="B419" t="s">
        <v>22</v>
      </c>
      <c r="C419" t="s">
        <v>1149</v>
      </c>
      <c r="D419" t="s">
        <v>1150</v>
      </c>
      <c r="E419" t="s">
        <v>1313</v>
      </c>
      <c r="F419">
        <v>1</v>
      </c>
      <c r="G419" t="s">
        <v>1310</v>
      </c>
      <c r="H419" t="s">
        <v>1311</v>
      </c>
      <c r="I419" t="s">
        <v>140</v>
      </c>
      <c r="K419" t="s">
        <v>406</v>
      </c>
      <c r="L419" t="s">
        <v>1312</v>
      </c>
      <c r="M419" t="s">
        <v>62</v>
      </c>
      <c r="N419" t="s">
        <v>63</v>
      </c>
      <c r="P419">
        <f t="shared" si="12"/>
        <v>1</v>
      </c>
      <c r="Q419" t="str">
        <f>IF(AND(P419&gt;1,COUNTIF($E$6:E419,E419)=1),MAX($Q$5:Q418)+1,"")</f>
        <v/>
      </c>
      <c r="R419" t="str">
        <f t="shared" si="13"/>
        <v/>
      </c>
    </row>
    <row r="420" spans="1:18" ht="22.95" customHeight="1">
      <c r="A420" t="s">
        <v>1305</v>
      </c>
      <c r="B420" t="s">
        <v>22</v>
      </c>
      <c r="C420" t="s">
        <v>1149</v>
      </c>
      <c r="D420" t="s">
        <v>1150</v>
      </c>
      <c r="E420" t="s">
        <v>1314</v>
      </c>
      <c r="F420">
        <v>1</v>
      </c>
      <c r="G420" t="s">
        <v>1310</v>
      </c>
      <c r="H420" t="s">
        <v>1311</v>
      </c>
      <c r="I420" t="s">
        <v>140</v>
      </c>
      <c r="K420" t="s">
        <v>406</v>
      </c>
      <c r="L420" t="s">
        <v>1312</v>
      </c>
      <c r="M420" t="s">
        <v>62</v>
      </c>
      <c r="N420" t="s">
        <v>63</v>
      </c>
      <c r="P420">
        <f t="shared" si="12"/>
        <v>1</v>
      </c>
      <c r="Q420" t="str">
        <f>IF(AND(P420&gt;1,COUNTIF($E$6:E420,E420)=1),MAX($Q$5:Q419)+1,"")</f>
        <v/>
      </c>
      <c r="R420" t="str">
        <f t="shared" si="13"/>
        <v/>
      </c>
    </row>
    <row r="421" spans="1:18" ht="22.95" customHeight="1">
      <c r="A421" t="s">
        <v>1305</v>
      </c>
      <c r="B421" t="s">
        <v>22</v>
      </c>
      <c r="C421" t="s">
        <v>1149</v>
      </c>
      <c r="D421" t="s">
        <v>1150</v>
      </c>
      <c r="E421" t="s">
        <v>1315</v>
      </c>
      <c r="F421">
        <v>1</v>
      </c>
      <c r="G421" t="s">
        <v>1316</v>
      </c>
      <c r="H421" t="s">
        <v>1311</v>
      </c>
      <c r="I421" t="s">
        <v>140</v>
      </c>
      <c r="K421" t="s">
        <v>406</v>
      </c>
      <c r="L421" t="s">
        <v>1317</v>
      </c>
      <c r="M421" t="s">
        <v>62</v>
      </c>
      <c r="N421" t="s">
        <v>63</v>
      </c>
      <c r="P421">
        <f t="shared" si="12"/>
        <v>1</v>
      </c>
      <c r="Q421" t="str">
        <f>IF(AND(P421&gt;1,COUNTIF($E$6:E421,E421)=1),MAX($Q$5:Q420)+1,"")</f>
        <v/>
      </c>
      <c r="R421" t="str">
        <f t="shared" si="13"/>
        <v/>
      </c>
    </row>
    <row r="422" spans="1:18" ht="22.95" customHeight="1">
      <c r="A422" t="s">
        <v>1305</v>
      </c>
      <c r="B422" t="s">
        <v>22</v>
      </c>
      <c r="C422" t="s">
        <v>1149</v>
      </c>
      <c r="D422" t="s">
        <v>1150</v>
      </c>
      <c r="E422" t="s">
        <v>1318</v>
      </c>
      <c r="F422">
        <v>1</v>
      </c>
      <c r="G422" t="s">
        <v>1316</v>
      </c>
      <c r="H422" t="s">
        <v>1311</v>
      </c>
      <c r="I422" t="s">
        <v>140</v>
      </c>
      <c r="K422" t="s">
        <v>406</v>
      </c>
      <c r="L422" t="s">
        <v>1317</v>
      </c>
      <c r="M422" t="s">
        <v>62</v>
      </c>
      <c r="N422" t="s">
        <v>63</v>
      </c>
      <c r="P422">
        <f t="shared" si="12"/>
        <v>1</v>
      </c>
      <c r="Q422" t="str">
        <f>IF(AND(P422&gt;1,COUNTIF($E$6:E422,E422)=1),MAX($Q$5:Q421)+1,"")</f>
        <v/>
      </c>
      <c r="R422" t="str">
        <f t="shared" si="13"/>
        <v/>
      </c>
    </row>
    <row r="423" spans="1:18" ht="22.95" customHeight="1">
      <c r="A423" t="s">
        <v>1305</v>
      </c>
      <c r="B423" t="s">
        <v>22</v>
      </c>
      <c r="C423" t="s">
        <v>1149</v>
      </c>
      <c r="D423" t="s">
        <v>1150</v>
      </c>
      <c r="E423" t="s">
        <v>1319</v>
      </c>
      <c r="F423">
        <v>1</v>
      </c>
      <c r="G423" t="s">
        <v>1320</v>
      </c>
      <c r="H423" t="s">
        <v>1311</v>
      </c>
      <c r="I423" t="s">
        <v>140</v>
      </c>
      <c r="K423" t="s">
        <v>406</v>
      </c>
      <c r="L423" t="s">
        <v>1317</v>
      </c>
      <c r="M423" t="s">
        <v>62</v>
      </c>
      <c r="N423" t="s">
        <v>63</v>
      </c>
      <c r="P423">
        <f t="shared" si="12"/>
        <v>1</v>
      </c>
      <c r="Q423" t="str">
        <f>IF(AND(P423&gt;1,COUNTIF($E$6:E423,E423)=1),MAX($Q$5:Q422)+1,"")</f>
        <v/>
      </c>
      <c r="R423" t="str">
        <f t="shared" si="13"/>
        <v/>
      </c>
    </row>
    <row r="424" spans="1:18" ht="22.95" customHeight="1">
      <c r="A424" t="s">
        <v>1305</v>
      </c>
      <c r="B424" t="s">
        <v>22</v>
      </c>
      <c r="C424" t="s">
        <v>1149</v>
      </c>
      <c r="D424" t="s">
        <v>1150</v>
      </c>
      <c r="E424" t="s">
        <v>1321</v>
      </c>
      <c r="F424">
        <v>1</v>
      </c>
      <c r="G424" t="s">
        <v>1322</v>
      </c>
      <c r="H424" t="s">
        <v>1311</v>
      </c>
      <c r="I424" t="s">
        <v>140</v>
      </c>
      <c r="K424" t="s">
        <v>406</v>
      </c>
      <c r="L424" t="s">
        <v>1317</v>
      </c>
      <c r="M424" t="s">
        <v>62</v>
      </c>
      <c r="N424" t="s">
        <v>63</v>
      </c>
      <c r="P424">
        <f t="shared" si="12"/>
        <v>1</v>
      </c>
      <c r="Q424" t="str">
        <f>IF(AND(P424&gt;1,COUNTIF($E$6:E424,E424)=1),MAX($Q$5:Q423)+1,"")</f>
        <v/>
      </c>
      <c r="R424" t="str">
        <f t="shared" si="13"/>
        <v/>
      </c>
    </row>
    <row r="425" spans="1:18" ht="22.95" customHeight="1">
      <c r="A425" t="s">
        <v>1305</v>
      </c>
      <c r="B425" t="s">
        <v>22</v>
      </c>
      <c r="C425" t="s">
        <v>1149</v>
      </c>
      <c r="D425" t="s">
        <v>1150</v>
      </c>
      <c r="E425" t="s">
        <v>1323</v>
      </c>
      <c r="F425">
        <v>1</v>
      </c>
      <c r="G425" t="s">
        <v>92</v>
      </c>
      <c r="I425" t="s">
        <v>733</v>
      </c>
      <c r="K425" t="s">
        <v>1324</v>
      </c>
      <c r="L425" t="s">
        <v>1325</v>
      </c>
      <c r="M425" t="s">
        <v>102</v>
      </c>
      <c r="P425">
        <f t="shared" si="12"/>
        <v>1</v>
      </c>
      <c r="Q425" t="str">
        <f>IF(AND(P425&gt;1,COUNTIF($E$6:E425,E425)=1),MAX($Q$5:Q424)+1,"")</f>
        <v/>
      </c>
      <c r="R425" t="str">
        <f t="shared" si="13"/>
        <v/>
      </c>
    </row>
    <row r="426" spans="1:18" ht="22.95" customHeight="1">
      <c r="A426" t="s">
        <v>1305</v>
      </c>
      <c r="B426" t="s">
        <v>22</v>
      </c>
      <c r="C426" t="s">
        <v>1149</v>
      </c>
      <c r="D426" t="s">
        <v>1150</v>
      </c>
      <c r="E426" t="s">
        <v>1326</v>
      </c>
      <c r="F426">
        <v>1</v>
      </c>
      <c r="G426" t="s">
        <v>92</v>
      </c>
      <c r="I426" t="s">
        <v>733</v>
      </c>
      <c r="K426" t="s">
        <v>1327</v>
      </c>
      <c r="L426" t="s">
        <v>1328</v>
      </c>
      <c r="M426" t="s">
        <v>102</v>
      </c>
      <c r="P426">
        <f t="shared" si="12"/>
        <v>1</v>
      </c>
      <c r="Q426" t="str">
        <f>IF(AND(P426&gt;1,COUNTIF($E$6:E426,E426)=1),MAX($Q$5:Q425)+1,"")</f>
        <v/>
      </c>
      <c r="R426" t="str">
        <f t="shared" si="13"/>
        <v/>
      </c>
    </row>
    <row r="427" spans="1:18" ht="22.95" customHeight="1">
      <c r="A427" t="s">
        <v>1305</v>
      </c>
      <c r="B427" t="s">
        <v>22</v>
      </c>
      <c r="C427" t="s">
        <v>1149</v>
      </c>
      <c r="D427" t="s">
        <v>1150</v>
      </c>
      <c r="E427" t="s">
        <v>1329</v>
      </c>
      <c r="F427">
        <v>1</v>
      </c>
      <c r="G427" t="s">
        <v>92</v>
      </c>
      <c r="I427" t="s">
        <v>733</v>
      </c>
      <c r="K427" t="s">
        <v>1327</v>
      </c>
      <c r="L427" t="s">
        <v>1328</v>
      </c>
      <c r="M427" t="s">
        <v>102</v>
      </c>
      <c r="P427">
        <f t="shared" si="12"/>
        <v>1</v>
      </c>
      <c r="Q427" t="str">
        <f>IF(AND(P427&gt;1,COUNTIF($E$6:E427,E427)=1),MAX($Q$5:Q426)+1,"")</f>
        <v/>
      </c>
      <c r="R427" t="str">
        <f t="shared" si="13"/>
        <v/>
      </c>
    </row>
    <row r="428" spans="1:18" ht="22.95" customHeight="1">
      <c r="A428" t="s">
        <v>1305</v>
      </c>
      <c r="B428" t="s">
        <v>22</v>
      </c>
      <c r="C428" t="s">
        <v>1149</v>
      </c>
      <c r="D428" t="s">
        <v>1150</v>
      </c>
      <c r="E428" t="s">
        <v>1330</v>
      </c>
      <c r="F428">
        <v>1</v>
      </c>
      <c r="G428" t="s">
        <v>92</v>
      </c>
      <c r="I428" t="s">
        <v>733</v>
      </c>
      <c r="K428" t="s">
        <v>1327</v>
      </c>
      <c r="L428" t="s">
        <v>1328</v>
      </c>
      <c r="M428" t="s">
        <v>102</v>
      </c>
      <c r="P428">
        <f t="shared" si="12"/>
        <v>1</v>
      </c>
      <c r="Q428" t="str">
        <f>IF(AND(P428&gt;1,COUNTIF($E$6:E428,E428)=1),MAX($Q$5:Q427)+1,"")</f>
        <v/>
      </c>
      <c r="R428" t="str">
        <f t="shared" si="13"/>
        <v/>
      </c>
    </row>
    <row r="429" spans="1:18" ht="22.95" customHeight="1">
      <c r="A429" t="s">
        <v>1305</v>
      </c>
      <c r="B429" t="s">
        <v>22</v>
      </c>
      <c r="C429" t="s">
        <v>370</v>
      </c>
      <c r="D429" t="s">
        <v>371</v>
      </c>
      <c r="E429" t="s">
        <v>1331</v>
      </c>
      <c r="F429">
        <v>1</v>
      </c>
      <c r="G429" t="s">
        <v>1332</v>
      </c>
      <c r="H429" t="s">
        <v>1333</v>
      </c>
      <c r="I429" t="s">
        <v>1334</v>
      </c>
      <c r="J429" t="s">
        <v>245</v>
      </c>
      <c r="L429" t="s">
        <v>1335</v>
      </c>
      <c r="M429" t="s">
        <v>73</v>
      </c>
      <c r="P429">
        <f t="shared" si="12"/>
        <v>1</v>
      </c>
      <c r="Q429" t="str">
        <f>IF(AND(P429&gt;1,COUNTIF($E$6:E429,E429)=1),MAX($Q$5:Q428)+1,"")</f>
        <v/>
      </c>
      <c r="R429" t="str">
        <f t="shared" si="13"/>
        <v/>
      </c>
    </row>
    <row r="430" spans="1:18" ht="22.95" customHeight="1">
      <c r="A430" t="s">
        <v>1305</v>
      </c>
      <c r="B430" t="s">
        <v>22</v>
      </c>
      <c r="C430" t="s">
        <v>370</v>
      </c>
      <c r="D430" t="s">
        <v>371</v>
      </c>
      <c r="E430" t="s">
        <v>1336</v>
      </c>
      <c r="F430">
        <v>1</v>
      </c>
      <c r="G430" t="s">
        <v>1332</v>
      </c>
      <c r="H430" t="s">
        <v>1333</v>
      </c>
      <c r="I430" t="s">
        <v>1334</v>
      </c>
      <c r="J430" t="s">
        <v>245</v>
      </c>
      <c r="L430" t="s">
        <v>1337</v>
      </c>
      <c r="M430" t="s">
        <v>73</v>
      </c>
      <c r="P430">
        <f t="shared" si="12"/>
        <v>1</v>
      </c>
      <c r="Q430" t="str">
        <f>IF(AND(P430&gt;1,COUNTIF($E$6:E430,E430)=1),MAX($Q$5:Q429)+1,"")</f>
        <v/>
      </c>
      <c r="R430" t="str">
        <f t="shared" si="13"/>
        <v/>
      </c>
    </row>
    <row r="431" spans="1:18" ht="22.95" customHeight="1">
      <c r="A431" t="s">
        <v>1305</v>
      </c>
      <c r="B431" t="s">
        <v>22</v>
      </c>
      <c r="C431" t="s">
        <v>370</v>
      </c>
      <c r="D431" t="s">
        <v>371</v>
      </c>
      <c r="E431" t="s">
        <v>1338</v>
      </c>
      <c r="F431">
        <v>1</v>
      </c>
      <c r="G431" t="s">
        <v>1332</v>
      </c>
      <c r="H431" t="s">
        <v>1333</v>
      </c>
      <c r="I431" t="s">
        <v>1339</v>
      </c>
      <c r="J431" t="s">
        <v>245</v>
      </c>
      <c r="L431" t="s">
        <v>1340</v>
      </c>
      <c r="M431" t="s">
        <v>73</v>
      </c>
      <c r="P431">
        <f t="shared" si="12"/>
        <v>1</v>
      </c>
      <c r="Q431" t="str">
        <f>IF(AND(P431&gt;1,COUNTIF($E$6:E431,E431)=1),MAX($Q$5:Q430)+1,"")</f>
        <v/>
      </c>
      <c r="R431" t="str">
        <f t="shared" si="13"/>
        <v/>
      </c>
    </row>
    <row r="432" spans="1:18" ht="22.95" customHeight="1">
      <c r="A432" t="s">
        <v>1305</v>
      </c>
      <c r="B432" t="s">
        <v>22</v>
      </c>
      <c r="C432" t="s">
        <v>370</v>
      </c>
      <c r="D432" t="s">
        <v>371</v>
      </c>
      <c r="E432" t="s">
        <v>1341</v>
      </c>
      <c r="F432">
        <v>1</v>
      </c>
      <c r="G432" t="s">
        <v>92</v>
      </c>
      <c r="I432" t="s">
        <v>1342</v>
      </c>
      <c r="K432" t="s">
        <v>274</v>
      </c>
      <c r="L432" t="s">
        <v>1343</v>
      </c>
      <c r="M432" t="s">
        <v>73</v>
      </c>
      <c r="P432">
        <f t="shared" si="12"/>
        <v>1</v>
      </c>
      <c r="Q432" t="str">
        <f>IF(AND(P432&gt;1,COUNTIF($E$6:E432,E432)=1),MAX($Q$5:Q431)+1,"")</f>
        <v/>
      </c>
      <c r="R432" t="str">
        <f t="shared" si="13"/>
        <v/>
      </c>
    </row>
    <row r="433" spans="1:18" ht="22.95" customHeight="1">
      <c r="A433" t="s">
        <v>1305</v>
      </c>
      <c r="B433" t="s">
        <v>22</v>
      </c>
      <c r="C433" t="s">
        <v>370</v>
      </c>
      <c r="D433" t="s">
        <v>371</v>
      </c>
      <c r="E433" t="s">
        <v>1344</v>
      </c>
      <c r="F433">
        <v>1</v>
      </c>
      <c r="G433" t="s">
        <v>1345</v>
      </c>
      <c r="H433" t="s">
        <v>1346</v>
      </c>
      <c r="I433" t="s">
        <v>1347</v>
      </c>
      <c r="K433" t="s">
        <v>109</v>
      </c>
      <c r="L433" t="s">
        <v>1348</v>
      </c>
      <c r="M433" t="s">
        <v>73</v>
      </c>
      <c r="P433">
        <f t="shared" si="12"/>
        <v>1</v>
      </c>
      <c r="Q433" t="str">
        <f>IF(AND(P433&gt;1,COUNTIF($E$6:E433,E433)=1),MAX($Q$5:Q432)+1,"")</f>
        <v/>
      </c>
      <c r="R433" t="str">
        <f t="shared" si="13"/>
        <v/>
      </c>
    </row>
    <row r="434" spans="1:18" ht="22.95" customHeight="1">
      <c r="A434" t="s">
        <v>1305</v>
      </c>
      <c r="B434" t="s">
        <v>22</v>
      </c>
      <c r="C434" t="s">
        <v>370</v>
      </c>
      <c r="D434" t="s">
        <v>371</v>
      </c>
      <c r="E434" t="s">
        <v>1349</v>
      </c>
      <c r="F434">
        <v>1</v>
      </c>
      <c r="G434" t="s">
        <v>1345</v>
      </c>
      <c r="H434" t="s">
        <v>1346</v>
      </c>
      <c r="I434" t="s">
        <v>1347</v>
      </c>
      <c r="K434" t="s">
        <v>109</v>
      </c>
      <c r="L434" t="s">
        <v>1348</v>
      </c>
      <c r="M434" t="s">
        <v>73</v>
      </c>
      <c r="P434">
        <f t="shared" si="12"/>
        <v>1</v>
      </c>
      <c r="Q434" t="str">
        <f>IF(AND(P434&gt;1,COUNTIF($E$6:E434,E434)=1),MAX($Q$5:Q433)+1,"")</f>
        <v/>
      </c>
      <c r="R434" t="str">
        <f t="shared" si="13"/>
        <v/>
      </c>
    </row>
    <row r="435" spans="1:18" ht="22.95" customHeight="1">
      <c r="A435" t="s">
        <v>1305</v>
      </c>
      <c r="B435" t="s">
        <v>22</v>
      </c>
      <c r="C435" t="s">
        <v>370</v>
      </c>
      <c r="D435" t="s">
        <v>371</v>
      </c>
      <c r="E435" t="s">
        <v>1350</v>
      </c>
      <c r="F435">
        <v>1</v>
      </c>
      <c r="G435" t="s">
        <v>1345</v>
      </c>
      <c r="H435" t="s">
        <v>1346</v>
      </c>
      <c r="I435" t="s">
        <v>1347</v>
      </c>
      <c r="K435" t="s">
        <v>109</v>
      </c>
      <c r="L435" t="s">
        <v>1348</v>
      </c>
      <c r="M435" t="s">
        <v>73</v>
      </c>
      <c r="P435">
        <f t="shared" si="12"/>
        <v>1</v>
      </c>
      <c r="Q435" t="str">
        <f>IF(AND(P435&gt;1,COUNTIF($E$6:E435,E435)=1),MAX($Q$5:Q434)+1,"")</f>
        <v/>
      </c>
      <c r="R435" t="str">
        <f t="shared" si="13"/>
        <v/>
      </c>
    </row>
    <row r="436" spans="1:18" ht="22.95" customHeight="1">
      <c r="A436" t="s">
        <v>1305</v>
      </c>
      <c r="B436" t="s">
        <v>22</v>
      </c>
      <c r="C436" t="s">
        <v>370</v>
      </c>
      <c r="D436" t="s">
        <v>371</v>
      </c>
      <c r="E436" t="s">
        <v>1351</v>
      </c>
      <c r="F436">
        <v>1</v>
      </c>
      <c r="G436" t="s">
        <v>1345</v>
      </c>
      <c r="H436" t="s">
        <v>1346</v>
      </c>
      <c r="I436" t="s">
        <v>1347</v>
      </c>
      <c r="K436" t="s">
        <v>109</v>
      </c>
      <c r="L436" t="s">
        <v>1348</v>
      </c>
      <c r="M436" t="s">
        <v>73</v>
      </c>
      <c r="P436">
        <f t="shared" si="12"/>
        <v>1</v>
      </c>
      <c r="Q436" t="str">
        <f>IF(AND(P436&gt;1,COUNTIF($E$6:E436,E436)=1),MAX($Q$5:Q435)+1,"")</f>
        <v/>
      </c>
      <c r="R436" t="str">
        <f t="shared" si="13"/>
        <v/>
      </c>
    </row>
    <row r="437" spans="1:18" ht="22.95" customHeight="1">
      <c r="A437" t="s">
        <v>1305</v>
      </c>
      <c r="B437" t="s">
        <v>22</v>
      </c>
      <c r="C437" t="s">
        <v>370</v>
      </c>
      <c r="D437" t="s">
        <v>371</v>
      </c>
      <c r="E437" t="s">
        <v>1352</v>
      </c>
      <c r="F437">
        <v>1</v>
      </c>
      <c r="G437" t="s">
        <v>1345</v>
      </c>
      <c r="H437" t="s">
        <v>1346</v>
      </c>
      <c r="I437" t="s">
        <v>1353</v>
      </c>
      <c r="K437" t="s">
        <v>109</v>
      </c>
      <c r="L437" t="s">
        <v>1348</v>
      </c>
      <c r="M437" t="s">
        <v>73</v>
      </c>
      <c r="P437">
        <f t="shared" si="12"/>
        <v>1</v>
      </c>
      <c r="Q437" t="str">
        <f>IF(AND(P437&gt;1,COUNTIF($E$6:E437,E437)=1),MAX($Q$5:Q436)+1,"")</f>
        <v/>
      </c>
      <c r="R437" t="str">
        <f t="shared" si="13"/>
        <v/>
      </c>
    </row>
    <row r="438" spans="1:18" ht="22.95" customHeight="1">
      <c r="A438" t="s">
        <v>1305</v>
      </c>
      <c r="B438" t="s">
        <v>22</v>
      </c>
      <c r="C438" t="s">
        <v>370</v>
      </c>
      <c r="D438" t="s">
        <v>371</v>
      </c>
      <c r="E438" t="s">
        <v>1354</v>
      </c>
      <c r="F438">
        <v>1</v>
      </c>
      <c r="G438" t="s">
        <v>1345</v>
      </c>
      <c r="H438" t="s">
        <v>1346</v>
      </c>
      <c r="I438" t="s">
        <v>1347</v>
      </c>
      <c r="K438" t="s">
        <v>109</v>
      </c>
      <c r="L438" t="s">
        <v>1348</v>
      </c>
      <c r="M438" t="s">
        <v>73</v>
      </c>
      <c r="P438">
        <f t="shared" si="12"/>
        <v>1</v>
      </c>
      <c r="Q438" t="str">
        <f>IF(AND(P438&gt;1,COUNTIF($E$6:E438,E438)=1),MAX($Q$5:Q437)+1,"")</f>
        <v/>
      </c>
      <c r="R438" t="str">
        <f t="shared" si="13"/>
        <v/>
      </c>
    </row>
    <row r="439" spans="1:18" ht="22.95" customHeight="1">
      <c r="A439" t="s">
        <v>1305</v>
      </c>
      <c r="B439" t="s">
        <v>22</v>
      </c>
      <c r="C439" t="s">
        <v>370</v>
      </c>
      <c r="D439" t="s">
        <v>371</v>
      </c>
      <c r="E439" t="s">
        <v>1355</v>
      </c>
      <c r="F439">
        <v>1</v>
      </c>
      <c r="G439" t="s">
        <v>92</v>
      </c>
      <c r="I439" t="s">
        <v>1356</v>
      </c>
      <c r="K439" t="s">
        <v>109</v>
      </c>
      <c r="L439" t="s">
        <v>1357</v>
      </c>
      <c r="M439" t="s">
        <v>73</v>
      </c>
      <c r="P439">
        <f t="shared" si="12"/>
        <v>1</v>
      </c>
      <c r="Q439" t="str">
        <f>IF(AND(P439&gt;1,COUNTIF($E$6:E439,E439)=1),MAX($Q$5:Q438)+1,"")</f>
        <v/>
      </c>
      <c r="R439" t="str">
        <f t="shared" si="13"/>
        <v/>
      </c>
    </row>
    <row r="440" spans="1:18" ht="22.95" customHeight="1">
      <c r="A440" t="s">
        <v>1305</v>
      </c>
      <c r="B440" t="s">
        <v>22</v>
      </c>
      <c r="C440" t="s">
        <v>370</v>
      </c>
      <c r="D440" t="s">
        <v>371</v>
      </c>
      <c r="E440" t="s">
        <v>1358</v>
      </c>
      <c r="F440">
        <v>1</v>
      </c>
      <c r="G440" t="s">
        <v>1332</v>
      </c>
      <c r="H440" t="s">
        <v>1333</v>
      </c>
      <c r="I440" t="s">
        <v>1359</v>
      </c>
      <c r="K440" t="s">
        <v>109</v>
      </c>
      <c r="L440" t="s">
        <v>1360</v>
      </c>
      <c r="M440" t="s">
        <v>73</v>
      </c>
      <c r="P440">
        <f t="shared" si="12"/>
        <v>1</v>
      </c>
      <c r="Q440" t="str">
        <f>IF(AND(P440&gt;1,COUNTIF($E$6:E440,E440)=1),MAX($Q$5:Q439)+1,"")</f>
        <v/>
      </c>
      <c r="R440" t="str">
        <f t="shared" si="13"/>
        <v/>
      </c>
    </row>
    <row r="441" spans="1:18" ht="22.95" customHeight="1">
      <c r="A441" t="s">
        <v>1305</v>
      </c>
      <c r="B441" t="s">
        <v>22</v>
      </c>
      <c r="C441" t="s">
        <v>370</v>
      </c>
      <c r="D441" t="s">
        <v>371</v>
      </c>
      <c r="E441" t="s">
        <v>1361</v>
      </c>
      <c r="F441">
        <v>1</v>
      </c>
      <c r="G441" t="s">
        <v>92</v>
      </c>
      <c r="I441" t="s">
        <v>1362</v>
      </c>
      <c r="K441" t="s">
        <v>866</v>
      </c>
      <c r="L441" t="s">
        <v>1363</v>
      </c>
      <c r="M441" t="s">
        <v>73</v>
      </c>
      <c r="P441">
        <f t="shared" si="12"/>
        <v>1</v>
      </c>
      <c r="Q441" t="str">
        <f>IF(AND(P441&gt;1,COUNTIF($E$6:E441,E441)=1),MAX($Q$5:Q440)+1,"")</f>
        <v/>
      </c>
      <c r="R441" t="str">
        <f t="shared" si="13"/>
        <v/>
      </c>
    </row>
    <row r="442" spans="1:18" ht="22.95" customHeight="1">
      <c r="A442" t="s">
        <v>1305</v>
      </c>
      <c r="B442" t="s">
        <v>22</v>
      </c>
      <c r="C442" t="s">
        <v>370</v>
      </c>
      <c r="D442" t="s">
        <v>371</v>
      </c>
      <c r="E442" t="s">
        <v>1364</v>
      </c>
      <c r="F442">
        <v>1</v>
      </c>
      <c r="G442" t="s">
        <v>92</v>
      </c>
      <c r="I442" t="s">
        <v>140</v>
      </c>
      <c r="J442" t="s">
        <v>99</v>
      </c>
      <c r="L442" t="s">
        <v>1365</v>
      </c>
      <c r="M442" t="s">
        <v>73</v>
      </c>
      <c r="P442">
        <f t="shared" si="12"/>
        <v>1</v>
      </c>
      <c r="Q442" t="str">
        <f>IF(AND(P442&gt;1,COUNTIF($E$6:E442,E442)=1),MAX($Q$5:Q441)+1,"")</f>
        <v/>
      </c>
      <c r="R442" t="str">
        <f t="shared" si="13"/>
        <v/>
      </c>
    </row>
    <row r="443" spans="1:18" ht="22.95" customHeight="1">
      <c r="A443" t="s">
        <v>1305</v>
      </c>
      <c r="B443" t="s">
        <v>23</v>
      </c>
      <c r="C443" t="s">
        <v>103</v>
      </c>
      <c r="D443" t="s">
        <v>104</v>
      </c>
      <c r="E443" t="s">
        <v>1366</v>
      </c>
      <c r="F443">
        <v>1</v>
      </c>
      <c r="I443" t="s">
        <v>1367</v>
      </c>
      <c r="K443" t="s">
        <v>109</v>
      </c>
      <c r="L443" t="s">
        <v>1368</v>
      </c>
      <c r="M443" t="s">
        <v>73</v>
      </c>
      <c r="P443">
        <f t="shared" si="12"/>
        <v>1</v>
      </c>
      <c r="Q443" t="str">
        <f>IF(AND(P443&gt;1,COUNTIF($E$6:E443,E443)=1),MAX($Q$5:Q442)+1,"")</f>
        <v/>
      </c>
      <c r="R443" t="str">
        <f t="shared" si="13"/>
        <v/>
      </c>
    </row>
    <row r="444" spans="1:18" ht="22.95" customHeight="1">
      <c r="A444" t="s">
        <v>1305</v>
      </c>
      <c r="B444" t="s">
        <v>23</v>
      </c>
      <c r="C444" t="s">
        <v>103</v>
      </c>
      <c r="D444" t="s">
        <v>104</v>
      </c>
      <c r="E444" t="s">
        <v>1369</v>
      </c>
      <c r="F444">
        <v>1</v>
      </c>
      <c r="I444" t="s">
        <v>1370</v>
      </c>
      <c r="J444" t="s">
        <v>446</v>
      </c>
      <c r="K444" t="s">
        <v>1371</v>
      </c>
      <c r="L444" t="s">
        <v>1372</v>
      </c>
      <c r="M444" t="s">
        <v>102</v>
      </c>
      <c r="P444">
        <f t="shared" si="12"/>
        <v>1</v>
      </c>
      <c r="Q444" t="str">
        <f>IF(AND(P444&gt;1,COUNTIF($E$6:E444,E444)=1),MAX($Q$5:Q443)+1,"")</f>
        <v/>
      </c>
      <c r="R444" t="str">
        <f t="shared" si="13"/>
        <v/>
      </c>
    </row>
    <row r="445" spans="1:18" ht="22.95" customHeight="1">
      <c r="A445" t="s">
        <v>1305</v>
      </c>
      <c r="B445" t="s">
        <v>25</v>
      </c>
      <c r="C445" t="s">
        <v>115</v>
      </c>
      <c r="D445" t="s">
        <v>116</v>
      </c>
      <c r="E445" t="s">
        <v>1373</v>
      </c>
      <c r="F445">
        <v>1</v>
      </c>
      <c r="G445" t="s">
        <v>411</v>
      </c>
      <c r="H445" t="s">
        <v>409</v>
      </c>
      <c r="I445" t="s">
        <v>1374</v>
      </c>
      <c r="K445" t="s">
        <v>109</v>
      </c>
      <c r="L445" t="s">
        <v>1375</v>
      </c>
      <c r="M445" t="s">
        <v>73</v>
      </c>
      <c r="P445">
        <f t="shared" si="12"/>
        <v>1</v>
      </c>
      <c r="Q445" t="str">
        <f>IF(AND(P445&gt;1,COUNTIF($E$6:E445,E445)=1),MAX($Q$5:Q444)+1,"")</f>
        <v/>
      </c>
      <c r="R445" t="str">
        <f t="shared" si="13"/>
        <v/>
      </c>
    </row>
    <row r="446" spans="1:18" ht="22.95" customHeight="1">
      <c r="A446" t="s">
        <v>1305</v>
      </c>
      <c r="B446" t="s">
        <v>25</v>
      </c>
      <c r="C446" t="s">
        <v>115</v>
      </c>
      <c r="D446" t="s">
        <v>116</v>
      </c>
      <c r="E446" t="s">
        <v>1376</v>
      </c>
      <c r="F446">
        <v>1</v>
      </c>
      <c r="G446" t="s">
        <v>411</v>
      </c>
      <c r="H446" t="s">
        <v>409</v>
      </c>
      <c r="I446" t="s">
        <v>1377</v>
      </c>
      <c r="K446" t="s">
        <v>109</v>
      </c>
      <c r="L446" t="s">
        <v>1378</v>
      </c>
      <c r="M446" t="s">
        <v>73</v>
      </c>
      <c r="P446">
        <f t="shared" si="12"/>
        <v>1</v>
      </c>
      <c r="Q446" t="str">
        <f>IF(AND(P446&gt;1,COUNTIF($E$6:E446,E446)=1),MAX($Q$5:Q445)+1,"")</f>
        <v/>
      </c>
      <c r="R446" t="str">
        <f t="shared" si="13"/>
        <v/>
      </c>
    </row>
    <row r="447" spans="1:18" ht="22.95" customHeight="1">
      <c r="A447" t="s">
        <v>1305</v>
      </c>
      <c r="B447" t="s">
        <v>25</v>
      </c>
      <c r="C447" t="s">
        <v>115</v>
      </c>
      <c r="D447" t="s">
        <v>116</v>
      </c>
      <c r="E447" t="s">
        <v>1379</v>
      </c>
      <c r="F447">
        <v>1</v>
      </c>
      <c r="G447" t="s">
        <v>411</v>
      </c>
      <c r="H447" t="s">
        <v>409</v>
      </c>
      <c r="I447" t="s">
        <v>1380</v>
      </c>
      <c r="K447" t="s">
        <v>109</v>
      </c>
      <c r="L447" t="s">
        <v>1381</v>
      </c>
      <c r="M447" t="s">
        <v>73</v>
      </c>
      <c r="P447">
        <f t="shared" si="12"/>
        <v>1</v>
      </c>
      <c r="Q447" t="str">
        <f>IF(AND(P447&gt;1,COUNTIF($E$6:E447,E447)=1),MAX($Q$5:Q446)+1,"")</f>
        <v/>
      </c>
      <c r="R447" t="str">
        <f t="shared" si="13"/>
        <v/>
      </c>
    </row>
    <row r="448" spans="1:18" ht="22.95" customHeight="1">
      <c r="A448" t="s">
        <v>1305</v>
      </c>
      <c r="B448" t="s">
        <v>25</v>
      </c>
      <c r="C448" t="s">
        <v>115</v>
      </c>
      <c r="D448" t="s">
        <v>116</v>
      </c>
      <c r="E448" t="s">
        <v>1382</v>
      </c>
      <c r="F448">
        <v>1</v>
      </c>
      <c r="G448" t="s">
        <v>411</v>
      </c>
      <c r="H448" t="s">
        <v>409</v>
      </c>
      <c r="I448" t="s">
        <v>1383</v>
      </c>
      <c r="K448" t="s">
        <v>109</v>
      </c>
      <c r="L448" t="s">
        <v>1384</v>
      </c>
      <c r="M448" t="s">
        <v>73</v>
      </c>
      <c r="P448">
        <f t="shared" si="12"/>
        <v>1</v>
      </c>
      <c r="Q448" t="str">
        <f>IF(AND(P448&gt;1,COUNTIF($E$6:E448,E448)=1),MAX($Q$5:Q447)+1,"")</f>
        <v/>
      </c>
      <c r="R448" t="str">
        <f t="shared" si="13"/>
        <v/>
      </c>
    </row>
    <row r="449" spans="1:18" ht="22.95" customHeight="1">
      <c r="A449" t="s">
        <v>1305</v>
      </c>
      <c r="B449" t="s">
        <v>25</v>
      </c>
      <c r="C449" t="s">
        <v>115</v>
      </c>
      <c r="D449" t="s">
        <v>116</v>
      </c>
      <c r="E449" t="s">
        <v>1385</v>
      </c>
      <c r="F449">
        <v>1</v>
      </c>
      <c r="G449" t="s">
        <v>411</v>
      </c>
      <c r="H449" t="s">
        <v>409</v>
      </c>
      <c r="I449" t="s">
        <v>1386</v>
      </c>
      <c r="K449" t="s">
        <v>109</v>
      </c>
      <c r="L449" t="s">
        <v>1387</v>
      </c>
      <c r="M449" t="s">
        <v>73</v>
      </c>
      <c r="P449">
        <f t="shared" si="12"/>
        <v>1</v>
      </c>
      <c r="Q449" t="str">
        <f>IF(AND(P449&gt;1,COUNTIF($E$6:E449,E449)=1),MAX($Q$5:Q448)+1,"")</f>
        <v/>
      </c>
      <c r="R449" t="str">
        <f t="shared" si="13"/>
        <v/>
      </c>
    </row>
    <row r="450" spans="1:18" ht="22.95" customHeight="1">
      <c r="A450" t="s">
        <v>1305</v>
      </c>
      <c r="B450" t="s">
        <v>25</v>
      </c>
      <c r="C450" t="s">
        <v>115</v>
      </c>
      <c r="D450" t="s">
        <v>116</v>
      </c>
      <c r="E450" t="s">
        <v>1388</v>
      </c>
      <c r="F450">
        <v>1</v>
      </c>
      <c r="G450" t="s">
        <v>92</v>
      </c>
      <c r="I450" t="s">
        <v>1389</v>
      </c>
      <c r="K450" t="s">
        <v>109</v>
      </c>
      <c r="L450" t="s">
        <v>1390</v>
      </c>
      <c r="M450" t="s">
        <v>102</v>
      </c>
      <c r="P450">
        <f t="shared" si="12"/>
        <v>1</v>
      </c>
      <c r="Q450" t="str">
        <f>IF(AND(P450&gt;1,COUNTIF($E$6:E450,E450)=1),MAX($Q$5:Q449)+1,"")</f>
        <v/>
      </c>
      <c r="R450" t="str">
        <f t="shared" si="13"/>
        <v/>
      </c>
    </row>
    <row r="451" spans="1:18" ht="22.95" customHeight="1">
      <c r="A451" t="s">
        <v>1305</v>
      </c>
      <c r="B451" t="s">
        <v>25</v>
      </c>
      <c r="C451" t="s">
        <v>115</v>
      </c>
      <c r="D451" t="s">
        <v>116</v>
      </c>
      <c r="E451" t="s">
        <v>1391</v>
      </c>
      <c r="F451">
        <v>1</v>
      </c>
      <c r="G451" t="s">
        <v>92</v>
      </c>
      <c r="I451" t="s">
        <v>1392</v>
      </c>
      <c r="K451" t="s">
        <v>109</v>
      </c>
      <c r="L451" t="s">
        <v>1390</v>
      </c>
      <c r="M451" t="s">
        <v>102</v>
      </c>
      <c r="P451">
        <f t="shared" si="12"/>
        <v>1</v>
      </c>
      <c r="Q451" t="str">
        <f>IF(AND(P451&gt;1,COUNTIF($E$6:E451,E451)=1),MAX($Q$5:Q450)+1,"")</f>
        <v/>
      </c>
      <c r="R451" t="str">
        <f t="shared" si="13"/>
        <v/>
      </c>
    </row>
    <row r="452" spans="1:18" ht="22.95" customHeight="1">
      <c r="A452" t="s">
        <v>1305</v>
      </c>
      <c r="B452" t="s">
        <v>25</v>
      </c>
      <c r="C452" t="s">
        <v>115</v>
      </c>
      <c r="D452" t="s">
        <v>116</v>
      </c>
      <c r="E452" t="s">
        <v>1393</v>
      </c>
      <c r="F452">
        <v>1</v>
      </c>
      <c r="G452" t="s">
        <v>92</v>
      </c>
      <c r="I452" t="s">
        <v>1394</v>
      </c>
      <c r="K452" t="s">
        <v>109</v>
      </c>
      <c r="L452" t="s">
        <v>1390</v>
      </c>
      <c r="M452" t="s">
        <v>102</v>
      </c>
      <c r="P452">
        <f t="shared" si="12"/>
        <v>1</v>
      </c>
      <c r="Q452" t="str">
        <f>IF(AND(P452&gt;1,COUNTIF($E$6:E452,E452)=1),MAX($Q$5:Q451)+1,"")</f>
        <v/>
      </c>
      <c r="R452" t="str">
        <f t="shared" si="13"/>
        <v/>
      </c>
    </row>
    <row r="453" spans="1:18" ht="22.95" customHeight="1">
      <c r="A453" t="s">
        <v>1305</v>
      </c>
      <c r="B453" t="s">
        <v>24</v>
      </c>
      <c r="C453" t="s">
        <v>426</v>
      </c>
      <c r="D453" t="s">
        <v>427</v>
      </c>
      <c r="E453" t="s">
        <v>1395</v>
      </c>
      <c r="F453">
        <v>1</v>
      </c>
      <c r="G453" t="s">
        <v>1396</v>
      </c>
      <c r="H453" t="s">
        <v>1397</v>
      </c>
      <c r="I453" t="s">
        <v>733</v>
      </c>
      <c r="K453" t="s">
        <v>1398</v>
      </c>
      <c r="L453" t="s">
        <v>1399</v>
      </c>
      <c r="M453" t="s">
        <v>62</v>
      </c>
      <c r="N453" t="s">
        <v>130</v>
      </c>
      <c r="P453">
        <f t="shared" si="12"/>
        <v>1</v>
      </c>
      <c r="Q453" t="str">
        <f>IF(AND(P453&gt;1,COUNTIF($E$6:E453,E453)=1),MAX($Q$5:Q452)+1,"")</f>
        <v/>
      </c>
      <c r="R453" t="str">
        <f t="shared" si="13"/>
        <v/>
      </c>
    </row>
    <row r="454" spans="1:18" ht="22.95" customHeight="1">
      <c r="A454" t="s">
        <v>1305</v>
      </c>
      <c r="B454" t="s">
        <v>24</v>
      </c>
      <c r="C454" t="s">
        <v>426</v>
      </c>
      <c r="D454" t="s">
        <v>427</v>
      </c>
      <c r="E454" t="s">
        <v>1400</v>
      </c>
      <c r="F454">
        <v>1</v>
      </c>
      <c r="G454" t="s">
        <v>1396</v>
      </c>
      <c r="H454" t="s">
        <v>1397</v>
      </c>
      <c r="I454" t="s">
        <v>733</v>
      </c>
      <c r="K454" t="s">
        <v>1398</v>
      </c>
      <c r="L454" t="s">
        <v>1401</v>
      </c>
      <c r="M454" t="s">
        <v>62</v>
      </c>
      <c r="N454" t="s">
        <v>712</v>
      </c>
      <c r="P454">
        <f t="shared" ref="P454:P517" si="14">COUNTIF($E$6:$E$1740,E454)</f>
        <v>1</v>
      </c>
      <c r="Q454" t="str">
        <f>IF(AND(P454&gt;1,COUNTIF($E$6:E454,E454)=1),MAX($Q$5:Q453)+1,"")</f>
        <v/>
      </c>
      <c r="R454" t="str">
        <f t="shared" ref="R454:R517" si="15">IF(Q454="","",IF(COUNTIFS($E$6:$E$1740,E454,$A$6:$A$1740,A454,$C$6:$C$1740,C454)&lt;P454,"LÉGITIME",IF(COUNTIFS($E$6:$E$1740,E454,$A$6:$A$1740,A454,$C$6:$C$1740,C454,$M$6:$M$1740,M454)&lt;P454,"STATUT DIFFÉRENT","VRAI DOUBLON")))</f>
        <v/>
      </c>
    </row>
    <row r="455" spans="1:18" ht="22.95" customHeight="1">
      <c r="A455" t="s">
        <v>1305</v>
      </c>
      <c r="B455" t="s">
        <v>24</v>
      </c>
      <c r="C455" t="s">
        <v>426</v>
      </c>
      <c r="D455" t="s">
        <v>427</v>
      </c>
      <c r="E455" t="s">
        <v>1402</v>
      </c>
      <c r="F455">
        <v>1</v>
      </c>
      <c r="G455" t="s">
        <v>1396</v>
      </c>
      <c r="H455" t="s">
        <v>1397</v>
      </c>
      <c r="I455" t="s">
        <v>733</v>
      </c>
      <c r="K455" t="s">
        <v>1398</v>
      </c>
      <c r="L455" t="s">
        <v>1403</v>
      </c>
      <c r="M455" t="s">
        <v>62</v>
      </c>
      <c r="N455" t="s">
        <v>712</v>
      </c>
      <c r="P455">
        <f t="shared" si="14"/>
        <v>1</v>
      </c>
      <c r="Q455" t="str">
        <f>IF(AND(P455&gt;1,COUNTIF($E$6:E455,E455)=1),MAX($Q$5:Q454)+1,"")</f>
        <v/>
      </c>
      <c r="R455" t="str">
        <f t="shared" si="15"/>
        <v/>
      </c>
    </row>
    <row r="456" spans="1:18" ht="22.95" customHeight="1">
      <c r="A456" t="s">
        <v>1305</v>
      </c>
      <c r="B456" t="s">
        <v>24</v>
      </c>
      <c r="C456" t="s">
        <v>426</v>
      </c>
      <c r="D456" t="s">
        <v>427</v>
      </c>
      <c r="E456" t="s">
        <v>1404</v>
      </c>
      <c r="F456">
        <v>1</v>
      </c>
      <c r="G456" t="s">
        <v>92</v>
      </c>
      <c r="I456" t="s">
        <v>1405</v>
      </c>
      <c r="J456" t="s">
        <v>446</v>
      </c>
      <c r="K456" t="s">
        <v>109</v>
      </c>
      <c r="L456" t="s">
        <v>1406</v>
      </c>
      <c r="M456" t="s">
        <v>102</v>
      </c>
      <c r="P456">
        <f t="shared" si="14"/>
        <v>1</v>
      </c>
      <c r="Q456" t="str">
        <f>IF(AND(P456&gt;1,COUNTIF($E$6:E456,E456)=1),MAX($Q$5:Q455)+1,"")</f>
        <v/>
      </c>
      <c r="R456" t="str">
        <f t="shared" si="15"/>
        <v/>
      </c>
    </row>
    <row r="457" spans="1:18" ht="22.95" customHeight="1">
      <c r="A457" t="s">
        <v>1305</v>
      </c>
      <c r="B457" t="s">
        <v>24</v>
      </c>
      <c r="C457" t="s">
        <v>436</v>
      </c>
      <c r="D457" t="s">
        <v>437</v>
      </c>
      <c r="E457" t="s">
        <v>1407</v>
      </c>
      <c r="F457">
        <v>1</v>
      </c>
      <c r="G457" t="s">
        <v>58</v>
      </c>
      <c r="I457" t="s">
        <v>1408</v>
      </c>
      <c r="K457" t="s">
        <v>1409</v>
      </c>
      <c r="L457" t="s">
        <v>1410</v>
      </c>
      <c r="M457" t="s">
        <v>102</v>
      </c>
      <c r="P457">
        <f t="shared" si="14"/>
        <v>1</v>
      </c>
      <c r="Q457" t="str">
        <f>IF(AND(P457&gt;1,COUNTIF($E$6:E457,E457)=1),MAX($Q$5:Q456)+1,"")</f>
        <v/>
      </c>
      <c r="R457" t="str">
        <f t="shared" si="15"/>
        <v/>
      </c>
    </row>
    <row r="458" spans="1:18" ht="22.95" customHeight="1">
      <c r="A458" t="s">
        <v>1305</v>
      </c>
      <c r="B458" t="s">
        <v>24</v>
      </c>
      <c r="C458" t="s">
        <v>136</v>
      </c>
      <c r="D458" t="s">
        <v>674</v>
      </c>
      <c r="E458" t="s">
        <v>1411</v>
      </c>
      <c r="F458">
        <v>1</v>
      </c>
      <c r="G458" t="s">
        <v>92</v>
      </c>
      <c r="I458" t="s">
        <v>140</v>
      </c>
      <c r="J458" t="s">
        <v>99</v>
      </c>
      <c r="K458" t="s">
        <v>109</v>
      </c>
      <c r="L458" t="s">
        <v>1412</v>
      </c>
      <c r="M458" t="s">
        <v>102</v>
      </c>
      <c r="P458">
        <f t="shared" si="14"/>
        <v>1</v>
      </c>
      <c r="Q458" t="str">
        <f>IF(AND(P458&gt;1,COUNTIF($E$6:E458,E458)=1),MAX($Q$5:Q457)+1,"")</f>
        <v/>
      </c>
      <c r="R458" t="str">
        <f t="shared" si="15"/>
        <v/>
      </c>
    </row>
    <row r="459" spans="1:18" ht="22.95" customHeight="1">
      <c r="A459" t="s">
        <v>1305</v>
      </c>
      <c r="B459" t="s">
        <v>24</v>
      </c>
      <c r="C459" t="s">
        <v>443</v>
      </c>
      <c r="D459" t="s">
        <v>444</v>
      </c>
      <c r="E459" t="s">
        <v>1413</v>
      </c>
      <c r="F459">
        <v>1</v>
      </c>
      <c r="G459" t="s">
        <v>139</v>
      </c>
      <c r="I459" t="s">
        <v>140</v>
      </c>
      <c r="K459" t="s">
        <v>1414</v>
      </c>
      <c r="L459" t="s">
        <v>1415</v>
      </c>
      <c r="M459" t="s">
        <v>62</v>
      </c>
      <c r="N459" t="s">
        <v>63</v>
      </c>
      <c r="P459">
        <f t="shared" si="14"/>
        <v>1</v>
      </c>
      <c r="Q459" t="str">
        <f>IF(AND(P459&gt;1,COUNTIF($E$6:E459,E459)=1),MAX($Q$5:Q458)+1,"")</f>
        <v/>
      </c>
      <c r="R459" t="str">
        <f t="shared" si="15"/>
        <v/>
      </c>
    </row>
    <row r="460" spans="1:18" ht="22.95" customHeight="1">
      <c r="A460" t="s">
        <v>1305</v>
      </c>
      <c r="B460" t="s">
        <v>28</v>
      </c>
      <c r="C460" t="s">
        <v>167</v>
      </c>
      <c r="D460" t="s">
        <v>168</v>
      </c>
      <c r="E460" t="s">
        <v>1416</v>
      </c>
      <c r="F460">
        <v>1</v>
      </c>
      <c r="G460" t="s">
        <v>1066</v>
      </c>
      <c r="H460" t="s">
        <v>694</v>
      </c>
      <c r="I460" t="s">
        <v>406</v>
      </c>
      <c r="K460" t="s">
        <v>1417</v>
      </c>
      <c r="L460" t="s">
        <v>1418</v>
      </c>
      <c r="M460" t="s">
        <v>62</v>
      </c>
      <c r="N460" t="s">
        <v>130</v>
      </c>
      <c r="P460">
        <f t="shared" si="14"/>
        <v>1</v>
      </c>
      <c r="Q460" t="str">
        <f>IF(AND(P460&gt;1,COUNTIF($E$6:E460,E460)=1),MAX($Q$5:Q459)+1,"")</f>
        <v/>
      </c>
      <c r="R460" t="str">
        <f t="shared" si="15"/>
        <v/>
      </c>
    </row>
    <row r="461" spans="1:18" ht="22.95" customHeight="1">
      <c r="A461" t="s">
        <v>1305</v>
      </c>
      <c r="B461" t="s">
        <v>30</v>
      </c>
      <c r="C461" t="s">
        <v>180</v>
      </c>
      <c r="D461" t="s">
        <v>1419</v>
      </c>
      <c r="E461" t="s">
        <v>1420</v>
      </c>
      <c r="F461">
        <v>1</v>
      </c>
      <c r="G461" t="s">
        <v>659</v>
      </c>
      <c r="H461" t="s">
        <v>1421</v>
      </c>
      <c r="I461" t="s">
        <v>1422</v>
      </c>
      <c r="K461" t="s">
        <v>1423</v>
      </c>
      <c r="L461" t="s">
        <v>1424</v>
      </c>
      <c r="M461" t="s">
        <v>73</v>
      </c>
      <c r="P461">
        <f t="shared" si="14"/>
        <v>1</v>
      </c>
      <c r="Q461" t="str">
        <f>IF(AND(P461&gt;1,COUNTIF($E$6:E461,E461)=1),MAX($Q$5:Q460)+1,"")</f>
        <v/>
      </c>
      <c r="R461" t="str">
        <f t="shared" si="15"/>
        <v/>
      </c>
    </row>
    <row r="462" spans="1:18" ht="22.95" customHeight="1">
      <c r="A462" t="s">
        <v>1305</v>
      </c>
      <c r="B462" t="s">
        <v>30</v>
      </c>
      <c r="C462" t="s">
        <v>180</v>
      </c>
      <c r="D462" t="s">
        <v>1419</v>
      </c>
      <c r="E462" t="s">
        <v>1425</v>
      </c>
      <c r="F462">
        <v>1</v>
      </c>
      <c r="G462" t="s">
        <v>659</v>
      </c>
      <c r="H462" t="s">
        <v>1421</v>
      </c>
      <c r="I462" t="s">
        <v>1422</v>
      </c>
      <c r="K462" t="s">
        <v>1423</v>
      </c>
      <c r="L462" t="s">
        <v>1424</v>
      </c>
      <c r="M462" t="s">
        <v>73</v>
      </c>
      <c r="P462">
        <f t="shared" si="14"/>
        <v>1</v>
      </c>
      <c r="Q462" t="str">
        <f>IF(AND(P462&gt;1,COUNTIF($E$6:E462,E462)=1),MAX($Q$5:Q461)+1,"")</f>
        <v/>
      </c>
      <c r="R462" t="str">
        <f t="shared" si="15"/>
        <v/>
      </c>
    </row>
    <row r="463" spans="1:18" ht="22.95" customHeight="1">
      <c r="A463" t="s">
        <v>1305</v>
      </c>
      <c r="B463" t="s">
        <v>30</v>
      </c>
      <c r="C463" t="s">
        <v>180</v>
      </c>
      <c r="D463" t="s">
        <v>1419</v>
      </c>
      <c r="E463" t="s">
        <v>1426</v>
      </c>
      <c r="F463">
        <v>1</v>
      </c>
      <c r="G463" t="s">
        <v>659</v>
      </c>
      <c r="H463" t="s">
        <v>1421</v>
      </c>
      <c r="I463" t="s">
        <v>1422</v>
      </c>
      <c r="K463" t="s">
        <v>1423</v>
      </c>
      <c r="L463" t="s">
        <v>1424</v>
      </c>
      <c r="M463" t="s">
        <v>73</v>
      </c>
      <c r="P463">
        <f t="shared" si="14"/>
        <v>1</v>
      </c>
      <c r="Q463" t="str">
        <f>IF(AND(P463&gt;1,COUNTIF($E$6:E463,E463)=1),MAX($Q$5:Q462)+1,"")</f>
        <v/>
      </c>
      <c r="R463" t="str">
        <f t="shared" si="15"/>
        <v/>
      </c>
    </row>
    <row r="464" spans="1:18" ht="22.95" customHeight="1">
      <c r="A464" t="s">
        <v>1305</v>
      </c>
      <c r="B464" t="s">
        <v>30</v>
      </c>
      <c r="C464" t="s">
        <v>180</v>
      </c>
      <c r="D464" t="s">
        <v>1419</v>
      </c>
      <c r="E464" t="s">
        <v>1427</v>
      </c>
      <c r="F464">
        <v>1</v>
      </c>
      <c r="G464" t="s">
        <v>702</v>
      </c>
      <c r="H464" t="s">
        <v>944</v>
      </c>
      <c r="I464" t="s">
        <v>1422</v>
      </c>
      <c r="K464" t="s">
        <v>1423</v>
      </c>
      <c r="L464" t="s">
        <v>1424</v>
      </c>
      <c r="M464" t="s">
        <v>73</v>
      </c>
      <c r="P464">
        <f t="shared" si="14"/>
        <v>1</v>
      </c>
      <c r="Q464" t="str">
        <f>IF(AND(P464&gt;1,COUNTIF($E$6:E464,E464)=1),MAX($Q$5:Q463)+1,"")</f>
        <v/>
      </c>
      <c r="R464" t="str">
        <f t="shared" si="15"/>
        <v/>
      </c>
    </row>
    <row r="465" spans="1:18" ht="22.95" customHeight="1">
      <c r="A465" t="s">
        <v>1305</v>
      </c>
      <c r="B465" t="s">
        <v>30</v>
      </c>
      <c r="C465" t="s">
        <v>180</v>
      </c>
      <c r="D465" t="s">
        <v>1419</v>
      </c>
      <c r="E465" t="s">
        <v>1428</v>
      </c>
      <c r="F465">
        <v>1</v>
      </c>
      <c r="G465" t="s">
        <v>702</v>
      </c>
      <c r="H465" t="s">
        <v>944</v>
      </c>
      <c r="I465" t="s">
        <v>1422</v>
      </c>
      <c r="K465" t="s">
        <v>1423</v>
      </c>
      <c r="L465" t="s">
        <v>1424</v>
      </c>
      <c r="M465" t="s">
        <v>73</v>
      </c>
      <c r="P465">
        <f t="shared" si="14"/>
        <v>1</v>
      </c>
      <c r="Q465" t="str">
        <f>IF(AND(P465&gt;1,COUNTIF($E$6:E465,E465)=1),MAX($Q$5:Q464)+1,"")</f>
        <v/>
      </c>
      <c r="R465" t="str">
        <f t="shared" si="15"/>
        <v/>
      </c>
    </row>
    <row r="466" spans="1:18" ht="22.95" customHeight="1">
      <c r="A466" t="s">
        <v>1305</v>
      </c>
      <c r="B466" t="s">
        <v>30</v>
      </c>
      <c r="C466" t="s">
        <v>180</v>
      </c>
      <c r="D466" t="s">
        <v>1419</v>
      </c>
      <c r="E466" t="s">
        <v>1429</v>
      </c>
      <c r="F466">
        <v>1</v>
      </c>
      <c r="G466" t="s">
        <v>702</v>
      </c>
      <c r="H466" t="s">
        <v>944</v>
      </c>
      <c r="I466" t="s">
        <v>1422</v>
      </c>
      <c r="K466" t="s">
        <v>1423</v>
      </c>
      <c r="L466" t="s">
        <v>1424</v>
      </c>
      <c r="M466" t="s">
        <v>73</v>
      </c>
      <c r="P466">
        <f t="shared" si="14"/>
        <v>1</v>
      </c>
      <c r="Q466" t="str">
        <f>IF(AND(P466&gt;1,COUNTIF($E$6:E466,E466)=1),MAX($Q$5:Q465)+1,"")</f>
        <v/>
      </c>
      <c r="R466" t="str">
        <f t="shared" si="15"/>
        <v/>
      </c>
    </row>
    <row r="467" spans="1:18" ht="22.95" customHeight="1">
      <c r="A467" t="s">
        <v>1305</v>
      </c>
      <c r="B467" t="s">
        <v>30</v>
      </c>
      <c r="C467" t="s">
        <v>188</v>
      </c>
      <c r="D467" t="s">
        <v>189</v>
      </c>
      <c r="E467" t="s">
        <v>1430</v>
      </c>
      <c r="F467">
        <v>1</v>
      </c>
      <c r="G467" t="s">
        <v>1431</v>
      </c>
      <c r="H467" t="s">
        <v>1421</v>
      </c>
      <c r="I467" t="s">
        <v>1432</v>
      </c>
      <c r="J467" t="s">
        <v>245</v>
      </c>
      <c r="K467" t="s">
        <v>1433</v>
      </c>
      <c r="L467" t="s">
        <v>1434</v>
      </c>
      <c r="M467" t="s">
        <v>62</v>
      </c>
      <c r="N467" t="s">
        <v>1435</v>
      </c>
      <c r="P467">
        <f t="shared" si="14"/>
        <v>1</v>
      </c>
      <c r="Q467" t="str">
        <f>IF(AND(P467&gt;1,COUNTIF($E$6:E467,E467)=1),MAX($Q$5:Q466)+1,"")</f>
        <v/>
      </c>
      <c r="R467" t="str">
        <f t="shared" si="15"/>
        <v/>
      </c>
    </row>
    <row r="468" spans="1:18" ht="22.95" customHeight="1">
      <c r="A468" t="s">
        <v>1305</v>
      </c>
      <c r="B468" t="s">
        <v>30</v>
      </c>
      <c r="C468" t="s">
        <v>188</v>
      </c>
      <c r="D468" t="s">
        <v>189</v>
      </c>
      <c r="E468" t="s">
        <v>1436</v>
      </c>
      <c r="F468">
        <v>1</v>
      </c>
      <c r="G468" t="s">
        <v>1431</v>
      </c>
      <c r="H468" t="s">
        <v>1421</v>
      </c>
      <c r="I468" t="s">
        <v>1437</v>
      </c>
      <c r="J468" t="s">
        <v>245</v>
      </c>
      <c r="K468" t="s">
        <v>109</v>
      </c>
      <c r="L468" t="s">
        <v>1438</v>
      </c>
      <c r="M468" t="s">
        <v>102</v>
      </c>
      <c r="P468">
        <f t="shared" si="14"/>
        <v>1</v>
      </c>
      <c r="Q468" t="str">
        <f>IF(AND(P468&gt;1,COUNTIF($E$6:E468,E468)=1),MAX($Q$5:Q467)+1,"")</f>
        <v/>
      </c>
      <c r="R468" t="str">
        <f t="shared" si="15"/>
        <v/>
      </c>
    </row>
    <row r="469" spans="1:18" ht="22.95" customHeight="1">
      <c r="A469" t="s">
        <v>1305</v>
      </c>
      <c r="B469" t="s">
        <v>30</v>
      </c>
      <c r="C469" t="s">
        <v>188</v>
      </c>
      <c r="D469" t="s">
        <v>189</v>
      </c>
      <c r="E469" t="s">
        <v>1439</v>
      </c>
      <c r="F469">
        <v>1</v>
      </c>
      <c r="G469" t="s">
        <v>1431</v>
      </c>
      <c r="H469" t="s">
        <v>1421</v>
      </c>
      <c r="I469" t="s">
        <v>1440</v>
      </c>
      <c r="J469" t="s">
        <v>245</v>
      </c>
      <c r="K469" t="s">
        <v>109</v>
      </c>
      <c r="L469" t="s">
        <v>1441</v>
      </c>
      <c r="M469" t="s">
        <v>62</v>
      </c>
      <c r="N469" t="s">
        <v>1435</v>
      </c>
      <c r="P469">
        <f t="shared" si="14"/>
        <v>1</v>
      </c>
      <c r="Q469" t="str">
        <f>IF(AND(P469&gt;1,COUNTIF($E$6:E469,E469)=1),MAX($Q$5:Q468)+1,"")</f>
        <v/>
      </c>
      <c r="R469" t="str">
        <f t="shared" si="15"/>
        <v/>
      </c>
    </row>
    <row r="470" spans="1:18" ht="22.95" customHeight="1">
      <c r="A470" t="s">
        <v>1305</v>
      </c>
      <c r="B470" t="s">
        <v>30</v>
      </c>
      <c r="C470" t="s">
        <v>188</v>
      </c>
      <c r="D470" t="s">
        <v>189</v>
      </c>
      <c r="E470" t="s">
        <v>1442</v>
      </c>
      <c r="F470">
        <v>1</v>
      </c>
      <c r="G470" t="s">
        <v>1236</v>
      </c>
      <c r="H470" t="s">
        <v>1443</v>
      </c>
      <c r="I470" t="s">
        <v>1444</v>
      </c>
      <c r="K470" t="s">
        <v>1445</v>
      </c>
      <c r="L470" t="s">
        <v>1446</v>
      </c>
      <c r="M470" t="s">
        <v>102</v>
      </c>
      <c r="P470">
        <f t="shared" si="14"/>
        <v>1</v>
      </c>
      <c r="Q470" t="str">
        <f>IF(AND(P470&gt;1,COUNTIF($E$6:E470,E470)=1),MAX($Q$5:Q469)+1,"")</f>
        <v/>
      </c>
      <c r="R470" t="str">
        <f t="shared" si="15"/>
        <v/>
      </c>
    </row>
    <row r="471" spans="1:18" ht="22.95" customHeight="1">
      <c r="A471" t="s">
        <v>1305</v>
      </c>
      <c r="B471" t="s">
        <v>26</v>
      </c>
      <c r="C471" t="s">
        <v>196</v>
      </c>
      <c r="D471" t="s">
        <v>197</v>
      </c>
      <c r="E471" t="s">
        <v>1447</v>
      </c>
      <c r="F471">
        <v>1</v>
      </c>
      <c r="G471" t="s">
        <v>1448</v>
      </c>
      <c r="H471" t="s">
        <v>1449</v>
      </c>
      <c r="I471" t="s">
        <v>1450</v>
      </c>
      <c r="K471" t="s">
        <v>406</v>
      </c>
      <c r="L471" t="s">
        <v>1451</v>
      </c>
      <c r="M471" t="s">
        <v>73</v>
      </c>
      <c r="P471">
        <f t="shared" si="14"/>
        <v>1</v>
      </c>
      <c r="Q471" t="str">
        <f>IF(AND(P471&gt;1,COUNTIF($E$6:E471,E471)=1),MAX($Q$5:Q470)+1,"")</f>
        <v/>
      </c>
      <c r="R471" t="str">
        <f t="shared" si="15"/>
        <v/>
      </c>
    </row>
    <row r="472" spans="1:18" ht="22.95" customHeight="1">
      <c r="A472" t="s">
        <v>1305</v>
      </c>
      <c r="B472" t="s">
        <v>26</v>
      </c>
      <c r="C472" t="s">
        <v>196</v>
      </c>
      <c r="D472" t="s">
        <v>197</v>
      </c>
      <c r="E472" t="s">
        <v>1452</v>
      </c>
      <c r="F472">
        <v>1</v>
      </c>
      <c r="G472" t="s">
        <v>1448</v>
      </c>
      <c r="H472" t="s">
        <v>1449</v>
      </c>
      <c r="I472" t="s">
        <v>1450</v>
      </c>
      <c r="K472" t="s">
        <v>406</v>
      </c>
      <c r="L472" t="s">
        <v>1451</v>
      </c>
      <c r="M472" t="s">
        <v>73</v>
      </c>
      <c r="P472">
        <f t="shared" si="14"/>
        <v>1</v>
      </c>
      <c r="Q472" t="str">
        <f>IF(AND(P472&gt;1,COUNTIF($E$6:E472,E472)=1),MAX($Q$5:Q471)+1,"")</f>
        <v/>
      </c>
      <c r="R472" t="str">
        <f t="shared" si="15"/>
        <v/>
      </c>
    </row>
    <row r="473" spans="1:18" ht="22.95" customHeight="1">
      <c r="A473" t="s">
        <v>1305</v>
      </c>
      <c r="B473" t="s">
        <v>26</v>
      </c>
      <c r="C473" t="s">
        <v>196</v>
      </c>
      <c r="D473" t="s">
        <v>197</v>
      </c>
      <c r="E473" t="s">
        <v>1453</v>
      </c>
      <c r="F473">
        <v>1</v>
      </c>
      <c r="G473" t="s">
        <v>92</v>
      </c>
      <c r="I473" t="s">
        <v>1454</v>
      </c>
      <c r="K473" t="s">
        <v>1455</v>
      </c>
      <c r="L473" t="s">
        <v>1456</v>
      </c>
      <c r="M473" t="s">
        <v>62</v>
      </c>
      <c r="N473" t="s">
        <v>187</v>
      </c>
      <c r="P473">
        <f t="shared" si="14"/>
        <v>1</v>
      </c>
      <c r="Q473" t="str">
        <f>IF(AND(P473&gt;1,COUNTIF($E$6:E473,E473)=1),MAX($Q$5:Q472)+1,"")</f>
        <v/>
      </c>
      <c r="R473" t="str">
        <f t="shared" si="15"/>
        <v/>
      </c>
    </row>
    <row r="474" spans="1:18" ht="22.95" customHeight="1">
      <c r="A474" t="s">
        <v>1305</v>
      </c>
      <c r="B474" t="s">
        <v>26</v>
      </c>
      <c r="C474" t="s">
        <v>196</v>
      </c>
      <c r="D474" t="s">
        <v>197</v>
      </c>
      <c r="E474" t="s">
        <v>1457</v>
      </c>
      <c r="F474">
        <v>1</v>
      </c>
      <c r="G474" t="s">
        <v>92</v>
      </c>
      <c r="I474" t="s">
        <v>1458</v>
      </c>
      <c r="J474" t="s">
        <v>446</v>
      </c>
      <c r="K474" t="s">
        <v>1459</v>
      </c>
      <c r="L474" t="s">
        <v>1460</v>
      </c>
      <c r="M474" t="s">
        <v>102</v>
      </c>
      <c r="P474">
        <f t="shared" si="14"/>
        <v>1</v>
      </c>
      <c r="Q474" t="str">
        <f>IF(AND(P474&gt;1,COUNTIF($E$6:E474,E474)=1),MAX($Q$5:Q473)+1,"")</f>
        <v/>
      </c>
      <c r="R474" t="str">
        <f t="shared" si="15"/>
        <v/>
      </c>
    </row>
    <row r="475" spans="1:18" ht="22.95" customHeight="1">
      <c r="A475" t="s">
        <v>1305</v>
      </c>
      <c r="B475" t="s">
        <v>26</v>
      </c>
      <c r="C475" t="s">
        <v>196</v>
      </c>
      <c r="D475" t="s">
        <v>197</v>
      </c>
      <c r="E475" t="s">
        <v>1461</v>
      </c>
      <c r="F475">
        <v>1</v>
      </c>
      <c r="G475" t="s">
        <v>92</v>
      </c>
      <c r="I475" t="s">
        <v>1462</v>
      </c>
      <c r="J475" t="s">
        <v>446</v>
      </c>
      <c r="K475" t="s">
        <v>1398</v>
      </c>
      <c r="L475" t="s">
        <v>1463</v>
      </c>
      <c r="M475" t="s">
        <v>102</v>
      </c>
      <c r="P475">
        <f t="shared" si="14"/>
        <v>1</v>
      </c>
      <c r="Q475" t="str">
        <f>IF(AND(P475&gt;1,COUNTIF($E$6:E475,E475)=1),MAX($Q$5:Q474)+1,"")</f>
        <v/>
      </c>
      <c r="R475" t="str">
        <f t="shared" si="15"/>
        <v/>
      </c>
    </row>
    <row r="476" spans="1:18" ht="22.95" customHeight="1">
      <c r="A476" t="s">
        <v>1305</v>
      </c>
      <c r="B476" t="s">
        <v>32</v>
      </c>
      <c r="C476" t="s">
        <v>200</v>
      </c>
      <c r="D476" t="s">
        <v>201</v>
      </c>
      <c r="E476" t="s">
        <v>1464</v>
      </c>
      <c r="F476">
        <v>1</v>
      </c>
      <c r="G476" t="s">
        <v>1465</v>
      </c>
      <c r="H476" t="s">
        <v>1311</v>
      </c>
      <c r="I476" t="s">
        <v>1466</v>
      </c>
      <c r="K476" t="s">
        <v>1371</v>
      </c>
      <c r="L476" t="s">
        <v>1467</v>
      </c>
      <c r="M476" t="s">
        <v>62</v>
      </c>
      <c r="N476" t="s">
        <v>520</v>
      </c>
      <c r="P476">
        <f t="shared" si="14"/>
        <v>1</v>
      </c>
      <c r="Q476" t="str">
        <f>IF(AND(P476&gt;1,COUNTIF($E$6:E476,E476)=1),MAX($Q$5:Q475)+1,"")</f>
        <v/>
      </c>
      <c r="R476" t="str">
        <f t="shared" si="15"/>
        <v/>
      </c>
    </row>
    <row r="477" spans="1:18" ht="22.95" customHeight="1">
      <c r="A477" t="s">
        <v>1305</v>
      </c>
      <c r="B477" t="s">
        <v>32</v>
      </c>
      <c r="C477" t="s">
        <v>200</v>
      </c>
      <c r="D477" t="s">
        <v>201</v>
      </c>
      <c r="E477" t="s">
        <v>1468</v>
      </c>
      <c r="F477">
        <v>1</v>
      </c>
      <c r="G477" t="s">
        <v>1469</v>
      </c>
      <c r="H477" t="s">
        <v>1311</v>
      </c>
      <c r="I477" t="s">
        <v>1470</v>
      </c>
      <c r="K477" t="s">
        <v>109</v>
      </c>
      <c r="L477" t="s">
        <v>1471</v>
      </c>
      <c r="M477" t="s">
        <v>102</v>
      </c>
      <c r="P477">
        <f t="shared" si="14"/>
        <v>1</v>
      </c>
      <c r="Q477" t="str">
        <f>IF(AND(P477&gt;1,COUNTIF($E$6:E477,E477)=1),MAX($Q$5:Q476)+1,"")</f>
        <v/>
      </c>
      <c r="R477" t="str">
        <f t="shared" si="15"/>
        <v/>
      </c>
    </row>
    <row r="478" spans="1:18" ht="22.95" customHeight="1">
      <c r="A478" t="s">
        <v>1305</v>
      </c>
      <c r="B478" t="s">
        <v>32</v>
      </c>
      <c r="C478" t="s">
        <v>200</v>
      </c>
      <c r="D478" t="s">
        <v>201</v>
      </c>
      <c r="E478" t="s">
        <v>1472</v>
      </c>
      <c r="F478">
        <v>1</v>
      </c>
      <c r="G478" t="s">
        <v>1473</v>
      </c>
      <c r="H478" t="s">
        <v>1311</v>
      </c>
      <c r="I478" t="s">
        <v>1470</v>
      </c>
      <c r="K478" t="s">
        <v>109</v>
      </c>
      <c r="L478" t="s">
        <v>1471</v>
      </c>
      <c r="M478" t="s">
        <v>102</v>
      </c>
      <c r="P478">
        <f t="shared" si="14"/>
        <v>1</v>
      </c>
      <c r="Q478" t="str">
        <f>IF(AND(P478&gt;1,COUNTIF($E$6:E478,E478)=1),MAX($Q$5:Q477)+1,"")</f>
        <v/>
      </c>
      <c r="R478" t="str">
        <f t="shared" si="15"/>
        <v/>
      </c>
    </row>
    <row r="479" spans="1:18" ht="22.95" customHeight="1">
      <c r="A479" t="s">
        <v>1305</v>
      </c>
      <c r="B479" t="s">
        <v>29</v>
      </c>
      <c r="C479" t="s">
        <v>1084</v>
      </c>
      <c r="D479" t="s">
        <v>1085</v>
      </c>
      <c r="E479" t="s">
        <v>1474</v>
      </c>
      <c r="F479">
        <v>1</v>
      </c>
      <c r="G479" t="s">
        <v>1475</v>
      </c>
      <c r="H479" t="s">
        <v>1476</v>
      </c>
      <c r="I479" t="s">
        <v>1477</v>
      </c>
      <c r="K479" t="s">
        <v>109</v>
      </c>
      <c r="L479" t="s">
        <v>1478</v>
      </c>
      <c r="M479" t="s">
        <v>73</v>
      </c>
      <c r="P479">
        <f t="shared" si="14"/>
        <v>1</v>
      </c>
      <c r="Q479" t="str">
        <f>IF(AND(P479&gt;1,COUNTIF($E$6:E479,E479)=1),MAX($Q$5:Q478)+1,"")</f>
        <v/>
      </c>
      <c r="R479" t="str">
        <f t="shared" si="15"/>
        <v/>
      </c>
    </row>
    <row r="480" spans="1:18" ht="22.95" customHeight="1">
      <c r="A480" t="s">
        <v>1305</v>
      </c>
      <c r="B480" t="s">
        <v>29</v>
      </c>
      <c r="C480" t="s">
        <v>1084</v>
      </c>
      <c r="D480" t="s">
        <v>1085</v>
      </c>
      <c r="E480" t="s">
        <v>1479</v>
      </c>
      <c r="F480">
        <v>1</v>
      </c>
      <c r="G480" t="s">
        <v>1475</v>
      </c>
      <c r="H480" t="s">
        <v>1476</v>
      </c>
      <c r="I480" t="s">
        <v>1480</v>
      </c>
      <c r="J480" t="s">
        <v>245</v>
      </c>
      <c r="L480" t="s">
        <v>1481</v>
      </c>
      <c r="M480" t="s">
        <v>73</v>
      </c>
      <c r="P480">
        <f t="shared" si="14"/>
        <v>1</v>
      </c>
      <c r="Q480" t="str">
        <f>IF(AND(P480&gt;1,COUNTIF($E$6:E480,E480)=1),MAX($Q$5:Q479)+1,"")</f>
        <v/>
      </c>
      <c r="R480" t="str">
        <f t="shared" si="15"/>
        <v/>
      </c>
    </row>
    <row r="481" spans="1:18" ht="22.95" customHeight="1">
      <c r="A481" t="s">
        <v>1305</v>
      </c>
      <c r="B481" t="s">
        <v>29</v>
      </c>
      <c r="C481" t="s">
        <v>1084</v>
      </c>
      <c r="D481" t="s">
        <v>1085</v>
      </c>
      <c r="E481" t="s">
        <v>1482</v>
      </c>
      <c r="F481">
        <v>1</v>
      </c>
      <c r="G481" t="s">
        <v>1475</v>
      </c>
      <c r="H481" t="s">
        <v>1476</v>
      </c>
      <c r="I481" t="s">
        <v>1480</v>
      </c>
      <c r="J481" t="s">
        <v>245</v>
      </c>
      <c r="L481" t="s">
        <v>1481</v>
      </c>
      <c r="M481" t="s">
        <v>73</v>
      </c>
      <c r="P481">
        <f t="shared" si="14"/>
        <v>1</v>
      </c>
      <c r="Q481" t="str">
        <f>IF(AND(P481&gt;1,COUNTIF($E$6:E481,E481)=1),MAX($Q$5:Q480)+1,"")</f>
        <v/>
      </c>
      <c r="R481" t="str">
        <f t="shared" si="15"/>
        <v/>
      </c>
    </row>
    <row r="482" spans="1:18" ht="22.95" customHeight="1">
      <c r="A482" t="s">
        <v>1305</v>
      </c>
      <c r="B482" t="s">
        <v>29</v>
      </c>
      <c r="C482" t="s">
        <v>1084</v>
      </c>
      <c r="D482" t="s">
        <v>1085</v>
      </c>
      <c r="E482" t="s">
        <v>1483</v>
      </c>
      <c r="F482">
        <v>1</v>
      </c>
      <c r="G482" t="s">
        <v>1475</v>
      </c>
      <c r="H482" t="s">
        <v>1476</v>
      </c>
      <c r="I482" t="s">
        <v>1484</v>
      </c>
      <c r="K482" t="s">
        <v>1485</v>
      </c>
      <c r="L482" t="s">
        <v>1486</v>
      </c>
      <c r="M482" t="s">
        <v>73</v>
      </c>
      <c r="P482">
        <f t="shared" si="14"/>
        <v>1</v>
      </c>
      <c r="Q482" t="str">
        <f>IF(AND(P482&gt;1,COUNTIF($E$6:E482,E482)=1),MAX($Q$5:Q481)+1,"")</f>
        <v/>
      </c>
      <c r="R482" t="str">
        <f t="shared" si="15"/>
        <v/>
      </c>
    </row>
    <row r="483" spans="1:18" ht="22.95" customHeight="1">
      <c r="A483" t="s">
        <v>1305</v>
      </c>
      <c r="B483" t="s">
        <v>29</v>
      </c>
      <c r="C483" t="s">
        <v>1084</v>
      </c>
      <c r="D483" t="s">
        <v>1085</v>
      </c>
      <c r="E483" t="s">
        <v>1487</v>
      </c>
      <c r="F483">
        <v>1</v>
      </c>
      <c r="G483" t="s">
        <v>92</v>
      </c>
      <c r="I483" t="s">
        <v>1488</v>
      </c>
      <c r="K483" t="s">
        <v>1371</v>
      </c>
      <c r="L483" t="s">
        <v>1489</v>
      </c>
      <c r="M483" t="s">
        <v>62</v>
      </c>
      <c r="N483" t="s">
        <v>1490</v>
      </c>
      <c r="P483">
        <f t="shared" si="14"/>
        <v>1</v>
      </c>
      <c r="Q483" t="str">
        <f>IF(AND(P483&gt;1,COUNTIF($E$6:E483,E483)=1),MAX($Q$5:Q482)+1,"")</f>
        <v/>
      </c>
      <c r="R483" t="str">
        <f t="shared" si="15"/>
        <v/>
      </c>
    </row>
    <row r="484" spans="1:18" ht="22.95" customHeight="1">
      <c r="A484" t="s">
        <v>1305</v>
      </c>
      <c r="B484" t="s">
        <v>29</v>
      </c>
      <c r="C484" t="s">
        <v>1084</v>
      </c>
      <c r="D484" t="s">
        <v>1085</v>
      </c>
      <c r="E484" t="s">
        <v>1491</v>
      </c>
      <c r="F484">
        <v>1</v>
      </c>
      <c r="G484" t="s">
        <v>92</v>
      </c>
      <c r="I484" t="s">
        <v>1492</v>
      </c>
      <c r="J484" t="s">
        <v>99</v>
      </c>
      <c r="L484" t="s">
        <v>1493</v>
      </c>
      <c r="M484" t="s">
        <v>102</v>
      </c>
      <c r="P484">
        <f t="shared" si="14"/>
        <v>1</v>
      </c>
      <c r="Q484" t="str">
        <f>IF(AND(P484&gt;1,COUNTIF($E$6:E484,E484)=1),MAX($Q$5:Q483)+1,"")</f>
        <v/>
      </c>
      <c r="R484" t="str">
        <f t="shared" si="15"/>
        <v/>
      </c>
    </row>
    <row r="485" spans="1:18" ht="22.95" customHeight="1">
      <c r="A485" t="s">
        <v>1305</v>
      </c>
      <c r="B485" t="s">
        <v>21</v>
      </c>
      <c r="C485" t="s">
        <v>724</v>
      </c>
      <c r="D485" t="s">
        <v>725</v>
      </c>
      <c r="E485" t="s">
        <v>1494</v>
      </c>
      <c r="F485">
        <v>1</v>
      </c>
      <c r="G485" t="s">
        <v>1495</v>
      </c>
      <c r="H485" t="s">
        <v>1496</v>
      </c>
      <c r="I485" t="s">
        <v>1497</v>
      </c>
      <c r="K485" t="s">
        <v>109</v>
      </c>
      <c r="L485" t="s">
        <v>1498</v>
      </c>
      <c r="M485" t="s">
        <v>73</v>
      </c>
      <c r="P485">
        <f t="shared" si="14"/>
        <v>1</v>
      </c>
      <c r="Q485" t="str">
        <f>IF(AND(P485&gt;1,COUNTIF($E$6:E485,E485)=1),MAX($Q$5:Q484)+1,"")</f>
        <v/>
      </c>
      <c r="R485" t="str">
        <f t="shared" si="15"/>
        <v/>
      </c>
    </row>
    <row r="486" spans="1:18" ht="22.95" customHeight="1">
      <c r="A486" t="s">
        <v>1305</v>
      </c>
      <c r="B486" t="s">
        <v>21</v>
      </c>
      <c r="C486" t="s">
        <v>724</v>
      </c>
      <c r="D486" t="s">
        <v>725</v>
      </c>
      <c r="E486" t="s">
        <v>1499</v>
      </c>
      <c r="F486">
        <v>1</v>
      </c>
      <c r="I486" t="s">
        <v>1500</v>
      </c>
      <c r="K486" t="s">
        <v>109</v>
      </c>
      <c r="L486" t="s">
        <v>1501</v>
      </c>
      <c r="M486" t="s">
        <v>73</v>
      </c>
      <c r="P486">
        <f t="shared" si="14"/>
        <v>1</v>
      </c>
      <c r="Q486" t="str">
        <f>IF(AND(P486&gt;1,COUNTIF($E$6:E486,E486)=1),MAX($Q$5:Q485)+1,"")</f>
        <v/>
      </c>
      <c r="R486" t="str">
        <f t="shared" si="15"/>
        <v/>
      </c>
    </row>
    <row r="487" spans="1:18" ht="22.95" customHeight="1">
      <c r="A487" t="s">
        <v>1305</v>
      </c>
      <c r="B487" t="s">
        <v>21</v>
      </c>
      <c r="C487" t="s">
        <v>724</v>
      </c>
      <c r="D487" t="s">
        <v>725</v>
      </c>
      <c r="E487" t="s">
        <v>1502</v>
      </c>
      <c r="F487">
        <v>1</v>
      </c>
      <c r="I487" t="s">
        <v>1500</v>
      </c>
      <c r="K487" t="s">
        <v>109</v>
      </c>
      <c r="L487" t="s">
        <v>1501</v>
      </c>
      <c r="M487" t="s">
        <v>73</v>
      </c>
      <c r="P487">
        <f t="shared" si="14"/>
        <v>1</v>
      </c>
      <c r="Q487" t="str">
        <f>IF(AND(P487&gt;1,COUNTIF($E$6:E487,E487)=1),MAX($Q$5:Q486)+1,"")</f>
        <v/>
      </c>
      <c r="R487" t="str">
        <f t="shared" si="15"/>
        <v/>
      </c>
    </row>
    <row r="488" spans="1:18" ht="22.95" customHeight="1">
      <c r="A488" t="s">
        <v>1305</v>
      </c>
      <c r="B488" t="s">
        <v>21</v>
      </c>
      <c r="C488" t="s">
        <v>215</v>
      </c>
      <c r="D488" t="s">
        <v>216</v>
      </c>
      <c r="E488" t="s">
        <v>1503</v>
      </c>
      <c r="F488">
        <v>1</v>
      </c>
      <c r="G488" t="s">
        <v>659</v>
      </c>
      <c r="H488" t="s">
        <v>1421</v>
      </c>
      <c r="I488" t="s">
        <v>1504</v>
      </c>
      <c r="K488" t="s">
        <v>109</v>
      </c>
      <c r="L488" t="s">
        <v>1505</v>
      </c>
      <c r="M488" t="s">
        <v>73</v>
      </c>
      <c r="P488">
        <f t="shared" si="14"/>
        <v>1</v>
      </c>
      <c r="Q488" t="str">
        <f>IF(AND(P488&gt;1,COUNTIF($E$6:E488,E488)=1),MAX($Q$5:Q487)+1,"")</f>
        <v/>
      </c>
      <c r="R488" t="str">
        <f t="shared" si="15"/>
        <v/>
      </c>
    </row>
    <row r="489" spans="1:18" ht="22.95" customHeight="1">
      <c r="A489" t="s">
        <v>1305</v>
      </c>
      <c r="B489" t="s">
        <v>21</v>
      </c>
      <c r="C489" t="s">
        <v>228</v>
      </c>
      <c r="D489" t="s">
        <v>229</v>
      </c>
      <c r="E489" t="s">
        <v>1506</v>
      </c>
      <c r="F489">
        <v>1</v>
      </c>
      <c r="G489" t="s">
        <v>508</v>
      </c>
      <c r="H489" t="s">
        <v>1507</v>
      </c>
      <c r="I489" t="s">
        <v>1508</v>
      </c>
      <c r="K489" t="s">
        <v>1509</v>
      </c>
      <c r="L489" t="s">
        <v>1510</v>
      </c>
      <c r="M489" t="s">
        <v>73</v>
      </c>
      <c r="P489">
        <f t="shared" si="14"/>
        <v>1</v>
      </c>
      <c r="Q489" t="str">
        <f>IF(AND(P489&gt;1,COUNTIF($E$6:E489,E489)=1),MAX($Q$5:Q488)+1,"")</f>
        <v/>
      </c>
      <c r="R489" t="str">
        <f t="shared" si="15"/>
        <v/>
      </c>
    </row>
    <row r="490" spans="1:18" ht="22.95" customHeight="1">
      <c r="A490" t="s">
        <v>1305</v>
      </c>
      <c r="B490" t="s">
        <v>21</v>
      </c>
      <c r="C490" t="s">
        <v>228</v>
      </c>
      <c r="D490" t="s">
        <v>229</v>
      </c>
      <c r="E490" t="s">
        <v>1511</v>
      </c>
      <c r="F490">
        <v>1</v>
      </c>
      <c r="G490" t="s">
        <v>1512</v>
      </c>
      <c r="H490" t="s">
        <v>301</v>
      </c>
      <c r="I490" t="s">
        <v>1513</v>
      </c>
      <c r="K490" t="s">
        <v>1514</v>
      </c>
      <c r="L490" t="s">
        <v>1515</v>
      </c>
      <c r="M490" t="s">
        <v>73</v>
      </c>
      <c r="P490">
        <f t="shared" si="14"/>
        <v>1</v>
      </c>
      <c r="Q490" t="str">
        <f>IF(AND(P490&gt;1,COUNTIF($E$6:E490,E490)=1),MAX($Q$5:Q489)+1,"")</f>
        <v/>
      </c>
      <c r="R490" t="str">
        <f t="shared" si="15"/>
        <v/>
      </c>
    </row>
    <row r="491" spans="1:18" ht="22.95" customHeight="1">
      <c r="A491" t="s">
        <v>1305</v>
      </c>
      <c r="B491" t="s">
        <v>21</v>
      </c>
      <c r="C491" t="s">
        <v>239</v>
      </c>
      <c r="D491" t="s">
        <v>147</v>
      </c>
      <c r="E491" t="s">
        <v>1516</v>
      </c>
      <c r="F491">
        <v>1</v>
      </c>
      <c r="G491" t="s">
        <v>1517</v>
      </c>
      <c r="H491" t="s">
        <v>116</v>
      </c>
      <c r="I491" t="s">
        <v>1518</v>
      </c>
      <c r="K491" t="s">
        <v>109</v>
      </c>
      <c r="L491" t="s">
        <v>1519</v>
      </c>
      <c r="M491" t="s">
        <v>73</v>
      </c>
      <c r="P491">
        <f t="shared" si="14"/>
        <v>1</v>
      </c>
      <c r="Q491" t="str">
        <f>IF(AND(P491&gt;1,COUNTIF($E$6:E491,E491)=1),MAX($Q$5:Q490)+1,"")</f>
        <v/>
      </c>
      <c r="R491" t="str">
        <f t="shared" si="15"/>
        <v/>
      </c>
    </row>
    <row r="492" spans="1:18" ht="22.95" customHeight="1">
      <c r="A492" t="s">
        <v>1305</v>
      </c>
      <c r="B492" t="s">
        <v>21</v>
      </c>
      <c r="C492" t="s">
        <v>724</v>
      </c>
      <c r="D492" t="s">
        <v>725</v>
      </c>
      <c r="E492" t="s">
        <v>1520</v>
      </c>
      <c r="F492">
        <v>1</v>
      </c>
      <c r="G492" t="s">
        <v>92</v>
      </c>
      <c r="I492" t="s">
        <v>1521</v>
      </c>
      <c r="J492" t="s">
        <v>99</v>
      </c>
      <c r="K492" t="s">
        <v>109</v>
      </c>
      <c r="L492" t="s">
        <v>1522</v>
      </c>
      <c r="M492" t="s">
        <v>102</v>
      </c>
      <c r="P492">
        <f t="shared" si="14"/>
        <v>1</v>
      </c>
      <c r="Q492" t="str">
        <f>IF(AND(P492&gt;1,COUNTIF($E$6:E492,E492)=1),MAX($Q$5:Q491)+1,"")</f>
        <v/>
      </c>
      <c r="R492" t="str">
        <f t="shared" si="15"/>
        <v/>
      </c>
    </row>
    <row r="493" spans="1:18" ht="22.95" customHeight="1">
      <c r="A493" t="s">
        <v>1305</v>
      </c>
      <c r="B493" t="s">
        <v>21</v>
      </c>
      <c r="C493" t="s">
        <v>724</v>
      </c>
      <c r="D493" t="s">
        <v>725</v>
      </c>
      <c r="E493" t="s">
        <v>1523</v>
      </c>
      <c r="F493">
        <v>1</v>
      </c>
      <c r="G493" t="s">
        <v>92</v>
      </c>
      <c r="I493" t="s">
        <v>1524</v>
      </c>
      <c r="J493" t="s">
        <v>99</v>
      </c>
      <c r="K493" t="s">
        <v>109</v>
      </c>
      <c r="L493" t="s">
        <v>1522</v>
      </c>
      <c r="M493" t="s">
        <v>102</v>
      </c>
      <c r="P493">
        <f t="shared" si="14"/>
        <v>1</v>
      </c>
      <c r="Q493" t="str">
        <f>IF(AND(P493&gt;1,COUNTIF($E$6:E493,E493)=1),MAX($Q$5:Q492)+1,"")</f>
        <v/>
      </c>
      <c r="R493" t="str">
        <f t="shared" si="15"/>
        <v/>
      </c>
    </row>
    <row r="494" spans="1:18" ht="22.95" customHeight="1">
      <c r="A494" t="s">
        <v>1305</v>
      </c>
      <c r="B494" t="s">
        <v>21</v>
      </c>
      <c r="C494" t="s">
        <v>262</v>
      </c>
      <c r="D494" t="s">
        <v>263</v>
      </c>
      <c r="E494" t="s">
        <v>1525</v>
      </c>
      <c r="F494">
        <v>1</v>
      </c>
      <c r="G494" t="s">
        <v>1526</v>
      </c>
      <c r="H494" t="s">
        <v>1527</v>
      </c>
      <c r="I494" t="s">
        <v>1528</v>
      </c>
      <c r="J494" t="s">
        <v>245</v>
      </c>
      <c r="L494" t="s">
        <v>1529</v>
      </c>
      <c r="M494" t="s">
        <v>73</v>
      </c>
      <c r="P494">
        <f t="shared" si="14"/>
        <v>1</v>
      </c>
      <c r="Q494" t="str">
        <f>IF(AND(P494&gt;1,COUNTIF($E$6:E494,E494)=1),MAX($Q$5:Q493)+1,"")</f>
        <v/>
      </c>
      <c r="R494" t="str">
        <f t="shared" si="15"/>
        <v/>
      </c>
    </row>
    <row r="495" spans="1:18" ht="22.95" customHeight="1">
      <c r="A495" t="s">
        <v>1305</v>
      </c>
      <c r="B495" t="s">
        <v>21</v>
      </c>
      <c r="C495" t="s">
        <v>215</v>
      </c>
      <c r="D495" t="s">
        <v>216</v>
      </c>
      <c r="E495" t="s">
        <v>1530</v>
      </c>
      <c r="F495">
        <v>1</v>
      </c>
      <c r="G495" t="s">
        <v>139</v>
      </c>
      <c r="I495" t="s">
        <v>1531</v>
      </c>
      <c r="K495" t="s">
        <v>109</v>
      </c>
      <c r="L495" t="s">
        <v>1532</v>
      </c>
      <c r="M495" t="s">
        <v>62</v>
      </c>
      <c r="N495" t="s">
        <v>63</v>
      </c>
      <c r="P495">
        <f t="shared" si="14"/>
        <v>1</v>
      </c>
      <c r="Q495" t="str">
        <f>IF(AND(P495&gt;1,COUNTIF($E$6:E495,E495)=1),MAX($Q$5:Q494)+1,"")</f>
        <v/>
      </c>
      <c r="R495" t="str">
        <f t="shared" si="15"/>
        <v/>
      </c>
    </row>
    <row r="496" spans="1:18" ht="22.95" customHeight="1">
      <c r="A496" t="s">
        <v>1305</v>
      </c>
      <c r="B496" t="s">
        <v>21</v>
      </c>
      <c r="C496" t="s">
        <v>262</v>
      </c>
      <c r="D496" t="s">
        <v>263</v>
      </c>
      <c r="E496" t="s">
        <v>1533</v>
      </c>
      <c r="F496">
        <v>1</v>
      </c>
      <c r="G496" t="s">
        <v>1534</v>
      </c>
      <c r="H496" t="s">
        <v>1535</v>
      </c>
      <c r="I496" t="s">
        <v>1536</v>
      </c>
      <c r="K496" t="s">
        <v>78</v>
      </c>
      <c r="L496" t="s">
        <v>1537</v>
      </c>
      <c r="M496" t="s">
        <v>73</v>
      </c>
      <c r="P496">
        <f t="shared" si="14"/>
        <v>1</v>
      </c>
      <c r="Q496" t="str">
        <f>IF(AND(P496&gt;1,COUNTIF($E$6:E496,E496)=1),MAX($Q$5:Q495)+1,"")</f>
        <v/>
      </c>
      <c r="R496" t="str">
        <f t="shared" si="15"/>
        <v/>
      </c>
    </row>
    <row r="497" spans="1:18" ht="22.95" customHeight="1">
      <c r="A497" t="s">
        <v>1305</v>
      </c>
      <c r="B497" t="s">
        <v>21</v>
      </c>
      <c r="C497" t="s">
        <v>262</v>
      </c>
      <c r="D497" t="s">
        <v>263</v>
      </c>
      <c r="E497" t="s">
        <v>1538</v>
      </c>
      <c r="F497">
        <v>1</v>
      </c>
      <c r="G497" t="s">
        <v>1534</v>
      </c>
      <c r="H497" t="s">
        <v>1535</v>
      </c>
      <c r="I497" t="s">
        <v>1539</v>
      </c>
      <c r="K497" t="s">
        <v>78</v>
      </c>
      <c r="L497" t="s">
        <v>1537</v>
      </c>
      <c r="M497" t="s">
        <v>73</v>
      </c>
      <c r="P497">
        <f t="shared" si="14"/>
        <v>1</v>
      </c>
      <c r="Q497" t="str">
        <f>IF(AND(P497&gt;1,COUNTIF($E$6:E497,E497)=1),MAX($Q$5:Q496)+1,"")</f>
        <v/>
      </c>
      <c r="R497" t="str">
        <f t="shared" si="15"/>
        <v/>
      </c>
    </row>
    <row r="498" spans="1:18" ht="22.95" customHeight="1">
      <c r="A498" t="s">
        <v>1305</v>
      </c>
      <c r="B498" t="s">
        <v>21</v>
      </c>
      <c r="C498" t="s">
        <v>270</v>
      </c>
      <c r="D498" t="s">
        <v>271</v>
      </c>
      <c r="E498" t="s">
        <v>1540</v>
      </c>
      <c r="F498">
        <v>1</v>
      </c>
      <c r="G498" t="s">
        <v>932</v>
      </c>
      <c r="H498" t="s">
        <v>1541</v>
      </c>
      <c r="I498" t="s">
        <v>1542</v>
      </c>
      <c r="K498" t="s">
        <v>78</v>
      </c>
      <c r="L498" t="s">
        <v>1543</v>
      </c>
      <c r="M498" t="s">
        <v>73</v>
      </c>
      <c r="P498">
        <f t="shared" si="14"/>
        <v>1</v>
      </c>
      <c r="Q498" t="str">
        <f>IF(AND(P498&gt;1,COUNTIF($E$6:E498,E498)=1),MAX($Q$5:Q497)+1,"")</f>
        <v/>
      </c>
      <c r="R498" t="str">
        <f t="shared" si="15"/>
        <v/>
      </c>
    </row>
    <row r="499" spans="1:18" ht="22.95" customHeight="1">
      <c r="A499" t="s">
        <v>1305</v>
      </c>
      <c r="B499" t="s">
        <v>21</v>
      </c>
      <c r="C499" t="s">
        <v>254</v>
      </c>
      <c r="D499" t="s">
        <v>255</v>
      </c>
      <c r="E499" t="s">
        <v>1544</v>
      </c>
      <c r="F499">
        <v>1</v>
      </c>
      <c r="G499" t="s">
        <v>1545</v>
      </c>
      <c r="H499" t="s">
        <v>1546</v>
      </c>
      <c r="I499" t="s">
        <v>1547</v>
      </c>
      <c r="L499" t="s">
        <v>1548</v>
      </c>
      <c r="M499" t="s">
        <v>73</v>
      </c>
      <c r="P499">
        <f t="shared" si="14"/>
        <v>1</v>
      </c>
      <c r="Q499" t="str">
        <f>IF(AND(P499&gt;1,COUNTIF($E$6:E499,E499)=1),MAX($Q$5:Q498)+1,"")</f>
        <v/>
      </c>
      <c r="R499" t="str">
        <f t="shared" si="15"/>
        <v/>
      </c>
    </row>
    <row r="500" spans="1:18" ht="22.95" customHeight="1">
      <c r="A500" t="s">
        <v>1305</v>
      </c>
      <c r="B500" t="s">
        <v>21</v>
      </c>
      <c r="C500" t="s">
        <v>254</v>
      </c>
      <c r="D500" t="s">
        <v>255</v>
      </c>
      <c r="E500" t="s">
        <v>1549</v>
      </c>
      <c r="F500">
        <v>1</v>
      </c>
      <c r="G500" t="s">
        <v>1545</v>
      </c>
      <c r="H500" t="s">
        <v>1546</v>
      </c>
      <c r="I500" t="s">
        <v>1550</v>
      </c>
      <c r="K500" t="s">
        <v>78</v>
      </c>
      <c r="L500" t="s">
        <v>1551</v>
      </c>
      <c r="M500" t="s">
        <v>73</v>
      </c>
      <c r="P500">
        <f t="shared" si="14"/>
        <v>1</v>
      </c>
      <c r="Q500" t="str">
        <f>IF(AND(P500&gt;1,COUNTIF($E$6:E500,E500)=1),MAX($Q$5:Q499)+1,"")</f>
        <v/>
      </c>
      <c r="R500" t="str">
        <f t="shared" si="15"/>
        <v/>
      </c>
    </row>
    <row r="501" spans="1:18" ht="22.95" customHeight="1">
      <c r="A501" t="s">
        <v>1305</v>
      </c>
      <c r="B501" t="s">
        <v>21</v>
      </c>
      <c r="C501" t="s">
        <v>254</v>
      </c>
      <c r="D501" t="s">
        <v>255</v>
      </c>
      <c r="E501" t="s">
        <v>1552</v>
      </c>
      <c r="F501">
        <v>1</v>
      </c>
      <c r="G501" t="s">
        <v>932</v>
      </c>
      <c r="H501" t="s">
        <v>1541</v>
      </c>
      <c r="I501" t="s">
        <v>1553</v>
      </c>
      <c r="K501" t="s">
        <v>78</v>
      </c>
      <c r="L501" t="s">
        <v>1543</v>
      </c>
      <c r="M501" t="s">
        <v>73</v>
      </c>
      <c r="P501">
        <f t="shared" si="14"/>
        <v>1</v>
      </c>
      <c r="Q501" t="str">
        <f>IF(AND(P501&gt;1,COUNTIF($E$6:E501,E501)=1),MAX($Q$5:Q500)+1,"")</f>
        <v/>
      </c>
      <c r="R501" t="str">
        <f t="shared" si="15"/>
        <v/>
      </c>
    </row>
    <row r="502" spans="1:18" ht="22.95" customHeight="1">
      <c r="A502" t="s">
        <v>1305</v>
      </c>
      <c r="B502" t="s">
        <v>21</v>
      </c>
      <c r="C502" t="s">
        <v>239</v>
      </c>
      <c r="D502" t="s">
        <v>147</v>
      </c>
      <c r="E502" t="s">
        <v>1554</v>
      </c>
      <c r="F502">
        <v>1</v>
      </c>
      <c r="G502" t="s">
        <v>257</v>
      </c>
      <c r="H502" t="s">
        <v>1555</v>
      </c>
      <c r="I502" t="s">
        <v>1556</v>
      </c>
      <c r="K502" t="s">
        <v>1417</v>
      </c>
      <c r="L502" t="s">
        <v>1557</v>
      </c>
      <c r="M502" t="s">
        <v>62</v>
      </c>
      <c r="N502" t="s">
        <v>130</v>
      </c>
      <c r="P502">
        <f t="shared" si="14"/>
        <v>1</v>
      </c>
      <c r="Q502" t="str">
        <f>IF(AND(P502&gt;1,COUNTIF($E$6:E502,E502)=1),MAX($Q$5:Q501)+1,"")</f>
        <v/>
      </c>
      <c r="R502" t="str">
        <f t="shared" si="15"/>
        <v/>
      </c>
    </row>
    <row r="503" spans="1:18" ht="22.95" customHeight="1">
      <c r="A503" t="s">
        <v>1305</v>
      </c>
      <c r="B503" t="s">
        <v>21</v>
      </c>
      <c r="C503" t="s">
        <v>262</v>
      </c>
      <c r="D503" t="s">
        <v>263</v>
      </c>
      <c r="E503" t="s">
        <v>1558</v>
      </c>
      <c r="F503">
        <v>1</v>
      </c>
      <c r="G503" t="s">
        <v>1559</v>
      </c>
      <c r="H503" t="s">
        <v>1560</v>
      </c>
      <c r="I503" t="s">
        <v>1561</v>
      </c>
      <c r="K503" t="s">
        <v>1562</v>
      </c>
      <c r="L503" t="s">
        <v>1563</v>
      </c>
      <c r="M503" t="s">
        <v>62</v>
      </c>
      <c r="N503" t="s">
        <v>303</v>
      </c>
      <c r="P503">
        <f t="shared" si="14"/>
        <v>1</v>
      </c>
      <c r="Q503" t="str">
        <f>IF(AND(P503&gt;1,COUNTIF($E$6:E503,E503)=1),MAX($Q$5:Q502)+1,"")</f>
        <v/>
      </c>
      <c r="R503" t="str">
        <f t="shared" si="15"/>
        <v/>
      </c>
    </row>
    <row r="504" spans="1:18" ht="22.95" customHeight="1">
      <c r="A504" t="s">
        <v>1305</v>
      </c>
      <c r="B504" t="s">
        <v>21</v>
      </c>
      <c r="C504" t="s">
        <v>254</v>
      </c>
      <c r="D504" t="s">
        <v>255</v>
      </c>
      <c r="E504" t="s">
        <v>1564</v>
      </c>
      <c r="F504">
        <v>1</v>
      </c>
      <c r="G504" t="s">
        <v>1565</v>
      </c>
      <c r="H504" t="s">
        <v>1566</v>
      </c>
      <c r="I504" t="s">
        <v>140</v>
      </c>
      <c r="K504" t="s">
        <v>1562</v>
      </c>
      <c r="L504" t="s">
        <v>1567</v>
      </c>
      <c r="M504" t="s">
        <v>62</v>
      </c>
      <c r="N504" t="s">
        <v>303</v>
      </c>
      <c r="P504">
        <f t="shared" si="14"/>
        <v>1</v>
      </c>
      <c r="Q504" t="str">
        <f>IF(AND(P504&gt;1,COUNTIF($E$6:E504,E504)=1),MAX($Q$5:Q503)+1,"")</f>
        <v/>
      </c>
      <c r="R504" t="str">
        <f t="shared" si="15"/>
        <v/>
      </c>
    </row>
    <row r="505" spans="1:18" ht="22.95" customHeight="1">
      <c r="A505" t="s">
        <v>1305</v>
      </c>
      <c r="B505" t="s">
        <v>21</v>
      </c>
      <c r="C505" t="s">
        <v>270</v>
      </c>
      <c r="D505" t="s">
        <v>271</v>
      </c>
      <c r="E505" t="s">
        <v>1568</v>
      </c>
      <c r="F505">
        <v>1</v>
      </c>
      <c r="G505" t="s">
        <v>1569</v>
      </c>
      <c r="H505" t="s">
        <v>1570</v>
      </c>
      <c r="I505" t="s">
        <v>1571</v>
      </c>
      <c r="K505" t="s">
        <v>1371</v>
      </c>
      <c r="L505" t="s">
        <v>1572</v>
      </c>
      <c r="M505" t="s">
        <v>62</v>
      </c>
      <c r="N505" t="s">
        <v>187</v>
      </c>
      <c r="P505">
        <f t="shared" si="14"/>
        <v>1</v>
      </c>
      <c r="Q505" t="str">
        <f>IF(AND(P505&gt;1,COUNTIF($E$6:E505,E505)=1),MAX($Q$5:Q504)+1,"")</f>
        <v/>
      </c>
      <c r="R505" t="str">
        <f t="shared" si="15"/>
        <v/>
      </c>
    </row>
    <row r="506" spans="1:18" ht="22.95" customHeight="1">
      <c r="A506" t="s">
        <v>1573</v>
      </c>
      <c r="B506" t="s">
        <v>22</v>
      </c>
      <c r="C506" t="s">
        <v>779</v>
      </c>
      <c r="D506" t="s">
        <v>780</v>
      </c>
      <c r="E506" t="s">
        <v>1574</v>
      </c>
      <c r="F506">
        <v>1</v>
      </c>
      <c r="G506" t="s">
        <v>92</v>
      </c>
      <c r="I506" t="s">
        <v>1575</v>
      </c>
      <c r="K506" t="s">
        <v>109</v>
      </c>
      <c r="L506" t="s">
        <v>1576</v>
      </c>
      <c r="M506" t="s">
        <v>73</v>
      </c>
      <c r="P506">
        <f t="shared" si="14"/>
        <v>1</v>
      </c>
      <c r="Q506" t="str">
        <f>IF(AND(P506&gt;1,COUNTIF($E$6:E506,E506)=1),MAX($Q$5:Q505)+1,"")</f>
        <v/>
      </c>
      <c r="R506" t="str">
        <f t="shared" si="15"/>
        <v/>
      </c>
    </row>
    <row r="507" spans="1:18" ht="22.95" customHeight="1">
      <c r="A507" t="s">
        <v>1573</v>
      </c>
      <c r="B507" t="s">
        <v>22</v>
      </c>
      <c r="C507" t="s">
        <v>779</v>
      </c>
      <c r="D507" t="s">
        <v>780</v>
      </c>
      <c r="E507" t="s">
        <v>1577</v>
      </c>
      <c r="F507">
        <v>1</v>
      </c>
      <c r="G507" t="s">
        <v>92</v>
      </c>
      <c r="I507" t="s">
        <v>1578</v>
      </c>
      <c r="K507" t="s">
        <v>112</v>
      </c>
      <c r="L507" t="s">
        <v>1579</v>
      </c>
      <c r="M507" t="s">
        <v>73</v>
      </c>
      <c r="P507">
        <f t="shared" si="14"/>
        <v>1</v>
      </c>
      <c r="Q507" t="str">
        <f>IF(AND(P507&gt;1,COUNTIF($E$6:E507,E507)=1),MAX($Q$5:Q506)+1,"")</f>
        <v/>
      </c>
      <c r="R507" t="str">
        <f t="shared" si="15"/>
        <v/>
      </c>
    </row>
    <row r="508" spans="1:18" ht="22.95" customHeight="1">
      <c r="A508" t="s">
        <v>1573</v>
      </c>
      <c r="B508" t="s">
        <v>22</v>
      </c>
      <c r="C508" t="s">
        <v>1149</v>
      </c>
      <c r="D508" t="s">
        <v>1150</v>
      </c>
      <c r="E508" t="s">
        <v>1580</v>
      </c>
      <c r="F508">
        <v>1</v>
      </c>
      <c r="G508" t="s">
        <v>589</v>
      </c>
      <c r="H508" t="s">
        <v>1581</v>
      </c>
      <c r="I508" t="s">
        <v>1582</v>
      </c>
      <c r="L508" t="s">
        <v>1583</v>
      </c>
      <c r="M508" t="s">
        <v>73</v>
      </c>
      <c r="P508">
        <f t="shared" si="14"/>
        <v>1</v>
      </c>
      <c r="Q508" t="str">
        <f>IF(AND(P508&gt;1,COUNTIF($E$6:E508,E508)=1),MAX($Q$5:Q507)+1,"")</f>
        <v/>
      </c>
      <c r="R508" t="str">
        <f t="shared" si="15"/>
        <v/>
      </c>
    </row>
    <row r="509" spans="1:18" ht="22.95" customHeight="1">
      <c r="A509" t="s">
        <v>1573</v>
      </c>
      <c r="B509" t="s">
        <v>22</v>
      </c>
      <c r="C509" t="s">
        <v>1149</v>
      </c>
      <c r="D509" t="s">
        <v>1150</v>
      </c>
      <c r="E509" t="s">
        <v>1584</v>
      </c>
      <c r="F509">
        <v>1</v>
      </c>
      <c r="G509" t="s">
        <v>589</v>
      </c>
      <c r="H509" t="s">
        <v>1581</v>
      </c>
      <c r="I509" t="s">
        <v>1585</v>
      </c>
      <c r="L509" t="s">
        <v>1586</v>
      </c>
      <c r="M509" t="s">
        <v>73</v>
      </c>
      <c r="P509">
        <f t="shared" si="14"/>
        <v>1</v>
      </c>
      <c r="Q509" t="str">
        <f>IF(AND(P509&gt;1,COUNTIF($E$6:E509,E509)=1),MAX($Q$5:Q508)+1,"")</f>
        <v/>
      </c>
      <c r="R509" t="str">
        <f t="shared" si="15"/>
        <v/>
      </c>
    </row>
    <row r="510" spans="1:18" ht="22.95" customHeight="1">
      <c r="A510" t="s">
        <v>1573</v>
      </c>
      <c r="B510" t="s">
        <v>22</v>
      </c>
      <c r="C510" t="s">
        <v>1149</v>
      </c>
      <c r="D510" t="s">
        <v>1150</v>
      </c>
      <c r="E510" t="s">
        <v>1587</v>
      </c>
      <c r="F510">
        <v>1</v>
      </c>
      <c r="G510" t="s">
        <v>589</v>
      </c>
      <c r="H510" t="s">
        <v>1581</v>
      </c>
      <c r="I510" t="s">
        <v>1585</v>
      </c>
      <c r="L510" t="s">
        <v>1586</v>
      </c>
      <c r="M510" t="s">
        <v>73</v>
      </c>
      <c r="P510">
        <f t="shared" si="14"/>
        <v>1</v>
      </c>
      <c r="Q510" t="str">
        <f>IF(AND(P510&gt;1,COUNTIF($E$6:E510,E510)=1),MAX($Q$5:Q509)+1,"")</f>
        <v/>
      </c>
      <c r="R510" t="str">
        <f t="shared" si="15"/>
        <v/>
      </c>
    </row>
    <row r="511" spans="1:18" ht="22.95" customHeight="1">
      <c r="A511" t="s">
        <v>1573</v>
      </c>
      <c r="B511" t="s">
        <v>22</v>
      </c>
      <c r="C511" t="s">
        <v>1149</v>
      </c>
      <c r="D511" t="s">
        <v>1150</v>
      </c>
      <c r="E511" t="s">
        <v>1588</v>
      </c>
      <c r="F511">
        <v>1</v>
      </c>
      <c r="G511" t="s">
        <v>589</v>
      </c>
      <c r="H511" t="s">
        <v>1581</v>
      </c>
      <c r="I511" t="s">
        <v>1589</v>
      </c>
      <c r="L511" t="s">
        <v>1586</v>
      </c>
      <c r="M511" t="s">
        <v>73</v>
      </c>
      <c r="P511">
        <f t="shared" si="14"/>
        <v>1</v>
      </c>
      <c r="Q511" t="str">
        <f>IF(AND(P511&gt;1,COUNTIF($E$6:E511,E511)=1),MAX($Q$5:Q510)+1,"")</f>
        <v/>
      </c>
      <c r="R511" t="str">
        <f t="shared" si="15"/>
        <v/>
      </c>
    </row>
    <row r="512" spans="1:18" ht="22.95" customHeight="1">
      <c r="A512" t="s">
        <v>1573</v>
      </c>
      <c r="B512" t="s">
        <v>22</v>
      </c>
      <c r="C512" t="s">
        <v>1149</v>
      </c>
      <c r="D512" t="s">
        <v>1150</v>
      </c>
      <c r="E512" t="s">
        <v>1590</v>
      </c>
      <c r="F512">
        <v>1</v>
      </c>
      <c r="G512" t="s">
        <v>589</v>
      </c>
      <c r="H512" t="s">
        <v>1581</v>
      </c>
      <c r="I512" t="s">
        <v>1589</v>
      </c>
      <c r="L512" t="s">
        <v>1586</v>
      </c>
      <c r="M512" t="s">
        <v>73</v>
      </c>
      <c r="P512">
        <f t="shared" si="14"/>
        <v>1</v>
      </c>
      <c r="Q512" t="str">
        <f>IF(AND(P512&gt;1,COUNTIF($E$6:E512,E512)=1),MAX($Q$5:Q511)+1,"")</f>
        <v/>
      </c>
      <c r="R512" t="str">
        <f t="shared" si="15"/>
        <v/>
      </c>
    </row>
    <row r="513" spans="1:18" ht="22.95" customHeight="1">
      <c r="A513" t="s">
        <v>1573</v>
      </c>
      <c r="B513" t="s">
        <v>23</v>
      </c>
      <c r="C513" t="s">
        <v>103</v>
      </c>
      <c r="D513" t="s">
        <v>104</v>
      </c>
      <c r="E513" t="s">
        <v>1591</v>
      </c>
      <c r="F513">
        <v>1</v>
      </c>
      <c r="G513" t="s">
        <v>1592</v>
      </c>
      <c r="H513" t="s">
        <v>1593</v>
      </c>
      <c r="I513" t="s">
        <v>1594</v>
      </c>
      <c r="K513" t="s">
        <v>109</v>
      </c>
      <c r="L513" t="s">
        <v>1595</v>
      </c>
      <c r="M513" t="s">
        <v>73</v>
      </c>
      <c r="P513">
        <f t="shared" si="14"/>
        <v>1</v>
      </c>
      <c r="Q513" t="str">
        <f>IF(AND(P513&gt;1,COUNTIF($E$6:E513,E513)=1),MAX($Q$5:Q512)+1,"")</f>
        <v/>
      </c>
      <c r="R513" t="str">
        <f t="shared" si="15"/>
        <v/>
      </c>
    </row>
    <row r="514" spans="1:18" ht="22.95" customHeight="1">
      <c r="A514" t="s">
        <v>1573</v>
      </c>
      <c r="B514" t="s">
        <v>23</v>
      </c>
      <c r="C514" t="s">
        <v>103</v>
      </c>
      <c r="D514" t="s">
        <v>104</v>
      </c>
      <c r="E514" t="s">
        <v>1596</v>
      </c>
      <c r="F514">
        <v>1</v>
      </c>
      <c r="G514" t="s">
        <v>1592</v>
      </c>
      <c r="H514" t="s">
        <v>1593</v>
      </c>
      <c r="I514" t="s">
        <v>1594</v>
      </c>
      <c r="K514" t="s">
        <v>109</v>
      </c>
      <c r="L514" t="s">
        <v>1595</v>
      </c>
      <c r="M514" t="s">
        <v>73</v>
      </c>
      <c r="P514">
        <f t="shared" si="14"/>
        <v>1</v>
      </c>
      <c r="Q514" t="str">
        <f>IF(AND(P514&gt;1,COUNTIF($E$6:E514,E514)=1),MAX($Q$5:Q513)+1,"")</f>
        <v/>
      </c>
      <c r="R514" t="str">
        <f t="shared" si="15"/>
        <v/>
      </c>
    </row>
    <row r="515" spans="1:18" ht="22.95" customHeight="1">
      <c r="A515" t="s">
        <v>1573</v>
      </c>
      <c r="B515" t="s">
        <v>23</v>
      </c>
      <c r="C515" t="s">
        <v>103</v>
      </c>
      <c r="D515" t="s">
        <v>104</v>
      </c>
      <c r="E515" t="s">
        <v>1597</v>
      </c>
      <c r="F515">
        <v>1</v>
      </c>
      <c r="G515" t="s">
        <v>1592</v>
      </c>
      <c r="H515" t="s">
        <v>1593</v>
      </c>
      <c r="I515" t="s">
        <v>1594</v>
      </c>
      <c r="K515" t="s">
        <v>109</v>
      </c>
      <c r="L515" t="s">
        <v>1595</v>
      </c>
      <c r="M515" t="s">
        <v>73</v>
      </c>
      <c r="P515">
        <f t="shared" si="14"/>
        <v>1</v>
      </c>
      <c r="Q515" t="str">
        <f>IF(AND(P515&gt;1,COUNTIF($E$6:E515,E515)=1),MAX($Q$5:Q514)+1,"")</f>
        <v/>
      </c>
      <c r="R515" t="str">
        <f t="shared" si="15"/>
        <v/>
      </c>
    </row>
    <row r="516" spans="1:18" ht="22.95" customHeight="1">
      <c r="A516" t="s">
        <v>1573</v>
      </c>
      <c r="B516" t="s">
        <v>25</v>
      </c>
      <c r="C516" t="s">
        <v>115</v>
      </c>
      <c r="D516" t="s">
        <v>116</v>
      </c>
      <c r="E516" t="s">
        <v>1598</v>
      </c>
      <c r="F516">
        <v>1</v>
      </c>
      <c r="G516" t="s">
        <v>411</v>
      </c>
      <c r="H516" t="s">
        <v>1599</v>
      </c>
      <c r="I516" t="s">
        <v>1600</v>
      </c>
      <c r="K516" t="s">
        <v>109</v>
      </c>
      <c r="L516" t="s">
        <v>1601</v>
      </c>
      <c r="M516" t="s">
        <v>73</v>
      </c>
      <c r="P516">
        <f t="shared" si="14"/>
        <v>1</v>
      </c>
      <c r="Q516" t="str">
        <f>IF(AND(P516&gt;1,COUNTIF($E$6:E516,E516)=1),MAX($Q$5:Q515)+1,"")</f>
        <v/>
      </c>
      <c r="R516" t="str">
        <f t="shared" si="15"/>
        <v/>
      </c>
    </row>
    <row r="517" spans="1:18" ht="22.95" customHeight="1">
      <c r="A517" t="s">
        <v>1573</v>
      </c>
      <c r="B517" t="s">
        <v>25</v>
      </c>
      <c r="C517" t="s">
        <v>115</v>
      </c>
      <c r="D517" t="s">
        <v>116</v>
      </c>
      <c r="E517" t="s">
        <v>1602</v>
      </c>
      <c r="F517">
        <v>1</v>
      </c>
      <c r="G517" t="s">
        <v>411</v>
      </c>
      <c r="H517" t="s">
        <v>1599</v>
      </c>
      <c r="I517" t="s">
        <v>1600</v>
      </c>
      <c r="K517" t="s">
        <v>109</v>
      </c>
      <c r="L517" t="s">
        <v>1601</v>
      </c>
      <c r="M517" t="s">
        <v>73</v>
      </c>
      <c r="P517">
        <f t="shared" si="14"/>
        <v>1</v>
      </c>
      <c r="Q517" t="str">
        <f>IF(AND(P517&gt;1,COUNTIF($E$6:E517,E517)=1),MAX($Q$5:Q516)+1,"")</f>
        <v/>
      </c>
      <c r="R517" t="str">
        <f t="shared" si="15"/>
        <v/>
      </c>
    </row>
    <row r="518" spans="1:18" ht="22.95" customHeight="1">
      <c r="A518" t="s">
        <v>1573</v>
      </c>
      <c r="B518" t="s">
        <v>24</v>
      </c>
      <c r="C518" t="s">
        <v>426</v>
      </c>
      <c r="D518" t="s">
        <v>427</v>
      </c>
      <c r="E518" t="s">
        <v>1603</v>
      </c>
      <c r="F518">
        <v>1</v>
      </c>
      <c r="G518" t="s">
        <v>296</v>
      </c>
      <c r="H518" t="s">
        <v>1599</v>
      </c>
      <c r="I518" t="s">
        <v>112</v>
      </c>
      <c r="K518" t="s">
        <v>109</v>
      </c>
      <c r="L518" t="s">
        <v>1604</v>
      </c>
      <c r="M518" t="s">
        <v>102</v>
      </c>
      <c r="P518">
        <f t="shared" ref="P518:P581" si="16">COUNTIF($E$6:$E$1740,E518)</f>
        <v>1</v>
      </c>
      <c r="Q518" t="str">
        <f>IF(AND(P518&gt;1,COUNTIF($E$6:E518,E518)=1),MAX($Q$5:Q517)+1,"")</f>
        <v/>
      </c>
      <c r="R518" t="str">
        <f t="shared" ref="R518:R581" si="17">IF(Q518="","",IF(COUNTIFS($E$6:$E$1740,E518,$A$6:$A$1740,A518,$C$6:$C$1740,C518)&lt;P518,"LÉGITIME",IF(COUNTIFS($E$6:$E$1740,E518,$A$6:$A$1740,A518,$C$6:$C$1740,C518,$M$6:$M$1740,M518)&lt;P518,"STATUT DIFFÉRENT","VRAI DOUBLON")))</f>
        <v/>
      </c>
    </row>
    <row r="519" spans="1:18" ht="22.95" customHeight="1">
      <c r="A519" t="s">
        <v>1573</v>
      </c>
      <c r="B519" t="s">
        <v>24</v>
      </c>
      <c r="C519" t="s">
        <v>426</v>
      </c>
      <c r="D519" t="s">
        <v>427</v>
      </c>
      <c r="E519" t="s">
        <v>1605</v>
      </c>
      <c r="F519">
        <v>1</v>
      </c>
      <c r="G519" t="s">
        <v>1047</v>
      </c>
      <c r="H519" t="s">
        <v>1606</v>
      </c>
      <c r="I519" t="s">
        <v>112</v>
      </c>
      <c r="K519" t="s">
        <v>109</v>
      </c>
      <c r="L519" t="s">
        <v>1607</v>
      </c>
      <c r="M519" t="s">
        <v>73</v>
      </c>
      <c r="P519">
        <f t="shared" si="16"/>
        <v>1</v>
      </c>
      <c r="Q519" t="str">
        <f>IF(AND(P519&gt;1,COUNTIF($E$6:E519,E519)=1),MAX($Q$5:Q518)+1,"")</f>
        <v/>
      </c>
      <c r="R519" t="str">
        <f t="shared" si="17"/>
        <v/>
      </c>
    </row>
    <row r="520" spans="1:18" ht="22.95" customHeight="1">
      <c r="A520" t="s">
        <v>1573</v>
      </c>
      <c r="B520" t="s">
        <v>24</v>
      </c>
      <c r="C520" t="s">
        <v>426</v>
      </c>
      <c r="D520" t="s">
        <v>427</v>
      </c>
      <c r="E520" t="s">
        <v>1608</v>
      </c>
      <c r="F520">
        <v>1</v>
      </c>
      <c r="I520" t="s">
        <v>1609</v>
      </c>
      <c r="K520" t="s">
        <v>109</v>
      </c>
      <c r="L520" t="s">
        <v>1610</v>
      </c>
      <c r="M520" t="s">
        <v>73</v>
      </c>
      <c r="P520">
        <f t="shared" si="16"/>
        <v>1</v>
      </c>
      <c r="Q520" t="str">
        <f>IF(AND(P520&gt;1,COUNTIF($E$6:E520,E520)=1),MAX($Q$5:Q519)+1,"")</f>
        <v/>
      </c>
      <c r="R520" t="str">
        <f t="shared" si="17"/>
        <v/>
      </c>
    </row>
    <row r="521" spans="1:18" ht="22.95" customHeight="1">
      <c r="A521" t="s">
        <v>1573</v>
      </c>
      <c r="B521" t="s">
        <v>24</v>
      </c>
      <c r="C521" t="s">
        <v>426</v>
      </c>
      <c r="D521" t="s">
        <v>427</v>
      </c>
      <c r="E521" t="s">
        <v>1611</v>
      </c>
      <c r="F521">
        <v>1</v>
      </c>
      <c r="G521" t="s">
        <v>139</v>
      </c>
      <c r="I521" t="s">
        <v>1612</v>
      </c>
      <c r="K521" t="s">
        <v>109</v>
      </c>
      <c r="L521" t="s">
        <v>1613</v>
      </c>
      <c r="M521" t="s">
        <v>62</v>
      </c>
      <c r="P521">
        <f t="shared" si="16"/>
        <v>1</v>
      </c>
      <c r="Q521" t="str">
        <f>IF(AND(P521&gt;1,COUNTIF($E$6:E521,E521)=1),MAX($Q$5:Q520)+1,"")</f>
        <v/>
      </c>
      <c r="R521" t="str">
        <f t="shared" si="17"/>
        <v/>
      </c>
    </row>
    <row r="522" spans="1:18" ht="22.95" customHeight="1">
      <c r="A522" t="s">
        <v>1573</v>
      </c>
      <c r="B522" t="s">
        <v>24</v>
      </c>
      <c r="C522" t="s">
        <v>426</v>
      </c>
      <c r="D522" t="s">
        <v>427</v>
      </c>
      <c r="E522" t="s">
        <v>1614</v>
      </c>
      <c r="F522">
        <v>1</v>
      </c>
      <c r="G522" t="s">
        <v>92</v>
      </c>
      <c r="I522" t="s">
        <v>1615</v>
      </c>
      <c r="K522" t="s">
        <v>109</v>
      </c>
      <c r="L522" t="s">
        <v>1616</v>
      </c>
      <c r="M522" t="s">
        <v>62</v>
      </c>
      <c r="N522" t="s">
        <v>187</v>
      </c>
      <c r="P522">
        <f t="shared" si="16"/>
        <v>1</v>
      </c>
      <c r="Q522" t="str">
        <f>IF(AND(P522&gt;1,COUNTIF($E$6:E522,E522)=1),MAX($Q$5:Q521)+1,"")</f>
        <v/>
      </c>
      <c r="R522" t="str">
        <f t="shared" si="17"/>
        <v/>
      </c>
    </row>
    <row r="523" spans="1:18" ht="22.95" customHeight="1">
      <c r="A523" t="s">
        <v>1573</v>
      </c>
      <c r="B523" t="s">
        <v>24</v>
      </c>
      <c r="C523" t="s">
        <v>426</v>
      </c>
      <c r="D523" t="s">
        <v>427</v>
      </c>
      <c r="E523" t="s">
        <v>1617</v>
      </c>
      <c r="F523">
        <v>1</v>
      </c>
      <c r="G523" t="s">
        <v>92</v>
      </c>
      <c r="I523" t="s">
        <v>1618</v>
      </c>
      <c r="J523" t="s">
        <v>672</v>
      </c>
      <c r="K523" t="s">
        <v>109</v>
      </c>
      <c r="L523" t="s">
        <v>1619</v>
      </c>
      <c r="M523" t="s">
        <v>102</v>
      </c>
      <c r="P523">
        <f t="shared" si="16"/>
        <v>1</v>
      </c>
      <c r="Q523" t="str">
        <f>IF(AND(P523&gt;1,COUNTIF($E$6:E523,E523)=1),MAX($Q$5:Q522)+1,"")</f>
        <v/>
      </c>
      <c r="R523" t="str">
        <f t="shared" si="17"/>
        <v/>
      </c>
    </row>
    <row r="524" spans="1:18" ht="22.95" customHeight="1">
      <c r="A524" t="s">
        <v>1573</v>
      </c>
      <c r="B524" t="s">
        <v>24</v>
      </c>
      <c r="C524" t="s">
        <v>426</v>
      </c>
      <c r="D524" t="s">
        <v>427</v>
      </c>
      <c r="E524" t="s">
        <v>1620</v>
      </c>
      <c r="F524">
        <v>1</v>
      </c>
      <c r="G524" t="s">
        <v>92</v>
      </c>
      <c r="I524" t="s">
        <v>1621</v>
      </c>
      <c r="J524" t="s">
        <v>99</v>
      </c>
      <c r="K524" t="s">
        <v>109</v>
      </c>
      <c r="L524" t="s">
        <v>1622</v>
      </c>
      <c r="M524" t="s">
        <v>102</v>
      </c>
      <c r="P524">
        <f t="shared" si="16"/>
        <v>1</v>
      </c>
      <c r="Q524" t="str">
        <f>IF(AND(P524&gt;1,COUNTIF($E$6:E524,E524)=1),MAX($Q$5:Q523)+1,"")</f>
        <v/>
      </c>
      <c r="R524" t="str">
        <f t="shared" si="17"/>
        <v/>
      </c>
    </row>
    <row r="525" spans="1:18" ht="22.95" customHeight="1">
      <c r="A525" t="s">
        <v>1573</v>
      </c>
      <c r="B525" t="s">
        <v>28</v>
      </c>
      <c r="C525" t="s">
        <v>167</v>
      </c>
      <c r="D525" t="s">
        <v>168</v>
      </c>
      <c r="E525" t="s">
        <v>1623</v>
      </c>
      <c r="F525">
        <v>1</v>
      </c>
      <c r="G525" t="s">
        <v>139</v>
      </c>
      <c r="I525" t="s">
        <v>406</v>
      </c>
      <c r="K525" t="s">
        <v>141</v>
      </c>
      <c r="L525" t="s">
        <v>1624</v>
      </c>
      <c r="M525" t="s">
        <v>62</v>
      </c>
      <c r="P525">
        <f t="shared" si="16"/>
        <v>1</v>
      </c>
      <c r="Q525" t="str">
        <f>IF(AND(P525&gt;1,COUNTIF($E$6:E525,E525)=1),MAX($Q$5:Q524)+1,"")</f>
        <v/>
      </c>
      <c r="R525" t="str">
        <f t="shared" si="17"/>
        <v/>
      </c>
    </row>
    <row r="526" spans="1:18" ht="22.95" customHeight="1">
      <c r="A526" t="s">
        <v>1573</v>
      </c>
      <c r="B526" t="s">
        <v>28</v>
      </c>
      <c r="C526" t="s">
        <v>167</v>
      </c>
      <c r="D526" t="s">
        <v>168</v>
      </c>
      <c r="E526" t="s">
        <v>1625</v>
      </c>
      <c r="F526">
        <v>1</v>
      </c>
      <c r="G526" t="s">
        <v>139</v>
      </c>
      <c r="I526" t="s">
        <v>406</v>
      </c>
      <c r="K526" t="s">
        <v>141</v>
      </c>
      <c r="L526" t="s">
        <v>1624</v>
      </c>
      <c r="M526" t="s">
        <v>62</v>
      </c>
      <c r="P526">
        <f t="shared" si="16"/>
        <v>1</v>
      </c>
      <c r="Q526" t="str">
        <f>IF(AND(P526&gt;1,COUNTIF($E$6:E526,E526)=1),MAX($Q$5:Q525)+1,"")</f>
        <v/>
      </c>
      <c r="R526" t="str">
        <f t="shared" si="17"/>
        <v/>
      </c>
    </row>
    <row r="527" spans="1:18" ht="22.95" customHeight="1">
      <c r="A527" t="s">
        <v>1573</v>
      </c>
      <c r="B527" t="s">
        <v>28</v>
      </c>
      <c r="C527" t="s">
        <v>167</v>
      </c>
      <c r="D527" t="s">
        <v>168</v>
      </c>
      <c r="E527" t="s">
        <v>1626</v>
      </c>
      <c r="F527">
        <v>1</v>
      </c>
      <c r="G527" t="s">
        <v>1627</v>
      </c>
      <c r="H527" t="s">
        <v>1628</v>
      </c>
      <c r="I527" t="s">
        <v>1629</v>
      </c>
      <c r="K527" t="s">
        <v>78</v>
      </c>
      <c r="L527" t="s">
        <v>1630</v>
      </c>
      <c r="M527" t="s">
        <v>73</v>
      </c>
      <c r="P527">
        <f t="shared" si="16"/>
        <v>1</v>
      </c>
      <c r="Q527" t="str">
        <f>IF(AND(P527&gt;1,COUNTIF($E$6:E527,E527)=1),MAX($Q$5:Q526)+1,"")</f>
        <v/>
      </c>
      <c r="R527" t="str">
        <f t="shared" si="17"/>
        <v/>
      </c>
    </row>
    <row r="528" spans="1:18" ht="22.95" customHeight="1">
      <c r="A528" t="s">
        <v>1573</v>
      </c>
      <c r="B528" t="s">
        <v>28</v>
      </c>
      <c r="C528" t="s">
        <v>167</v>
      </c>
      <c r="D528" t="s">
        <v>168</v>
      </c>
      <c r="E528" t="s">
        <v>1631</v>
      </c>
      <c r="F528">
        <v>1</v>
      </c>
      <c r="G528" t="s">
        <v>1627</v>
      </c>
      <c r="H528" t="s">
        <v>1628</v>
      </c>
      <c r="I528" t="s">
        <v>1629</v>
      </c>
      <c r="K528" t="s">
        <v>78</v>
      </c>
      <c r="L528" t="s">
        <v>1630</v>
      </c>
      <c r="M528" t="s">
        <v>73</v>
      </c>
      <c r="P528">
        <f t="shared" si="16"/>
        <v>1</v>
      </c>
      <c r="Q528" t="str">
        <f>IF(AND(P528&gt;1,COUNTIF($E$6:E528,E528)=1),MAX($Q$5:Q527)+1,"")</f>
        <v/>
      </c>
      <c r="R528" t="str">
        <f t="shared" si="17"/>
        <v/>
      </c>
    </row>
    <row r="529" spans="1:18" ht="22.95" customHeight="1">
      <c r="A529" t="s">
        <v>1573</v>
      </c>
      <c r="B529" t="s">
        <v>28</v>
      </c>
      <c r="C529" t="s">
        <v>167</v>
      </c>
      <c r="D529" t="s">
        <v>168</v>
      </c>
      <c r="E529" t="s">
        <v>1632</v>
      </c>
      <c r="F529">
        <v>1</v>
      </c>
      <c r="G529" t="s">
        <v>92</v>
      </c>
      <c r="I529" t="s">
        <v>1633</v>
      </c>
      <c r="K529" t="s">
        <v>1634</v>
      </c>
      <c r="L529" t="s">
        <v>1635</v>
      </c>
      <c r="M529" t="s">
        <v>102</v>
      </c>
      <c r="P529">
        <f t="shared" si="16"/>
        <v>1</v>
      </c>
      <c r="Q529" t="str">
        <f>IF(AND(P529&gt;1,COUNTIF($E$6:E529,E529)=1),MAX($Q$5:Q528)+1,"")</f>
        <v/>
      </c>
      <c r="R529" t="str">
        <f t="shared" si="17"/>
        <v/>
      </c>
    </row>
    <row r="530" spans="1:18" ht="22.95" customHeight="1">
      <c r="A530" t="s">
        <v>1573</v>
      </c>
      <c r="B530" t="s">
        <v>28</v>
      </c>
      <c r="C530" t="s">
        <v>167</v>
      </c>
      <c r="D530" t="s">
        <v>168</v>
      </c>
      <c r="E530" t="s">
        <v>1636</v>
      </c>
      <c r="F530">
        <v>1</v>
      </c>
      <c r="G530" t="s">
        <v>92</v>
      </c>
      <c r="I530" t="s">
        <v>462</v>
      </c>
      <c r="K530" t="s">
        <v>866</v>
      </c>
      <c r="L530" t="s">
        <v>1630</v>
      </c>
      <c r="M530" t="s">
        <v>73</v>
      </c>
      <c r="P530">
        <f t="shared" si="16"/>
        <v>1</v>
      </c>
      <c r="Q530" t="str">
        <f>IF(AND(P530&gt;1,COUNTIF($E$6:E530,E530)=1),MAX($Q$5:Q529)+1,"")</f>
        <v/>
      </c>
      <c r="R530" t="str">
        <f t="shared" si="17"/>
        <v/>
      </c>
    </row>
    <row r="531" spans="1:18" ht="22.95" customHeight="1">
      <c r="A531" t="s">
        <v>1573</v>
      </c>
      <c r="B531" t="s">
        <v>28</v>
      </c>
      <c r="C531" t="s">
        <v>167</v>
      </c>
      <c r="D531" t="s">
        <v>168</v>
      </c>
      <c r="E531" t="s">
        <v>1637</v>
      </c>
      <c r="F531">
        <v>1</v>
      </c>
      <c r="G531" t="s">
        <v>92</v>
      </c>
      <c r="I531" t="s">
        <v>1638</v>
      </c>
      <c r="K531" t="s">
        <v>109</v>
      </c>
      <c r="L531" t="s">
        <v>1630</v>
      </c>
      <c r="M531" t="s">
        <v>73</v>
      </c>
      <c r="P531">
        <f t="shared" si="16"/>
        <v>1</v>
      </c>
      <c r="Q531" t="str">
        <f>IF(AND(P531&gt;1,COUNTIF($E$6:E531,E531)=1),MAX($Q$5:Q530)+1,"")</f>
        <v/>
      </c>
      <c r="R531" t="str">
        <f t="shared" si="17"/>
        <v/>
      </c>
    </row>
    <row r="532" spans="1:18" ht="22.95" customHeight="1">
      <c r="A532" t="s">
        <v>1573</v>
      </c>
      <c r="B532" t="s">
        <v>28</v>
      </c>
      <c r="C532" t="s">
        <v>167</v>
      </c>
      <c r="D532" t="s">
        <v>168</v>
      </c>
      <c r="E532" t="s">
        <v>1639</v>
      </c>
      <c r="F532">
        <v>1</v>
      </c>
      <c r="G532" t="s">
        <v>92</v>
      </c>
      <c r="I532" t="s">
        <v>1640</v>
      </c>
      <c r="K532" t="s">
        <v>1634</v>
      </c>
      <c r="L532" t="s">
        <v>1630</v>
      </c>
      <c r="M532" t="s">
        <v>73</v>
      </c>
      <c r="P532">
        <f t="shared" si="16"/>
        <v>1</v>
      </c>
      <c r="Q532" t="str">
        <f>IF(AND(P532&gt;1,COUNTIF($E$6:E532,E532)=1),MAX($Q$5:Q531)+1,"")</f>
        <v/>
      </c>
      <c r="R532" t="str">
        <f t="shared" si="17"/>
        <v/>
      </c>
    </row>
    <row r="533" spans="1:18" ht="22.95" customHeight="1">
      <c r="A533" t="s">
        <v>1573</v>
      </c>
      <c r="B533" t="s">
        <v>28</v>
      </c>
      <c r="C533" t="s">
        <v>167</v>
      </c>
      <c r="D533" t="s">
        <v>168</v>
      </c>
      <c r="E533" t="s">
        <v>1641</v>
      </c>
      <c r="F533">
        <v>1</v>
      </c>
      <c r="G533" t="s">
        <v>454</v>
      </c>
      <c r="H533" t="s">
        <v>1642</v>
      </c>
      <c r="I533" t="s">
        <v>1643</v>
      </c>
      <c r="K533" t="s">
        <v>1634</v>
      </c>
      <c r="L533" t="s">
        <v>1630</v>
      </c>
      <c r="M533" t="s">
        <v>73</v>
      </c>
      <c r="P533">
        <f t="shared" si="16"/>
        <v>1</v>
      </c>
      <c r="Q533" t="str">
        <f>IF(AND(P533&gt;1,COUNTIF($E$6:E533,E533)=1),MAX($Q$5:Q532)+1,"")</f>
        <v/>
      </c>
      <c r="R533" t="str">
        <f t="shared" si="17"/>
        <v/>
      </c>
    </row>
    <row r="534" spans="1:18" ht="22.95" customHeight="1">
      <c r="A534" t="s">
        <v>1573</v>
      </c>
      <c r="B534" t="s">
        <v>28</v>
      </c>
      <c r="C534" t="s">
        <v>167</v>
      </c>
      <c r="D534" t="s">
        <v>168</v>
      </c>
      <c r="E534" t="s">
        <v>1644</v>
      </c>
      <c r="F534">
        <v>1</v>
      </c>
      <c r="G534" t="s">
        <v>92</v>
      </c>
      <c r="I534" t="s">
        <v>1645</v>
      </c>
      <c r="K534" t="s">
        <v>1634</v>
      </c>
      <c r="L534" t="s">
        <v>1630</v>
      </c>
      <c r="M534" t="s">
        <v>73</v>
      </c>
      <c r="P534">
        <f t="shared" si="16"/>
        <v>1</v>
      </c>
      <c r="Q534" t="str">
        <f>IF(AND(P534&gt;1,COUNTIF($E$6:E534,E534)=1),MAX($Q$5:Q533)+1,"")</f>
        <v/>
      </c>
      <c r="R534" t="str">
        <f t="shared" si="17"/>
        <v/>
      </c>
    </row>
    <row r="535" spans="1:18" ht="22.95" customHeight="1">
      <c r="A535" t="s">
        <v>1573</v>
      </c>
      <c r="B535" t="s">
        <v>27</v>
      </c>
      <c r="C535" t="s">
        <v>1069</v>
      </c>
      <c r="D535" t="s">
        <v>1070</v>
      </c>
      <c r="E535" t="s">
        <v>1646</v>
      </c>
      <c r="F535">
        <v>1</v>
      </c>
      <c r="G535" t="s">
        <v>1647</v>
      </c>
      <c r="H535" t="s">
        <v>1648</v>
      </c>
      <c r="I535" t="s">
        <v>1649</v>
      </c>
      <c r="K535" t="s">
        <v>109</v>
      </c>
      <c r="L535" t="s">
        <v>1650</v>
      </c>
      <c r="M535" t="s">
        <v>73</v>
      </c>
      <c r="P535">
        <f t="shared" si="16"/>
        <v>1</v>
      </c>
      <c r="Q535" t="str">
        <f>IF(AND(P535&gt;1,COUNTIF($E$6:E535,E535)=1),MAX($Q$5:Q534)+1,"")</f>
        <v/>
      </c>
      <c r="R535" t="str">
        <f t="shared" si="17"/>
        <v/>
      </c>
    </row>
    <row r="536" spans="1:18" ht="22.95" customHeight="1">
      <c r="A536" t="s">
        <v>1573</v>
      </c>
      <c r="B536" t="s">
        <v>27</v>
      </c>
      <c r="C536" t="s">
        <v>1069</v>
      </c>
      <c r="D536" t="s">
        <v>1070</v>
      </c>
      <c r="E536" t="s">
        <v>1651</v>
      </c>
      <c r="F536">
        <v>1</v>
      </c>
      <c r="G536" t="s">
        <v>1647</v>
      </c>
      <c r="H536" t="s">
        <v>1648</v>
      </c>
      <c r="I536" t="s">
        <v>1652</v>
      </c>
      <c r="K536" t="s">
        <v>112</v>
      </c>
      <c r="L536" t="s">
        <v>1653</v>
      </c>
      <c r="M536" t="s">
        <v>73</v>
      </c>
      <c r="P536">
        <f t="shared" si="16"/>
        <v>1</v>
      </c>
      <c r="Q536" t="str">
        <f>IF(AND(P536&gt;1,COUNTIF($E$6:E536,E536)=1),MAX($Q$5:Q535)+1,"")</f>
        <v/>
      </c>
      <c r="R536" t="str">
        <f t="shared" si="17"/>
        <v/>
      </c>
    </row>
    <row r="537" spans="1:18" ht="22.95" customHeight="1">
      <c r="A537" t="s">
        <v>1573</v>
      </c>
      <c r="B537" t="s">
        <v>30</v>
      </c>
      <c r="C537" t="s">
        <v>188</v>
      </c>
      <c r="D537" t="s">
        <v>189</v>
      </c>
      <c r="E537" t="s">
        <v>1654</v>
      </c>
      <c r="F537">
        <v>1</v>
      </c>
      <c r="G537" t="s">
        <v>1236</v>
      </c>
      <c r="H537" t="s">
        <v>1642</v>
      </c>
      <c r="I537" t="s">
        <v>1655</v>
      </c>
      <c r="K537" t="s">
        <v>1656</v>
      </c>
      <c r="L537" t="s">
        <v>1657</v>
      </c>
      <c r="M537" t="s">
        <v>73</v>
      </c>
      <c r="P537">
        <f t="shared" si="16"/>
        <v>1</v>
      </c>
      <c r="Q537" t="str">
        <f>IF(AND(P537&gt;1,COUNTIF($E$6:E537,E537)=1),MAX($Q$5:Q536)+1,"")</f>
        <v/>
      </c>
      <c r="R537" t="str">
        <f t="shared" si="17"/>
        <v/>
      </c>
    </row>
    <row r="538" spans="1:18" ht="22.95" customHeight="1">
      <c r="A538" t="s">
        <v>1573</v>
      </c>
      <c r="B538" t="s">
        <v>30</v>
      </c>
      <c r="C538" t="s">
        <v>188</v>
      </c>
      <c r="D538" t="s">
        <v>189</v>
      </c>
      <c r="E538" t="s">
        <v>1658</v>
      </c>
      <c r="F538">
        <v>1</v>
      </c>
      <c r="G538" t="s">
        <v>139</v>
      </c>
      <c r="I538" t="s">
        <v>1659</v>
      </c>
      <c r="K538" t="s">
        <v>1660</v>
      </c>
      <c r="L538" t="s">
        <v>1661</v>
      </c>
      <c r="M538" t="s">
        <v>73</v>
      </c>
      <c r="P538">
        <f t="shared" si="16"/>
        <v>1</v>
      </c>
      <c r="Q538" t="str">
        <f>IF(AND(P538&gt;1,COUNTIF($E$6:E538,E538)=1),MAX($Q$5:Q537)+1,"")</f>
        <v/>
      </c>
      <c r="R538" t="str">
        <f t="shared" si="17"/>
        <v/>
      </c>
    </row>
    <row r="539" spans="1:18" ht="22.95" customHeight="1">
      <c r="A539" t="s">
        <v>1573</v>
      </c>
      <c r="B539" t="s">
        <v>30</v>
      </c>
      <c r="C539" t="s">
        <v>188</v>
      </c>
      <c r="D539" t="s">
        <v>189</v>
      </c>
      <c r="E539" t="s">
        <v>1662</v>
      </c>
      <c r="F539">
        <v>1</v>
      </c>
      <c r="G539" t="s">
        <v>1236</v>
      </c>
      <c r="H539" t="s">
        <v>1642</v>
      </c>
      <c r="I539" t="s">
        <v>1663</v>
      </c>
      <c r="K539" t="s">
        <v>1664</v>
      </c>
      <c r="L539" t="s">
        <v>1665</v>
      </c>
      <c r="M539" t="s">
        <v>73</v>
      </c>
      <c r="P539">
        <f t="shared" si="16"/>
        <v>1</v>
      </c>
      <c r="Q539" t="str">
        <f>IF(AND(P539&gt;1,COUNTIF($E$6:E539,E539)=1),MAX($Q$5:Q538)+1,"")</f>
        <v/>
      </c>
      <c r="R539" t="str">
        <f t="shared" si="17"/>
        <v/>
      </c>
    </row>
    <row r="540" spans="1:18" ht="22.95" customHeight="1">
      <c r="A540" t="s">
        <v>1573</v>
      </c>
      <c r="B540" t="s">
        <v>26</v>
      </c>
      <c r="C540" t="s">
        <v>196</v>
      </c>
      <c r="D540" t="s">
        <v>197</v>
      </c>
      <c r="E540" t="s">
        <v>1666</v>
      </c>
      <c r="F540">
        <v>1</v>
      </c>
      <c r="G540" t="s">
        <v>92</v>
      </c>
      <c r="I540" t="s">
        <v>1667</v>
      </c>
      <c r="K540" t="s">
        <v>599</v>
      </c>
      <c r="L540" t="s">
        <v>1668</v>
      </c>
      <c r="M540" t="s">
        <v>102</v>
      </c>
      <c r="P540">
        <f t="shared" si="16"/>
        <v>1</v>
      </c>
      <c r="Q540" t="str">
        <f>IF(AND(P540&gt;1,COUNTIF($E$6:E540,E540)=1),MAX($Q$5:Q539)+1,"")</f>
        <v/>
      </c>
      <c r="R540" t="str">
        <f t="shared" si="17"/>
        <v/>
      </c>
    </row>
    <row r="541" spans="1:18" ht="22.95" customHeight="1">
      <c r="A541" t="s">
        <v>1573</v>
      </c>
      <c r="B541" t="s">
        <v>32</v>
      </c>
      <c r="C541" t="s">
        <v>200</v>
      </c>
      <c r="D541" t="s">
        <v>201</v>
      </c>
      <c r="E541" t="s">
        <v>1669</v>
      </c>
      <c r="F541">
        <v>1</v>
      </c>
      <c r="G541" t="s">
        <v>1670</v>
      </c>
      <c r="H541" t="s">
        <v>1671</v>
      </c>
      <c r="I541" t="s">
        <v>1672</v>
      </c>
      <c r="L541" t="s">
        <v>1673</v>
      </c>
      <c r="M541" t="s">
        <v>73</v>
      </c>
      <c r="P541">
        <f t="shared" si="16"/>
        <v>1</v>
      </c>
      <c r="Q541" t="str">
        <f>IF(AND(P541&gt;1,COUNTIF($E$6:E541,E541)=1),MAX($Q$5:Q540)+1,"")</f>
        <v/>
      </c>
      <c r="R541" t="str">
        <f t="shared" si="17"/>
        <v/>
      </c>
    </row>
    <row r="542" spans="1:18" ht="22.95" customHeight="1">
      <c r="A542" t="s">
        <v>1573</v>
      </c>
      <c r="B542" t="s">
        <v>21</v>
      </c>
      <c r="C542" t="s">
        <v>724</v>
      </c>
      <c r="D542" t="s">
        <v>725</v>
      </c>
      <c r="E542" t="s">
        <v>1674</v>
      </c>
      <c r="F542">
        <v>1</v>
      </c>
      <c r="G542" t="s">
        <v>500</v>
      </c>
      <c r="H542" t="s">
        <v>1675</v>
      </c>
      <c r="I542" t="s">
        <v>1676</v>
      </c>
      <c r="K542" t="s">
        <v>1423</v>
      </c>
      <c r="L542" t="s">
        <v>1677</v>
      </c>
      <c r="M542" t="s">
        <v>62</v>
      </c>
      <c r="N542" t="s">
        <v>130</v>
      </c>
      <c r="P542">
        <f t="shared" si="16"/>
        <v>1</v>
      </c>
      <c r="Q542" t="str">
        <f>IF(AND(P542&gt;1,COUNTIF($E$6:E542,E542)=1),MAX($Q$5:Q541)+1,"")</f>
        <v/>
      </c>
      <c r="R542" t="str">
        <f t="shared" si="17"/>
        <v/>
      </c>
    </row>
    <row r="543" spans="1:18" ht="22.95" customHeight="1">
      <c r="A543" t="s">
        <v>1573</v>
      </c>
      <c r="B543" t="s">
        <v>21</v>
      </c>
      <c r="C543" t="s">
        <v>724</v>
      </c>
      <c r="D543" t="s">
        <v>725</v>
      </c>
      <c r="E543" t="s">
        <v>1678</v>
      </c>
      <c r="F543">
        <v>1</v>
      </c>
      <c r="G543" t="s">
        <v>500</v>
      </c>
      <c r="H543" t="s">
        <v>1675</v>
      </c>
      <c r="I543" t="s">
        <v>1679</v>
      </c>
      <c r="K543" t="s">
        <v>1423</v>
      </c>
      <c r="L543" t="s">
        <v>1680</v>
      </c>
      <c r="M543" t="s">
        <v>62</v>
      </c>
      <c r="N543" t="s">
        <v>130</v>
      </c>
      <c r="P543">
        <f t="shared" si="16"/>
        <v>1</v>
      </c>
      <c r="Q543" t="str">
        <f>IF(AND(P543&gt;1,COUNTIF($E$6:E543,E543)=1),MAX($Q$5:Q542)+1,"")</f>
        <v/>
      </c>
      <c r="R543" t="str">
        <f t="shared" si="17"/>
        <v/>
      </c>
    </row>
    <row r="544" spans="1:18" ht="22.95" customHeight="1">
      <c r="A544" t="s">
        <v>1573</v>
      </c>
      <c r="B544" t="s">
        <v>21</v>
      </c>
      <c r="C544" t="s">
        <v>207</v>
      </c>
      <c r="D544" t="s">
        <v>208</v>
      </c>
      <c r="E544" t="s">
        <v>1681</v>
      </c>
      <c r="F544">
        <v>1</v>
      </c>
      <c r="G544" t="s">
        <v>1682</v>
      </c>
      <c r="H544" t="s">
        <v>1449</v>
      </c>
      <c r="I544" t="s">
        <v>112</v>
      </c>
      <c r="K544" t="s">
        <v>109</v>
      </c>
      <c r="L544" t="s">
        <v>1683</v>
      </c>
      <c r="M544" t="s">
        <v>73</v>
      </c>
      <c r="P544">
        <f t="shared" si="16"/>
        <v>1</v>
      </c>
      <c r="Q544" t="str">
        <f>IF(AND(P544&gt;1,COUNTIF($E$6:E544,E544)=1),MAX($Q$5:Q543)+1,"")</f>
        <v/>
      </c>
      <c r="R544" t="str">
        <f t="shared" si="17"/>
        <v/>
      </c>
    </row>
    <row r="545" spans="1:18" ht="22.95" customHeight="1">
      <c r="A545" t="s">
        <v>1573</v>
      </c>
      <c r="B545" t="s">
        <v>21</v>
      </c>
      <c r="C545" t="s">
        <v>215</v>
      </c>
      <c r="D545" t="s">
        <v>216</v>
      </c>
      <c r="E545" t="s">
        <v>1684</v>
      </c>
      <c r="F545">
        <v>1</v>
      </c>
      <c r="G545" t="s">
        <v>1685</v>
      </c>
      <c r="H545" t="s">
        <v>1686</v>
      </c>
      <c r="I545" t="s">
        <v>1687</v>
      </c>
      <c r="K545" t="s">
        <v>109</v>
      </c>
      <c r="L545" t="s">
        <v>1688</v>
      </c>
      <c r="M545" t="s">
        <v>73</v>
      </c>
      <c r="P545">
        <f t="shared" si="16"/>
        <v>1</v>
      </c>
      <c r="Q545" t="str">
        <f>IF(AND(P545&gt;1,COUNTIF($E$6:E545,E545)=1),MAX($Q$5:Q544)+1,"")</f>
        <v/>
      </c>
      <c r="R545" t="str">
        <f t="shared" si="17"/>
        <v/>
      </c>
    </row>
    <row r="546" spans="1:18" ht="22.95" customHeight="1">
      <c r="A546" t="s">
        <v>1573</v>
      </c>
      <c r="B546" t="s">
        <v>21</v>
      </c>
      <c r="C546" t="s">
        <v>215</v>
      </c>
      <c r="D546" t="s">
        <v>216</v>
      </c>
      <c r="E546" t="s">
        <v>1689</v>
      </c>
      <c r="F546">
        <v>1</v>
      </c>
      <c r="G546" t="s">
        <v>1690</v>
      </c>
      <c r="H546" t="s">
        <v>1691</v>
      </c>
      <c r="I546" t="s">
        <v>1692</v>
      </c>
      <c r="K546" t="s">
        <v>109</v>
      </c>
      <c r="L546" t="s">
        <v>1693</v>
      </c>
      <c r="M546" t="s">
        <v>62</v>
      </c>
      <c r="N546" t="s">
        <v>130</v>
      </c>
      <c r="P546">
        <f t="shared" si="16"/>
        <v>1</v>
      </c>
      <c r="Q546" t="str">
        <f>IF(AND(P546&gt;1,COUNTIF($E$6:E546,E546)=1),MAX($Q$5:Q545)+1,"")</f>
        <v/>
      </c>
      <c r="R546" t="str">
        <f t="shared" si="17"/>
        <v/>
      </c>
    </row>
    <row r="547" spans="1:18" ht="22.95" customHeight="1">
      <c r="A547" t="s">
        <v>1573</v>
      </c>
      <c r="B547" t="s">
        <v>21</v>
      </c>
      <c r="C547" t="s">
        <v>215</v>
      </c>
      <c r="D547" t="s">
        <v>216</v>
      </c>
      <c r="E547" t="s">
        <v>1694</v>
      </c>
      <c r="F547">
        <v>1</v>
      </c>
      <c r="G547" t="s">
        <v>1685</v>
      </c>
      <c r="H547" t="s">
        <v>1686</v>
      </c>
      <c r="I547" t="s">
        <v>1695</v>
      </c>
      <c r="K547" t="s">
        <v>109</v>
      </c>
      <c r="L547" t="s">
        <v>1696</v>
      </c>
      <c r="M547" t="s">
        <v>62</v>
      </c>
      <c r="N547" t="s">
        <v>130</v>
      </c>
      <c r="P547">
        <f t="shared" si="16"/>
        <v>1</v>
      </c>
      <c r="Q547" t="str">
        <f>IF(AND(P547&gt;1,COUNTIF($E$6:E547,E547)=1),MAX($Q$5:Q546)+1,"")</f>
        <v/>
      </c>
      <c r="R547" t="str">
        <f t="shared" si="17"/>
        <v/>
      </c>
    </row>
    <row r="548" spans="1:18" ht="22.95" customHeight="1">
      <c r="A548" t="s">
        <v>1573</v>
      </c>
      <c r="B548" t="s">
        <v>21</v>
      </c>
      <c r="C548" t="s">
        <v>215</v>
      </c>
      <c r="D548" t="s">
        <v>216</v>
      </c>
      <c r="E548" t="s">
        <v>1697</v>
      </c>
      <c r="F548">
        <v>1</v>
      </c>
      <c r="G548" t="s">
        <v>508</v>
      </c>
      <c r="H548" t="s">
        <v>1698</v>
      </c>
      <c r="I548" t="s">
        <v>1699</v>
      </c>
      <c r="K548" t="s">
        <v>109</v>
      </c>
      <c r="L548" t="s">
        <v>1700</v>
      </c>
      <c r="M548" t="s">
        <v>62</v>
      </c>
      <c r="P548">
        <f t="shared" si="16"/>
        <v>1</v>
      </c>
      <c r="Q548" t="str">
        <f>IF(AND(P548&gt;1,COUNTIF($E$6:E548,E548)=1),MAX($Q$5:Q547)+1,"")</f>
        <v/>
      </c>
      <c r="R548" t="str">
        <f t="shared" si="17"/>
        <v/>
      </c>
    </row>
    <row r="549" spans="1:18" ht="22.95" customHeight="1">
      <c r="A549" t="s">
        <v>1573</v>
      </c>
      <c r="B549" t="s">
        <v>21</v>
      </c>
      <c r="C549" t="s">
        <v>228</v>
      </c>
      <c r="D549" t="s">
        <v>229</v>
      </c>
      <c r="E549" t="s">
        <v>1701</v>
      </c>
      <c r="F549">
        <v>1</v>
      </c>
      <c r="G549" t="s">
        <v>125</v>
      </c>
      <c r="H549" t="s">
        <v>1702</v>
      </c>
      <c r="I549" t="s">
        <v>1703</v>
      </c>
      <c r="K549" t="s">
        <v>109</v>
      </c>
      <c r="L549" t="s">
        <v>1704</v>
      </c>
      <c r="M549" t="s">
        <v>73</v>
      </c>
      <c r="P549">
        <f t="shared" si="16"/>
        <v>1</v>
      </c>
      <c r="Q549" t="str">
        <f>IF(AND(P549&gt;1,COUNTIF($E$6:E549,E549)=1),MAX($Q$5:Q548)+1,"")</f>
        <v/>
      </c>
      <c r="R549" t="str">
        <f t="shared" si="17"/>
        <v/>
      </c>
    </row>
    <row r="550" spans="1:18" ht="22.95" customHeight="1">
      <c r="A550" t="s">
        <v>1573</v>
      </c>
      <c r="B550" t="s">
        <v>21</v>
      </c>
      <c r="C550" t="s">
        <v>239</v>
      </c>
      <c r="D550" t="s">
        <v>147</v>
      </c>
      <c r="E550" t="s">
        <v>1705</v>
      </c>
      <c r="F550">
        <v>1</v>
      </c>
      <c r="I550" t="s">
        <v>1706</v>
      </c>
      <c r="J550" t="s">
        <v>245</v>
      </c>
      <c r="L550" t="s">
        <v>1707</v>
      </c>
      <c r="M550" t="s">
        <v>73</v>
      </c>
      <c r="P550">
        <f t="shared" si="16"/>
        <v>1</v>
      </c>
      <c r="Q550" t="str">
        <f>IF(AND(P550&gt;1,COUNTIF($E$6:E550,E550)=1),MAX($Q$5:Q549)+1,"")</f>
        <v/>
      </c>
      <c r="R550" t="str">
        <f t="shared" si="17"/>
        <v/>
      </c>
    </row>
    <row r="551" spans="1:18" ht="22.95" customHeight="1">
      <c r="A551" t="s">
        <v>1573</v>
      </c>
      <c r="B551" t="s">
        <v>21</v>
      </c>
      <c r="C551" t="s">
        <v>239</v>
      </c>
      <c r="D551" t="s">
        <v>147</v>
      </c>
      <c r="E551" t="s">
        <v>1708</v>
      </c>
      <c r="F551">
        <v>1</v>
      </c>
      <c r="I551" t="s">
        <v>1706</v>
      </c>
      <c r="J551" t="s">
        <v>245</v>
      </c>
      <c r="L551" t="s">
        <v>1707</v>
      </c>
      <c r="M551" t="s">
        <v>73</v>
      </c>
      <c r="P551">
        <f t="shared" si="16"/>
        <v>1</v>
      </c>
      <c r="Q551" t="str">
        <f>IF(AND(P551&gt;1,COUNTIF($E$6:E551,E551)=1),MAX($Q$5:Q550)+1,"")</f>
        <v/>
      </c>
      <c r="R551" t="str">
        <f t="shared" si="17"/>
        <v/>
      </c>
    </row>
    <row r="552" spans="1:18" ht="22.95" customHeight="1">
      <c r="A552" t="s">
        <v>1573</v>
      </c>
      <c r="B552" t="s">
        <v>21</v>
      </c>
      <c r="C552" t="s">
        <v>239</v>
      </c>
      <c r="D552" t="s">
        <v>147</v>
      </c>
      <c r="E552" t="s">
        <v>1709</v>
      </c>
      <c r="F552">
        <v>1</v>
      </c>
      <c r="G552" t="s">
        <v>241</v>
      </c>
      <c r="H552" t="s">
        <v>1710</v>
      </c>
      <c r="I552" t="s">
        <v>733</v>
      </c>
      <c r="L552" t="s">
        <v>1711</v>
      </c>
      <c r="M552" t="s">
        <v>62</v>
      </c>
      <c r="N552" t="s">
        <v>130</v>
      </c>
      <c r="P552">
        <f t="shared" si="16"/>
        <v>1</v>
      </c>
      <c r="Q552" t="str">
        <f>IF(AND(P552&gt;1,COUNTIF($E$6:E552,E552)=1),MAX($Q$5:Q551)+1,"")</f>
        <v/>
      </c>
      <c r="R552" t="str">
        <f t="shared" si="17"/>
        <v/>
      </c>
    </row>
    <row r="553" spans="1:18" ht="22.95" customHeight="1">
      <c r="A553" t="s">
        <v>1573</v>
      </c>
      <c r="B553" t="s">
        <v>21</v>
      </c>
      <c r="C553" t="s">
        <v>239</v>
      </c>
      <c r="D553" t="s">
        <v>147</v>
      </c>
      <c r="E553" t="s">
        <v>1712</v>
      </c>
      <c r="F553">
        <v>1</v>
      </c>
      <c r="G553" t="s">
        <v>92</v>
      </c>
      <c r="I553" t="s">
        <v>1713</v>
      </c>
      <c r="K553" t="s">
        <v>1714</v>
      </c>
      <c r="L553" t="s">
        <v>1715</v>
      </c>
      <c r="M553" t="s">
        <v>62</v>
      </c>
      <c r="N553" t="s">
        <v>63</v>
      </c>
      <c r="P553">
        <f t="shared" si="16"/>
        <v>1</v>
      </c>
      <c r="Q553" t="str">
        <f>IF(AND(P553&gt;1,COUNTIF($E$6:E553,E553)=1),MAX($Q$5:Q552)+1,"")</f>
        <v/>
      </c>
      <c r="R553" t="str">
        <f t="shared" si="17"/>
        <v/>
      </c>
    </row>
    <row r="554" spans="1:18" ht="22.95" customHeight="1">
      <c r="A554" t="s">
        <v>1573</v>
      </c>
      <c r="B554" t="s">
        <v>21</v>
      </c>
      <c r="C554" t="s">
        <v>270</v>
      </c>
      <c r="D554" t="s">
        <v>271</v>
      </c>
      <c r="E554" t="s">
        <v>1716</v>
      </c>
      <c r="F554">
        <v>1</v>
      </c>
      <c r="G554" t="s">
        <v>1717</v>
      </c>
      <c r="H554" t="s">
        <v>1718</v>
      </c>
      <c r="I554" t="s">
        <v>1719</v>
      </c>
      <c r="K554" t="s">
        <v>109</v>
      </c>
      <c r="L554" t="s">
        <v>1720</v>
      </c>
      <c r="M554" t="s">
        <v>73</v>
      </c>
      <c r="P554">
        <f t="shared" si="16"/>
        <v>1</v>
      </c>
      <c r="Q554" t="str">
        <f>IF(AND(P554&gt;1,COUNTIF($E$6:E554,E554)=1),MAX($Q$5:Q553)+1,"")</f>
        <v/>
      </c>
      <c r="R554" t="str">
        <f t="shared" si="17"/>
        <v/>
      </c>
    </row>
    <row r="555" spans="1:18" ht="22.95" customHeight="1">
      <c r="A555" t="s">
        <v>1573</v>
      </c>
      <c r="B555" t="s">
        <v>21</v>
      </c>
      <c r="C555" t="s">
        <v>270</v>
      </c>
      <c r="D555" t="s">
        <v>271</v>
      </c>
      <c r="E555" t="s">
        <v>1721</v>
      </c>
      <c r="F555">
        <v>1</v>
      </c>
      <c r="G555" t="s">
        <v>1717</v>
      </c>
      <c r="H555" t="s">
        <v>1718</v>
      </c>
      <c r="I555" t="s">
        <v>1722</v>
      </c>
      <c r="K555" t="s">
        <v>109</v>
      </c>
      <c r="L555" t="s">
        <v>1720</v>
      </c>
      <c r="M555" t="s">
        <v>73</v>
      </c>
      <c r="P555">
        <f t="shared" si="16"/>
        <v>1</v>
      </c>
      <c r="Q555" t="str">
        <f>IF(AND(P555&gt;1,COUNTIF($E$6:E555,E555)=1),MAX($Q$5:Q554)+1,"")</f>
        <v/>
      </c>
      <c r="R555" t="str">
        <f t="shared" si="17"/>
        <v/>
      </c>
    </row>
    <row r="556" spans="1:18" ht="22.95" customHeight="1">
      <c r="A556" t="s">
        <v>1573</v>
      </c>
      <c r="B556" t="s">
        <v>21</v>
      </c>
      <c r="C556" t="s">
        <v>254</v>
      </c>
      <c r="D556" t="s">
        <v>255</v>
      </c>
      <c r="E556" t="s">
        <v>1723</v>
      </c>
      <c r="F556">
        <v>1</v>
      </c>
      <c r="G556" t="s">
        <v>1724</v>
      </c>
      <c r="H556" t="s">
        <v>1560</v>
      </c>
      <c r="I556" t="s">
        <v>1725</v>
      </c>
      <c r="K556" t="s">
        <v>109</v>
      </c>
      <c r="L556" t="s">
        <v>1720</v>
      </c>
      <c r="M556" t="s">
        <v>73</v>
      </c>
      <c r="P556">
        <f t="shared" si="16"/>
        <v>1</v>
      </c>
      <c r="Q556" t="str">
        <f>IF(AND(P556&gt;1,COUNTIF($E$6:E556,E556)=1),MAX($Q$5:Q555)+1,"")</f>
        <v/>
      </c>
      <c r="R556" t="str">
        <f t="shared" si="17"/>
        <v/>
      </c>
    </row>
    <row r="557" spans="1:18" ht="22.95" customHeight="1">
      <c r="A557" t="s">
        <v>1573</v>
      </c>
      <c r="B557" t="s">
        <v>21</v>
      </c>
      <c r="C557" t="s">
        <v>254</v>
      </c>
      <c r="D557" t="s">
        <v>255</v>
      </c>
      <c r="E557" t="s">
        <v>1726</v>
      </c>
      <c r="F557">
        <v>1</v>
      </c>
      <c r="G557" t="s">
        <v>1727</v>
      </c>
      <c r="H557" t="s">
        <v>1728</v>
      </c>
      <c r="I557" t="s">
        <v>1729</v>
      </c>
      <c r="K557" t="s">
        <v>109</v>
      </c>
      <c r="L557" t="s">
        <v>1720</v>
      </c>
      <c r="M557" t="s">
        <v>73</v>
      </c>
      <c r="P557">
        <f t="shared" si="16"/>
        <v>1</v>
      </c>
      <c r="Q557" t="str">
        <f>IF(AND(P557&gt;1,COUNTIF($E$6:E557,E557)=1),MAX($Q$5:Q556)+1,"")</f>
        <v/>
      </c>
      <c r="R557" t="str">
        <f t="shared" si="17"/>
        <v/>
      </c>
    </row>
    <row r="558" spans="1:18" ht="22.95" customHeight="1">
      <c r="A558" t="s">
        <v>1573</v>
      </c>
      <c r="B558" t="s">
        <v>21</v>
      </c>
      <c r="C558" t="s">
        <v>254</v>
      </c>
      <c r="D558" t="s">
        <v>255</v>
      </c>
      <c r="E558" t="s">
        <v>1730</v>
      </c>
      <c r="F558">
        <v>1</v>
      </c>
      <c r="G558" t="s">
        <v>1731</v>
      </c>
      <c r="H558" t="s">
        <v>1732</v>
      </c>
      <c r="I558" t="s">
        <v>1729</v>
      </c>
      <c r="K558" t="s">
        <v>109</v>
      </c>
      <c r="L558" t="s">
        <v>1733</v>
      </c>
      <c r="M558" t="s">
        <v>73</v>
      </c>
      <c r="P558">
        <f t="shared" si="16"/>
        <v>1</v>
      </c>
      <c r="Q558" t="str">
        <f>IF(AND(P558&gt;1,COUNTIF($E$6:E558,E558)=1),MAX($Q$5:Q557)+1,"")</f>
        <v/>
      </c>
      <c r="R558" t="str">
        <f t="shared" si="17"/>
        <v/>
      </c>
    </row>
    <row r="559" spans="1:18" ht="22.95" customHeight="1">
      <c r="A559" t="s">
        <v>1573</v>
      </c>
      <c r="B559" t="s">
        <v>21</v>
      </c>
      <c r="C559" t="s">
        <v>270</v>
      </c>
      <c r="D559" t="s">
        <v>271</v>
      </c>
      <c r="E559" t="s">
        <v>1734</v>
      </c>
      <c r="F559">
        <v>1</v>
      </c>
      <c r="G559" t="s">
        <v>1735</v>
      </c>
      <c r="H559" t="s">
        <v>1736</v>
      </c>
      <c r="I559" t="s">
        <v>205</v>
      </c>
      <c r="K559" t="s">
        <v>78</v>
      </c>
      <c r="L559" t="s">
        <v>1737</v>
      </c>
      <c r="M559" t="s">
        <v>73</v>
      </c>
      <c r="P559">
        <f t="shared" si="16"/>
        <v>1</v>
      </c>
      <c r="Q559" t="str">
        <f>IF(AND(P559&gt;1,COUNTIF($E$6:E559,E559)=1),MAX($Q$5:Q558)+1,"")</f>
        <v/>
      </c>
      <c r="R559" t="str">
        <f t="shared" si="17"/>
        <v/>
      </c>
    </row>
    <row r="560" spans="1:18" ht="22.95" customHeight="1">
      <c r="A560" t="s">
        <v>1573</v>
      </c>
      <c r="B560" t="s">
        <v>21</v>
      </c>
      <c r="C560" t="s">
        <v>254</v>
      </c>
      <c r="D560" t="s">
        <v>255</v>
      </c>
      <c r="E560" t="s">
        <v>1738</v>
      </c>
      <c r="F560">
        <v>1</v>
      </c>
      <c r="G560" t="s">
        <v>92</v>
      </c>
      <c r="I560" t="s">
        <v>1739</v>
      </c>
      <c r="K560" t="s">
        <v>1740</v>
      </c>
      <c r="L560" t="s">
        <v>1741</v>
      </c>
      <c r="M560" t="s">
        <v>73</v>
      </c>
      <c r="P560">
        <f t="shared" si="16"/>
        <v>1</v>
      </c>
      <c r="Q560" t="str">
        <f>IF(AND(P560&gt;1,COUNTIF($E$6:E560,E560)=1),MAX($Q$5:Q559)+1,"")</f>
        <v/>
      </c>
      <c r="R560" t="str">
        <f t="shared" si="17"/>
        <v/>
      </c>
    </row>
    <row r="561" spans="1:18" ht="22.95" customHeight="1">
      <c r="A561" t="s">
        <v>1573</v>
      </c>
      <c r="B561" t="s">
        <v>21</v>
      </c>
      <c r="C561" t="s">
        <v>270</v>
      </c>
      <c r="D561" t="s">
        <v>271</v>
      </c>
      <c r="E561" t="s">
        <v>1742</v>
      </c>
      <c r="F561">
        <v>1</v>
      </c>
      <c r="G561" t="s">
        <v>92</v>
      </c>
      <c r="I561" t="s">
        <v>1743</v>
      </c>
      <c r="J561" t="s">
        <v>672</v>
      </c>
      <c r="K561" t="s">
        <v>141</v>
      </c>
      <c r="L561" t="s">
        <v>1744</v>
      </c>
      <c r="M561" t="s">
        <v>102</v>
      </c>
      <c r="P561">
        <f t="shared" si="16"/>
        <v>1</v>
      </c>
      <c r="Q561" t="str">
        <f>IF(AND(P561&gt;1,COUNTIF($E$6:E561,E561)=1),MAX($Q$5:Q560)+1,"")</f>
        <v/>
      </c>
      <c r="R561" t="str">
        <f t="shared" si="17"/>
        <v/>
      </c>
    </row>
    <row r="562" spans="1:18" ht="22.95" customHeight="1">
      <c r="A562" t="s">
        <v>1745</v>
      </c>
      <c r="B562" t="s">
        <v>23</v>
      </c>
      <c r="C562" t="s">
        <v>103</v>
      </c>
      <c r="D562" t="s">
        <v>104</v>
      </c>
      <c r="E562" t="s">
        <v>1746</v>
      </c>
      <c r="F562">
        <v>1</v>
      </c>
      <c r="G562" t="s">
        <v>1747</v>
      </c>
      <c r="H562" t="s">
        <v>1748</v>
      </c>
      <c r="I562" t="s">
        <v>1749</v>
      </c>
      <c r="K562" t="s">
        <v>1750</v>
      </c>
      <c r="L562" t="s">
        <v>1751</v>
      </c>
      <c r="M562" t="s">
        <v>62</v>
      </c>
      <c r="N562" t="s">
        <v>1752</v>
      </c>
      <c r="P562">
        <f t="shared" si="16"/>
        <v>1</v>
      </c>
      <c r="Q562" t="str">
        <f>IF(AND(P562&gt;1,COUNTIF($E$6:E562,E562)=1),MAX($Q$5:Q561)+1,"")</f>
        <v/>
      </c>
      <c r="R562" t="str">
        <f t="shared" si="17"/>
        <v/>
      </c>
    </row>
    <row r="563" spans="1:18" ht="22.95" customHeight="1">
      <c r="A563" t="s">
        <v>1745</v>
      </c>
      <c r="B563" t="s">
        <v>23</v>
      </c>
      <c r="C563" t="s">
        <v>103</v>
      </c>
      <c r="D563" t="s">
        <v>104</v>
      </c>
      <c r="E563" t="s">
        <v>1753</v>
      </c>
      <c r="F563">
        <v>1</v>
      </c>
      <c r="G563" t="s">
        <v>1754</v>
      </c>
      <c r="H563" t="s">
        <v>1755</v>
      </c>
      <c r="I563" t="s">
        <v>1756</v>
      </c>
      <c r="K563" t="s">
        <v>1757</v>
      </c>
      <c r="L563" t="s">
        <v>1758</v>
      </c>
      <c r="M563" t="s">
        <v>73</v>
      </c>
      <c r="P563">
        <f t="shared" si="16"/>
        <v>1</v>
      </c>
      <c r="Q563" t="str">
        <f>IF(AND(P563&gt;1,COUNTIF($E$6:E563,E563)=1),MAX($Q$5:Q562)+1,"")</f>
        <v/>
      </c>
      <c r="R563" t="str">
        <f t="shared" si="17"/>
        <v/>
      </c>
    </row>
    <row r="564" spans="1:18" ht="22.95" customHeight="1">
      <c r="A564" t="s">
        <v>1745</v>
      </c>
      <c r="B564" t="s">
        <v>23</v>
      </c>
      <c r="C564" t="s">
        <v>103</v>
      </c>
      <c r="D564" t="s">
        <v>104</v>
      </c>
      <c r="E564" t="s">
        <v>1759</v>
      </c>
      <c r="F564">
        <v>1</v>
      </c>
      <c r="G564" t="s">
        <v>1754</v>
      </c>
      <c r="H564" t="s">
        <v>1755</v>
      </c>
      <c r="I564" t="s">
        <v>1756</v>
      </c>
      <c r="K564" t="s">
        <v>1757</v>
      </c>
      <c r="L564" t="s">
        <v>1758</v>
      </c>
      <c r="M564" t="s">
        <v>73</v>
      </c>
      <c r="P564">
        <f t="shared" si="16"/>
        <v>1</v>
      </c>
      <c r="Q564" t="str">
        <f>IF(AND(P564&gt;1,COUNTIF($E$6:E564,E564)=1),MAX($Q$5:Q563)+1,"")</f>
        <v/>
      </c>
      <c r="R564" t="str">
        <f t="shared" si="17"/>
        <v/>
      </c>
    </row>
    <row r="565" spans="1:18" ht="22.95" customHeight="1">
      <c r="A565" t="s">
        <v>1745</v>
      </c>
      <c r="B565" t="s">
        <v>23</v>
      </c>
      <c r="C565" t="s">
        <v>103</v>
      </c>
      <c r="D565" t="s">
        <v>104</v>
      </c>
      <c r="E565" t="s">
        <v>1760</v>
      </c>
      <c r="F565">
        <v>1</v>
      </c>
      <c r="G565" t="s">
        <v>1754</v>
      </c>
      <c r="H565" t="s">
        <v>1755</v>
      </c>
      <c r="I565" t="s">
        <v>1756</v>
      </c>
      <c r="K565" t="s">
        <v>1757</v>
      </c>
      <c r="L565" t="s">
        <v>1758</v>
      </c>
      <c r="M565" t="s">
        <v>73</v>
      </c>
      <c r="P565">
        <f t="shared" si="16"/>
        <v>1</v>
      </c>
      <c r="Q565" t="str">
        <f>IF(AND(P565&gt;1,COUNTIF($E$6:E565,E565)=1),MAX($Q$5:Q564)+1,"")</f>
        <v/>
      </c>
      <c r="R565" t="str">
        <f t="shared" si="17"/>
        <v/>
      </c>
    </row>
    <row r="566" spans="1:18" ht="22.95" customHeight="1">
      <c r="A566" t="s">
        <v>1745</v>
      </c>
      <c r="B566" t="s">
        <v>23</v>
      </c>
      <c r="C566" t="s">
        <v>103</v>
      </c>
      <c r="D566" t="s">
        <v>104</v>
      </c>
      <c r="E566" t="s">
        <v>1761</v>
      </c>
      <c r="F566">
        <v>1</v>
      </c>
      <c r="G566" t="s">
        <v>1754</v>
      </c>
      <c r="H566" t="s">
        <v>1755</v>
      </c>
      <c r="I566" t="s">
        <v>1756</v>
      </c>
      <c r="K566" t="s">
        <v>1757</v>
      </c>
      <c r="L566" t="s">
        <v>1758</v>
      </c>
      <c r="M566" t="s">
        <v>73</v>
      </c>
      <c r="P566">
        <f t="shared" si="16"/>
        <v>1</v>
      </c>
      <c r="Q566" t="str">
        <f>IF(AND(P566&gt;1,COUNTIF($E$6:E566,E566)=1),MAX($Q$5:Q565)+1,"")</f>
        <v/>
      </c>
      <c r="R566" t="str">
        <f t="shared" si="17"/>
        <v/>
      </c>
    </row>
    <row r="567" spans="1:18" ht="22.95" customHeight="1">
      <c r="A567" t="s">
        <v>1745</v>
      </c>
      <c r="B567" t="s">
        <v>23</v>
      </c>
      <c r="C567" t="s">
        <v>103</v>
      </c>
      <c r="D567" t="s">
        <v>104</v>
      </c>
      <c r="E567" t="s">
        <v>1762</v>
      </c>
      <c r="F567">
        <v>1</v>
      </c>
      <c r="G567" t="s">
        <v>1754</v>
      </c>
      <c r="H567" t="s">
        <v>1755</v>
      </c>
      <c r="I567" t="s">
        <v>1756</v>
      </c>
      <c r="K567" t="s">
        <v>1757</v>
      </c>
      <c r="L567" t="s">
        <v>1758</v>
      </c>
      <c r="M567" t="s">
        <v>73</v>
      </c>
      <c r="P567">
        <f t="shared" si="16"/>
        <v>1</v>
      </c>
      <c r="Q567" t="str">
        <f>IF(AND(P567&gt;1,COUNTIF($E$6:E567,E567)=1),MAX($Q$5:Q566)+1,"")</f>
        <v/>
      </c>
      <c r="R567" t="str">
        <f t="shared" si="17"/>
        <v/>
      </c>
    </row>
    <row r="568" spans="1:18" ht="22.95" customHeight="1">
      <c r="A568" t="s">
        <v>1745</v>
      </c>
      <c r="B568" t="s">
        <v>23</v>
      </c>
      <c r="C568" t="s">
        <v>103</v>
      </c>
      <c r="D568" t="s">
        <v>104</v>
      </c>
      <c r="E568" t="s">
        <v>1763</v>
      </c>
      <c r="F568">
        <v>1</v>
      </c>
      <c r="G568" t="s">
        <v>1754</v>
      </c>
      <c r="H568" t="s">
        <v>1755</v>
      </c>
      <c r="I568" t="s">
        <v>1756</v>
      </c>
      <c r="K568" t="s">
        <v>1757</v>
      </c>
      <c r="L568" t="s">
        <v>1758</v>
      </c>
      <c r="M568" t="s">
        <v>73</v>
      </c>
      <c r="P568">
        <f t="shared" si="16"/>
        <v>1</v>
      </c>
      <c r="Q568" t="str">
        <f>IF(AND(P568&gt;1,COUNTIF($E$6:E568,E568)=1),MAX($Q$5:Q567)+1,"")</f>
        <v/>
      </c>
      <c r="R568" t="str">
        <f t="shared" si="17"/>
        <v/>
      </c>
    </row>
    <row r="569" spans="1:18" ht="22.95" customHeight="1">
      <c r="A569" t="s">
        <v>1745</v>
      </c>
      <c r="B569" t="s">
        <v>23</v>
      </c>
      <c r="C569" t="s">
        <v>103</v>
      </c>
      <c r="D569" t="s">
        <v>104</v>
      </c>
      <c r="E569" t="s">
        <v>1764</v>
      </c>
      <c r="F569">
        <v>1</v>
      </c>
      <c r="G569" t="s">
        <v>1754</v>
      </c>
      <c r="H569" t="s">
        <v>1755</v>
      </c>
      <c r="I569" t="s">
        <v>1756</v>
      </c>
      <c r="K569" t="s">
        <v>1757</v>
      </c>
      <c r="L569" t="s">
        <v>1758</v>
      </c>
      <c r="M569" t="s">
        <v>73</v>
      </c>
      <c r="P569">
        <f t="shared" si="16"/>
        <v>1</v>
      </c>
      <c r="Q569" t="str">
        <f>IF(AND(P569&gt;1,COUNTIF($E$6:E569,E569)=1),MAX($Q$5:Q568)+1,"")</f>
        <v/>
      </c>
      <c r="R569" t="str">
        <f t="shared" si="17"/>
        <v/>
      </c>
    </row>
    <row r="570" spans="1:18" ht="22.95" customHeight="1">
      <c r="A570" t="s">
        <v>1745</v>
      </c>
      <c r="B570" t="s">
        <v>23</v>
      </c>
      <c r="C570" t="s">
        <v>103</v>
      </c>
      <c r="D570" t="s">
        <v>104</v>
      </c>
      <c r="E570" t="s">
        <v>1765</v>
      </c>
      <c r="F570">
        <v>1</v>
      </c>
      <c r="G570" t="s">
        <v>1754</v>
      </c>
      <c r="H570" t="s">
        <v>1755</v>
      </c>
      <c r="I570" t="s">
        <v>1756</v>
      </c>
      <c r="K570" t="s">
        <v>1757</v>
      </c>
      <c r="L570" t="s">
        <v>1758</v>
      </c>
      <c r="M570" t="s">
        <v>73</v>
      </c>
      <c r="P570">
        <f t="shared" si="16"/>
        <v>1</v>
      </c>
      <c r="Q570" t="str">
        <f>IF(AND(P570&gt;1,COUNTIF($E$6:E570,E570)=1),MAX($Q$5:Q569)+1,"")</f>
        <v/>
      </c>
      <c r="R570" t="str">
        <f t="shared" si="17"/>
        <v/>
      </c>
    </row>
    <row r="571" spans="1:18" ht="22.95" customHeight="1">
      <c r="A571" t="s">
        <v>1745</v>
      </c>
      <c r="B571" t="s">
        <v>23</v>
      </c>
      <c r="C571" t="s">
        <v>103</v>
      </c>
      <c r="D571" t="s">
        <v>104</v>
      </c>
      <c r="E571" t="s">
        <v>1766</v>
      </c>
      <c r="F571">
        <v>1</v>
      </c>
      <c r="G571" t="s">
        <v>1754</v>
      </c>
      <c r="H571" t="s">
        <v>1755</v>
      </c>
      <c r="I571" t="s">
        <v>1767</v>
      </c>
      <c r="K571" t="s">
        <v>406</v>
      </c>
      <c r="L571" t="s">
        <v>1768</v>
      </c>
      <c r="M571" t="s">
        <v>73</v>
      </c>
      <c r="P571">
        <f t="shared" si="16"/>
        <v>1</v>
      </c>
      <c r="Q571" t="str">
        <f>IF(AND(P571&gt;1,COUNTIF($E$6:E571,E571)=1),MAX($Q$5:Q570)+1,"")</f>
        <v/>
      </c>
      <c r="R571" t="str">
        <f t="shared" si="17"/>
        <v/>
      </c>
    </row>
    <row r="572" spans="1:18" ht="22.95" customHeight="1">
      <c r="A572" t="s">
        <v>1745</v>
      </c>
      <c r="B572" t="s">
        <v>23</v>
      </c>
      <c r="C572" t="s">
        <v>103</v>
      </c>
      <c r="D572" t="s">
        <v>104</v>
      </c>
      <c r="E572" t="s">
        <v>1769</v>
      </c>
      <c r="F572">
        <v>1</v>
      </c>
      <c r="G572" t="s">
        <v>1754</v>
      </c>
      <c r="H572" t="s">
        <v>1755</v>
      </c>
      <c r="I572" t="s">
        <v>1767</v>
      </c>
      <c r="K572" t="s">
        <v>406</v>
      </c>
      <c r="L572" t="s">
        <v>1768</v>
      </c>
      <c r="M572" t="s">
        <v>73</v>
      </c>
      <c r="P572">
        <f t="shared" si="16"/>
        <v>1</v>
      </c>
      <c r="Q572" t="str">
        <f>IF(AND(P572&gt;1,COUNTIF($E$6:E572,E572)=1),MAX($Q$5:Q571)+1,"")</f>
        <v/>
      </c>
      <c r="R572" t="str">
        <f t="shared" si="17"/>
        <v/>
      </c>
    </row>
    <row r="573" spans="1:18" ht="22.95" customHeight="1">
      <c r="A573" t="s">
        <v>1745</v>
      </c>
      <c r="B573" t="s">
        <v>23</v>
      </c>
      <c r="C573" t="s">
        <v>103</v>
      </c>
      <c r="D573" t="s">
        <v>104</v>
      </c>
      <c r="E573" t="s">
        <v>1770</v>
      </c>
      <c r="F573">
        <v>1</v>
      </c>
      <c r="G573" t="s">
        <v>139</v>
      </c>
      <c r="I573" t="s">
        <v>1771</v>
      </c>
      <c r="K573" t="s">
        <v>1772</v>
      </c>
      <c r="L573" t="s">
        <v>1773</v>
      </c>
      <c r="M573" t="s">
        <v>73</v>
      </c>
      <c r="P573">
        <f t="shared" si="16"/>
        <v>1</v>
      </c>
      <c r="Q573" t="str">
        <f>IF(AND(P573&gt;1,COUNTIF($E$6:E573,E573)=1),MAX($Q$5:Q572)+1,"")</f>
        <v/>
      </c>
      <c r="R573" t="str">
        <f t="shared" si="17"/>
        <v/>
      </c>
    </row>
    <row r="574" spans="1:18" ht="22.95" customHeight="1">
      <c r="A574" t="s">
        <v>1745</v>
      </c>
      <c r="B574" t="s">
        <v>21</v>
      </c>
      <c r="C574" t="s">
        <v>724</v>
      </c>
      <c r="D574" t="s">
        <v>725</v>
      </c>
      <c r="E574" t="s">
        <v>1774</v>
      </c>
      <c r="F574">
        <v>1</v>
      </c>
      <c r="G574" t="s">
        <v>1775</v>
      </c>
      <c r="H574" t="s">
        <v>1776</v>
      </c>
      <c r="I574" t="s">
        <v>1777</v>
      </c>
      <c r="K574" t="s">
        <v>1778</v>
      </c>
      <c r="L574" t="s">
        <v>1779</v>
      </c>
      <c r="M574" t="s">
        <v>62</v>
      </c>
      <c r="N574" t="s">
        <v>1752</v>
      </c>
      <c r="P574">
        <f t="shared" si="16"/>
        <v>1</v>
      </c>
      <c r="Q574" t="str">
        <f>IF(AND(P574&gt;1,COUNTIF($E$6:E574,E574)=1),MAX($Q$5:Q573)+1,"")</f>
        <v/>
      </c>
      <c r="R574" t="str">
        <f t="shared" si="17"/>
        <v/>
      </c>
    </row>
    <row r="575" spans="1:18" ht="22.95" customHeight="1">
      <c r="A575" t="s">
        <v>1745</v>
      </c>
      <c r="B575" t="s">
        <v>21</v>
      </c>
      <c r="C575" t="s">
        <v>724</v>
      </c>
      <c r="D575" t="s">
        <v>725</v>
      </c>
      <c r="E575" t="s">
        <v>1780</v>
      </c>
      <c r="F575">
        <v>1</v>
      </c>
      <c r="G575" t="s">
        <v>1781</v>
      </c>
      <c r="H575" t="s">
        <v>1782</v>
      </c>
      <c r="I575" t="s">
        <v>1783</v>
      </c>
      <c r="K575" t="s">
        <v>406</v>
      </c>
      <c r="L575" t="s">
        <v>1784</v>
      </c>
      <c r="M575" t="s">
        <v>62</v>
      </c>
      <c r="N575" t="s">
        <v>1752</v>
      </c>
      <c r="P575">
        <f t="shared" si="16"/>
        <v>1</v>
      </c>
      <c r="Q575" t="str">
        <f>IF(AND(P575&gt;1,COUNTIF($E$6:E575,E575)=1),MAX($Q$5:Q574)+1,"")</f>
        <v/>
      </c>
      <c r="R575" t="str">
        <f t="shared" si="17"/>
        <v/>
      </c>
    </row>
    <row r="576" spans="1:18" ht="22.95" customHeight="1">
      <c r="A576" t="s">
        <v>1745</v>
      </c>
      <c r="B576" t="s">
        <v>21</v>
      </c>
      <c r="C576" t="s">
        <v>724</v>
      </c>
      <c r="D576" t="s">
        <v>725</v>
      </c>
      <c r="E576" t="s">
        <v>1785</v>
      </c>
      <c r="F576">
        <v>1</v>
      </c>
      <c r="G576" t="s">
        <v>1781</v>
      </c>
      <c r="H576" t="s">
        <v>1782</v>
      </c>
      <c r="I576" t="s">
        <v>1783</v>
      </c>
      <c r="K576" t="s">
        <v>406</v>
      </c>
      <c r="L576" t="s">
        <v>1784</v>
      </c>
      <c r="M576" t="s">
        <v>62</v>
      </c>
      <c r="N576" t="s">
        <v>1752</v>
      </c>
      <c r="P576">
        <f t="shared" si="16"/>
        <v>1</v>
      </c>
      <c r="Q576" t="str">
        <f>IF(AND(P576&gt;1,COUNTIF($E$6:E576,E576)=1),MAX($Q$5:Q575)+1,"")</f>
        <v/>
      </c>
      <c r="R576" t="str">
        <f t="shared" si="17"/>
        <v/>
      </c>
    </row>
    <row r="577" spans="1:18" ht="22.95" customHeight="1">
      <c r="A577" t="s">
        <v>1745</v>
      </c>
      <c r="B577" t="s">
        <v>24</v>
      </c>
      <c r="C577" t="s">
        <v>426</v>
      </c>
      <c r="D577" t="s">
        <v>427</v>
      </c>
      <c r="E577" t="s">
        <v>1786</v>
      </c>
      <c r="F577">
        <v>1</v>
      </c>
      <c r="G577" t="s">
        <v>1787</v>
      </c>
      <c r="H577" t="s">
        <v>1788</v>
      </c>
      <c r="I577" t="s">
        <v>1789</v>
      </c>
      <c r="K577" t="s">
        <v>78</v>
      </c>
      <c r="L577" t="s">
        <v>1790</v>
      </c>
      <c r="M577" t="s">
        <v>62</v>
      </c>
      <c r="N577" t="s">
        <v>130</v>
      </c>
      <c r="P577">
        <f t="shared" si="16"/>
        <v>1</v>
      </c>
      <c r="Q577" t="str">
        <f>IF(AND(P577&gt;1,COUNTIF($E$6:E577,E577)=1),MAX($Q$5:Q576)+1,"")</f>
        <v/>
      </c>
      <c r="R577" t="str">
        <f t="shared" si="17"/>
        <v/>
      </c>
    </row>
    <row r="578" spans="1:18" ht="22.95" customHeight="1">
      <c r="A578" t="s">
        <v>1745</v>
      </c>
      <c r="B578" t="s">
        <v>24</v>
      </c>
      <c r="C578" t="s">
        <v>426</v>
      </c>
      <c r="D578" t="s">
        <v>427</v>
      </c>
      <c r="E578" t="s">
        <v>1791</v>
      </c>
      <c r="F578">
        <v>1</v>
      </c>
      <c r="G578" t="s">
        <v>1787</v>
      </c>
      <c r="H578" t="s">
        <v>1788</v>
      </c>
      <c r="I578" t="s">
        <v>1789</v>
      </c>
      <c r="K578" t="s">
        <v>78</v>
      </c>
      <c r="L578" t="s">
        <v>1792</v>
      </c>
      <c r="M578" t="s">
        <v>62</v>
      </c>
      <c r="N578" t="s">
        <v>130</v>
      </c>
      <c r="P578">
        <f t="shared" si="16"/>
        <v>1</v>
      </c>
      <c r="Q578" t="str">
        <f>IF(AND(P578&gt;1,COUNTIF($E$6:E578,E578)=1),MAX($Q$5:Q577)+1,"")</f>
        <v/>
      </c>
      <c r="R578" t="str">
        <f t="shared" si="17"/>
        <v/>
      </c>
    </row>
    <row r="579" spans="1:18" ht="22.95" customHeight="1">
      <c r="A579" t="s">
        <v>1745</v>
      </c>
      <c r="B579" t="s">
        <v>24</v>
      </c>
      <c r="C579" t="s">
        <v>426</v>
      </c>
      <c r="D579" t="s">
        <v>427</v>
      </c>
      <c r="E579" t="s">
        <v>1793</v>
      </c>
      <c r="F579">
        <v>1</v>
      </c>
      <c r="G579" t="s">
        <v>1787</v>
      </c>
      <c r="H579" t="s">
        <v>1788</v>
      </c>
      <c r="I579" t="s">
        <v>1794</v>
      </c>
      <c r="K579" t="s">
        <v>406</v>
      </c>
      <c r="L579" t="s">
        <v>1795</v>
      </c>
      <c r="M579" t="s">
        <v>62</v>
      </c>
      <c r="N579" t="s">
        <v>130</v>
      </c>
      <c r="P579">
        <f t="shared" si="16"/>
        <v>1</v>
      </c>
      <c r="Q579" t="str">
        <f>IF(AND(P579&gt;1,COUNTIF($E$6:E579,E579)=1),MAX($Q$5:Q578)+1,"")</f>
        <v/>
      </c>
      <c r="R579" t="str">
        <f t="shared" si="17"/>
        <v/>
      </c>
    </row>
    <row r="580" spans="1:18" ht="22.95" customHeight="1">
      <c r="A580" t="s">
        <v>1745</v>
      </c>
      <c r="B580" t="s">
        <v>24</v>
      </c>
      <c r="C580" t="s">
        <v>426</v>
      </c>
      <c r="D580" t="s">
        <v>427</v>
      </c>
      <c r="E580" t="s">
        <v>1796</v>
      </c>
      <c r="F580">
        <v>1</v>
      </c>
      <c r="G580" t="s">
        <v>139</v>
      </c>
      <c r="I580" t="s">
        <v>1797</v>
      </c>
      <c r="K580" t="s">
        <v>406</v>
      </c>
      <c r="L580" t="s">
        <v>1798</v>
      </c>
      <c r="M580" t="s">
        <v>62</v>
      </c>
      <c r="N580" t="s">
        <v>63</v>
      </c>
      <c r="P580">
        <f t="shared" si="16"/>
        <v>1</v>
      </c>
      <c r="Q580" t="str">
        <f>IF(AND(P580&gt;1,COUNTIF($E$6:E580,E580)=1),MAX($Q$5:Q579)+1,"")</f>
        <v/>
      </c>
      <c r="R580" t="str">
        <f t="shared" si="17"/>
        <v/>
      </c>
    </row>
    <row r="581" spans="1:18" ht="22.95" customHeight="1">
      <c r="A581" t="s">
        <v>1745</v>
      </c>
      <c r="B581" t="s">
        <v>24</v>
      </c>
      <c r="C581" t="s">
        <v>426</v>
      </c>
      <c r="D581" t="s">
        <v>427</v>
      </c>
      <c r="E581" t="s">
        <v>1799</v>
      </c>
      <c r="F581">
        <v>1</v>
      </c>
      <c r="G581" t="s">
        <v>92</v>
      </c>
      <c r="I581" t="s">
        <v>1797</v>
      </c>
      <c r="J581" t="s">
        <v>99</v>
      </c>
      <c r="K581" t="s">
        <v>406</v>
      </c>
      <c r="L581" t="s">
        <v>1800</v>
      </c>
      <c r="M581" t="s">
        <v>102</v>
      </c>
      <c r="P581">
        <f t="shared" si="16"/>
        <v>1</v>
      </c>
      <c r="Q581" t="str">
        <f>IF(AND(P581&gt;1,COUNTIF($E$6:E581,E581)=1),MAX($Q$5:Q580)+1,"")</f>
        <v/>
      </c>
      <c r="R581" t="str">
        <f t="shared" si="17"/>
        <v/>
      </c>
    </row>
    <row r="582" spans="1:18" ht="22.95" customHeight="1">
      <c r="A582" t="s">
        <v>1745</v>
      </c>
      <c r="B582" t="s">
        <v>24</v>
      </c>
      <c r="C582" t="s">
        <v>426</v>
      </c>
      <c r="D582" t="s">
        <v>427</v>
      </c>
      <c r="E582" t="s">
        <v>1801</v>
      </c>
      <c r="F582">
        <v>1</v>
      </c>
      <c r="G582" t="s">
        <v>92</v>
      </c>
      <c r="I582" t="s">
        <v>1797</v>
      </c>
      <c r="J582" t="s">
        <v>672</v>
      </c>
      <c r="K582" t="s">
        <v>406</v>
      </c>
      <c r="L582" t="s">
        <v>1802</v>
      </c>
      <c r="M582" t="s">
        <v>102</v>
      </c>
      <c r="P582">
        <f t="shared" ref="P582:P645" si="18">COUNTIF($E$6:$E$1740,E582)</f>
        <v>1</v>
      </c>
      <c r="Q582" t="str">
        <f>IF(AND(P582&gt;1,COUNTIF($E$6:E582,E582)=1),MAX($Q$5:Q581)+1,"")</f>
        <v/>
      </c>
      <c r="R582" t="str">
        <f t="shared" ref="R582:R645" si="19">IF(Q582="","",IF(COUNTIFS($E$6:$E$1740,E582,$A$6:$A$1740,A582,$C$6:$C$1740,C582)&lt;P582,"LÉGITIME",IF(COUNTIFS($E$6:$E$1740,E582,$A$6:$A$1740,A582,$C$6:$C$1740,C582,$M$6:$M$1740,M582)&lt;P582,"STATUT DIFFÉRENT","VRAI DOUBLON")))</f>
        <v/>
      </c>
    </row>
    <row r="583" spans="1:18" ht="22.95" customHeight="1">
      <c r="A583" t="s">
        <v>1745</v>
      </c>
      <c r="B583" t="s">
        <v>21</v>
      </c>
      <c r="C583" t="s">
        <v>207</v>
      </c>
      <c r="D583" t="s">
        <v>208</v>
      </c>
      <c r="E583" t="s">
        <v>1803</v>
      </c>
      <c r="F583">
        <v>1</v>
      </c>
      <c r="G583" t="s">
        <v>1804</v>
      </c>
      <c r="H583" t="s">
        <v>1805</v>
      </c>
      <c r="I583" t="s">
        <v>1806</v>
      </c>
      <c r="K583" t="s">
        <v>406</v>
      </c>
      <c r="L583" t="s">
        <v>1807</v>
      </c>
      <c r="M583" t="s">
        <v>73</v>
      </c>
      <c r="P583">
        <f t="shared" si="18"/>
        <v>1</v>
      </c>
      <c r="Q583" t="str">
        <f>IF(AND(P583&gt;1,COUNTIF($E$6:E583,E583)=1),MAX($Q$5:Q582)+1,"")</f>
        <v/>
      </c>
      <c r="R583" t="str">
        <f t="shared" si="19"/>
        <v/>
      </c>
    </row>
    <row r="584" spans="1:18" ht="22.95" customHeight="1">
      <c r="A584" t="s">
        <v>1745</v>
      </c>
      <c r="B584" t="s">
        <v>21</v>
      </c>
      <c r="C584" t="s">
        <v>207</v>
      </c>
      <c r="D584" t="s">
        <v>208</v>
      </c>
      <c r="E584" t="s">
        <v>1808</v>
      </c>
      <c r="F584">
        <v>1</v>
      </c>
      <c r="I584" t="s">
        <v>1767</v>
      </c>
      <c r="K584" t="s">
        <v>406</v>
      </c>
      <c r="L584" t="s">
        <v>1809</v>
      </c>
      <c r="M584" t="s">
        <v>62</v>
      </c>
      <c r="N584" t="s">
        <v>63</v>
      </c>
      <c r="P584">
        <f t="shared" si="18"/>
        <v>1</v>
      </c>
      <c r="Q584" t="str">
        <f>IF(AND(P584&gt;1,COUNTIF($E$6:E584,E584)=1),MAX($Q$5:Q583)+1,"")</f>
        <v/>
      </c>
      <c r="R584" t="str">
        <f t="shared" si="19"/>
        <v/>
      </c>
    </row>
    <row r="585" spans="1:18" ht="22.95" customHeight="1">
      <c r="A585" t="s">
        <v>1745</v>
      </c>
      <c r="B585" t="s">
        <v>21</v>
      </c>
      <c r="C585" t="s">
        <v>207</v>
      </c>
      <c r="D585" t="s">
        <v>208</v>
      </c>
      <c r="E585" t="s">
        <v>1810</v>
      </c>
      <c r="F585">
        <v>1</v>
      </c>
      <c r="G585" t="s">
        <v>1811</v>
      </c>
      <c r="H585" t="s">
        <v>1812</v>
      </c>
      <c r="I585" t="s">
        <v>1813</v>
      </c>
      <c r="K585" t="s">
        <v>78</v>
      </c>
      <c r="L585" t="s">
        <v>1814</v>
      </c>
      <c r="M585" t="s">
        <v>62</v>
      </c>
      <c r="N585" t="s">
        <v>130</v>
      </c>
      <c r="P585">
        <f t="shared" si="18"/>
        <v>1</v>
      </c>
      <c r="Q585" t="str">
        <f>IF(AND(P585&gt;1,COUNTIF($E$6:E585,E585)=1),MAX($Q$5:Q584)+1,"")</f>
        <v/>
      </c>
      <c r="R585" t="str">
        <f t="shared" si="19"/>
        <v/>
      </c>
    </row>
    <row r="586" spans="1:18" ht="22.95" customHeight="1">
      <c r="A586" t="s">
        <v>1745</v>
      </c>
      <c r="B586" t="s">
        <v>24</v>
      </c>
      <c r="C586" t="s">
        <v>431</v>
      </c>
      <c r="D586" t="s">
        <v>216</v>
      </c>
      <c r="E586" t="s">
        <v>1815</v>
      </c>
      <c r="F586">
        <v>1</v>
      </c>
      <c r="G586" t="s">
        <v>139</v>
      </c>
      <c r="I586" t="s">
        <v>1797</v>
      </c>
      <c r="K586" t="s">
        <v>1816</v>
      </c>
      <c r="L586" t="s">
        <v>1817</v>
      </c>
      <c r="M586" t="s">
        <v>62</v>
      </c>
      <c r="N586" t="s">
        <v>63</v>
      </c>
      <c r="P586">
        <f t="shared" si="18"/>
        <v>1</v>
      </c>
      <c r="Q586" t="str">
        <f>IF(AND(P586&gt;1,COUNTIF($E$6:E586,E586)=1),MAX($Q$5:Q585)+1,"")</f>
        <v/>
      </c>
      <c r="R586" t="str">
        <f t="shared" si="19"/>
        <v/>
      </c>
    </row>
    <row r="587" spans="1:18" ht="22.95" customHeight="1">
      <c r="A587" t="s">
        <v>1745</v>
      </c>
      <c r="B587" t="s">
        <v>24</v>
      </c>
      <c r="C587" t="s">
        <v>431</v>
      </c>
      <c r="D587" t="s">
        <v>216</v>
      </c>
      <c r="E587" t="s">
        <v>1818</v>
      </c>
      <c r="F587">
        <v>1</v>
      </c>
      <c r="G587" t="s">
        <v>139</v>
      </c>
      <c r="I587" t="s">
        <v>1797</v>
      </c>
      <c r="K587" t="s">
        <v>1816</v>
      </c>
      <c r="L587" t="s">
        <v>1817</v>
      </c>
      <c r="M587" t="s">
        <v>62</v>
      </c>
      <c r="N587" t="s">
        <v>63</v>
      </c>
      <c r="P587">
        <f t="shared" si="18"/>
        <v>1</v>
      </c>
      <c r="Q587" t="str">
        <f>IF(AND(P587&gt;1,COUNTIF($E$6:E587,E587)=1),MAX($Q$5:Q586)+1,"")</f>
        <v/>
      </c>
      <c r="R587" t="str">
        <f t="shared" si="19"/>
        <v/>
      </c>
    </row>
    <row r="588" spans="1:18" ht="22.95" customHeight="1">
      <c r="A588" t="s">
        <v>1745</v>
      </c>
      <c r="B588" t="s">
        <v>24</v>
      </c>
      <c r="C588" t="s">
        <v>431</v>
      </c>
      <c r="D588" t="s">
        <v>216</v>
      </c>
      <c r="E588" t="s">
        <v>1819</v>
      </c>
      <c r="F588">
        <v>1</v>
      </c>
      <c r="G588" t="s">
        <v>139</v>
      </c>
      <c r="I588" t="s">
        <v>1797</v>
      </c>
      <c r="K588" t="s">
        <v>1816</v>
      </c>
      <c r="L588" t="s">
        <v>1817</v>
      </c>
      <c r="M588" t="s">
        <v>62</v>
      </c>
      <c r="N588" t="s">
        <v>63</v>
      </c>
      <c r="P588">
        <f t="shared" si="18"/>
        <v>1</v>
      </c>
      <c r="Q588" t="str">
        <f>IF(AND(P588&gt;1,COUNTIF($E$6:E588,E588)=1),MAX($Q$5:Q587)+1,"")</f>
        <v/>
      </c>
      <c r="R588" t="str">
        <f t="shared" si="19"/>
        <v/>
      </c>
    </row>
    <row r="589" spans="1:18" ht="22.95" customHeight="1">
      <c r="A589" t="s">
        <v>1745</v>
      </c>
      <c r="B589" t="s">
        <v>24</v>
      </c>
      <c r="C589" t="s">
        <v>431</v>
      </c>
      <c r="D589" t="s">
        <v>216</v>
      </c>
      <c r="E589" t="s">
        <v>1820</v>
      </c>
      <c r="F589">
        <v>1</v>
      </c>
      <c r="G589" t="s">
        <v>139</v>
      </c>
      <c r="I589" t="s">
        <v>1797</v>
      </c>
      <c r="K589" t="s">
        <v>1816</v>
      </c>
      <c r="L589" t="s">
        <v>1817</v>
      </c>
      <c r="M589" t="s">
        <v>62</v>
      </c>
      <c r="N589" t="s">
        <v>63</v>
      </c>
      <c r="P589">
        <f t="shared" si="18"/>
        <v>1</v>
      </c>
      <c r="Q589" t="str">
        <f>IF(AND(P589&gt;1,COUNTIF($E$6:E589,E589)=1),MAX($Q$5:Q588)+1,"")</f>
        <v/>
      </c>
      <c r="R589" t="str">
        <f t="shared" si="19"/>
        <v/>
      </c>
    </row>
    <row r="590" spans="1:18" ht="22.95" customHeight="1">
      <c r="A590" t="s">
        <v>1745</v>
      </c>
      <c r="B590" t="s">
        <v>24</v>
      </c>
      <c r="C590" t="s">
        <v>431</v>
      </c>
      <c r="D590" t="s">
        <v>216</v>
      </c>
      <c r="E590" t="s">
        <v>1821</v>
      </c>
      <c r="F590">
        <v>1</v>
      </c>
      <c r="G590" t="s">
        <v>139</v>
      </c>
      <c r="I590" t="s">
        <v>1797</v>
      </c>
      <c r="K590" t="s">
        <v>1816</v>
      </c>
      <c r="L590" t="s">
        <v>1817</v>
      </c>
      <c r="M590" t="s">
        <v>62</v>
      </c>
      <c r="N590" t="s">
        <v>63</v>
      </c>
      <c r="P590">
        <f t="shared" si="18"/>
        <v>1</v>
      </c>
      <c r="Q590" t="str">
        <f>IF(AND(P590&gt;1,COUNTIF($E$6:E590,E590)=1),MAX($Q$5:Q589)+1,"")</f>
        <v/>
      </c>
      <c r="R590" t="str">
        <f t="shared" si="19"/>
        <v/>
      </c>
    </row>
    <row r="591" spans="1:18" ht="22.95" customHeight="1">
      <c r="A591" t="s">
        <v>1745</v>
      </c>
      <c r="B591" t="s">
        <v>24</v>
      </c>
      <c r="C591" t="s">
        <v>431</v>
      </c>
      <c r="D591" t="s">
        <v>216</v>
      </c>
      <c r="E591" t="s">
        <v>1822</v>
      </c>
      <c r="F591">
        <v>1</v>
      </c>
      <c r="G591" t="s">
        <v>1823</v>
      </c>
      <c r="I591" t="s">
        <v>1797</v>
      </c>
      <c r="K591" t="s">
        <v>406</v>
      </c>
      <c r="L591" t="s">
        <v>1824</v>
      </c>
      <c r="M591" t="s">
        <v>102</v>
      </c>
      <c r="P591">
        <f t="shared" si="18"/>
        <v>1</v>
      </c>
      <c r="Q591" t="str">
        <f>IF(AND(P591&gt;1,COUNTIF($E$6:E591,E591)=1),MAX($Q$5:Q590)+1,"")</f>
        <v/>
      </c>
      <c r="R591" t="str">
        <f t="shared" si="19"/>
        <v/>
      </c>
    </row>
    <row r="592" spans="1:18" ht="22.95" customHeight="1">
      <c r="A592" t="s">
        <v>1745</v>
      </c>
      <c r="B592" t="s">
        <v>24</v>
      </c>
      <c r="C592" t="s">
        <v>431</v>
      </c>
      <c r="D592" t="s">
        <v>216</v>
      </c>
      <c r="E592" t="s">
        <v>1825</v>
      </c>
      <c r="F592">
        <v>1</v>
      </c>
      <c r="G592" t="s">
        <v>1826</v>
      </c>
      <c r="I592" t="s">
        <v>1827</v>
      </c>
      <c r="J592" t="s">
        <v>245</v>
      </c>
      <c r="K592" t="s">
        <v>1828</v>
      </c>
      <c r="L592" t="s">
        <v>1829</v>
      </c>
      <c r="M592" t="s">
        <v>62</v>
      </c>
      <c r="N592" t="s">
        <v>719</v>
      </c>
      <c r="P592">
        <f t="shared" si="18"/>
        <v>1</v>
      </c>
      <c r="Q592" t="str">
        <f>IF(AND(P592&gt;1,COUNTIF($E$6:E592,E592)=1),MAX($Q$5:Q591)+1,"")</f>
        <v/>
      </c>
      <c r="R592" t="str">
        <f t="shared" si="19"/>
        <v/>
      </c>
    </row>
    <row r="593" spans="1:18" ht="22.95" customHeight="1">
      <c r="A593" t="s">
        <v>1745</v>
      </c>
      <c r="B593" t="s">
        <v>24</v>
      </c>
      <c r="C593" t="s">
        <v>431</v>
      </c>
      <c r="D593" t="s">
        <v>216</v>
      </c>
      <c r="E593" t="s">
        <v>1830</v>
      </c>
      <c r="F593">
        <v>1</v>
      </c>
      <c r="G593" t="s">
        <v>1826</v>
      </c>
      <c r="I593" t="s">
        <v>1831</v>
      </c>
      <c r="J593" t="s">
        <v>245</v>
      </c>
      <c r="K593" t="s">
        <v>1832</v>
      </c>
      <c r="L593" t="s">
        <v>1829</v>
      </c>
      <c r="M593" t="s">
        <v>62</v>
      </c>
      <c r="N593" t="s">
        <v>719</v>
      </c>
      <c r="P593">
        <f t="shared" si="18"/>
        <v>1</v>
      </c>
      <c r="Q593" t="str">
        <f>IF(AND(P593&gt;1,COUNTIF($E$6:E593,E593)=1),MAX($Q$5:Q592)+1,"")</f>
        <v/>
      </c>
      <c r="R593" t="str">
        <f t="shared" si="19"/>
        <v/>
      </c>
    </row>
    <row r="594" spans="1:18" ht="22.95" customHeight="1">
      <c r="A594" t="s">
        <v>1745</v>
      </c>
      <c r="B594" t="s">
        <v>24</v>
      </c>
      <c r="C594" t="s">
        <v>431</v>
      </c>
      <c r="D594" t="s">
        <v>216</v>
      </c>
      <c r="E594" t="s">
        <v>1833</v>
      </c>
      <c r="F594">
        <v>1</v>
      </c>
      <c r="G594" t="s">
        <v>92</v>
      </c>
      <c r="I594" t="s">
        <v>1834</v>
      </c>
      <c r="J594" t="s">
        <v>446</v>
      </c>
      <c r="K594" t="s">
        <v>1835</v>
      </c>
      <c r="L594" t="s">
        <v>1836</v>
      </c>
      <c r="M594" t="s">
        <v>102</v>
      </c>
      <c r="P594">
        <f t="shared" si="18"/>
        <v>1</v>
      </c>
      <c r="Q594" t="str">
        <f>IF(AND(P594&gt;1,COUNTIF($E$6:E594,E594)=1),MAX($Q$5:Q593)+1,"")</f>
        <v/>
      </c>
      <c r="R594" t="str">
        <f t="shared" si="19"/>
        <v/>
      </c>
    </row>
    <row r="595" spans="1:18" ht="22.95" customHeight="1">
      <c r="A595" t="s">
        <v>1745</v>
      </c>
      <c r="B595" t="s">
        <v>21</v>
      </c>
      <c r="C595" t="s">
        <v>215</v>
      </c>
      <c r="D595" t="s">
        <v>216</v>
      </c>
      <c r="E595" t="s">
        <v>1837</v>
      </c>
      <c r="F595">
        <v>1</v>
      </c>
      <c r="G595" t="s">
        <v>92</v>
      </c>
      <c r="I595" t="s">
        <v>1838</v>
      </c>
      <c r="K595" t="s">
        <v>109</v>
      </c>
      <c r="L595" t="s">
        <v>1839</v>
      </c>
      <c r="M595" t="s">
        <v>73</v>
      </c>
      <c r="P595">
        <f t="shared" si="18"/>
        <v>1</v>
      </c>
      <c r="Q595" t="str">
        <f>IF(AND(P595&gt;1,COUNTIF($E$6:E595,E595)=1),MAX($Q$5:Q594)+1,"")</f>
        <v/>
      </c>
      <c r="R595" t="str">
        <f t="shared" si="19"/>
        <v/>
      </c>
    </row>
    <row r="596" spans="1:18" ht="22.95" customHeight="1">
      <c r="A596" t="s">
        <v>1745</v>
      </c>
      <c r="B596" t="s">
        <v>21</v>
      </c>
      <c r="C596" t="s">
        <v>228</v>
      </c>
      <c r="D596" t="s">
        <v>229</v>
      </c>
      <c r="E596" t="s">
        <v>1840</v>
      </c>
      <c r="F596">
        <v>1</v>
      </c>
      <c r="G596" t="s">
        <v>92</v>
      </c>
      <c r="I596" t="s">
        <v>1841</v>
      </c>
      <c r="J596" t="s">
        <v>446</v>
      </c>
      <c r="K596" t="s">
        <v>1842</v>
      </c>
      <c r="L596" t="s">
        <v>1843</v>
      </c>
      <c r="M596" t="s">
        <v>102</v>
      </c>
      <c r="P596">
        <f t="shared" si="18"/>
        <v>1</v>
      </c>
      <c r="Q596" t="str">
        <f>IF(AND(P596&gt;1,COUNTIF($E$6:E596,E596)=1),MAX($Q$5:Q595)+1,"")</f>
        <v/>
      </c>
      <c r="R596" t="str">
        <f t="shared" si="19"/>
        <v/>
      </c>
    </row>
    <row r="597" spans="1:18" ht="22.95" customHeight="1">
      <c r="A597" t="s">
        <v>1745</v>
      </c>
      <c r="B597" t="s">
        <v>20</v>
      </c>
      <c r="C597" t="s">
        <v>55</v>
      </c>
      <c r="D597" t="s">
        <v>56</v>
      </c>
      <c r="E597" t="s">
        <v>1844</v>
      </c>
      <c r="F597">
        <v>1</v>
      </c>
      <c r="G597" t="s">
        <v>296</v>
      </c>
      <c r="H597" t="s">
        <v>1845</v>
      </c>
      <c r="I597" t="s">
        <v>141</v>
      </c>
      <c r="J597" t="s">
        <v>99</v>
      </c>
      <c r="K597" t="s">
        <v>109</v>
      </c>
      <c r="L597" t="s">
        <v>1846</v>
      </c>
      <c r="M597" t="s">
        <v>73</v>
      </c>
      <c r="P597">
        <f t="shared" si="18"/>
        <v>1</v>
      </c>
      <c r="Q597" t="str">
        <f>IF(AND(P597&gt;1,COUNTIF($E$6:E597,E597)=1),MAX($Q$5:Q596)+1,"")</f>
        <v/>
      </c>
      <c r="R597" t="str">
        <f t="shared" si="19"/>
        <v/>
      </c>
    </row>
    <row r="598" spans="1:18" ht="22.95" customHeight="1">
      <c r="A598" t="s">
        <v>1745</v>
      </c>
      <c r="B598" t="s">
        <v>20</v>
      </c>
      <c r="C598" t="s">
        <v>55</v>
      </c>
      <c r="D598" t="s">
        <v>56</v>
      </c>
      <c r="E598" t="s">
        <v>1847</v>
      </c>
      <c r="F598">
        <v>1</v>
      </c>
      <c r="G598" t="s">
        <v>58</v>
      </c>
      <c r="H598" t="s">
        <v>1848</v>
      </c>
      <c r="I598" t="s">
        <v>1849</v>
      </c>
      <c r="K598" t="s">
        <v>78</v>
      </c>
      <c r="L598" t="s">
        <v>1850</v>
      </c>
      <c r="M598" t="s">
        <v>73</v>
      </c>
      <c r="P598">
        <f t="shared" si="18"/>
        <v>1</v>
      </c>
      <c r="Q598" t="str">
        <f>IF(AND(P598&gt;1,COUNTIF($E$6:E598,E598)=1),MAX($Q$5:Q597)+1,"")</f>
        <v/>
      </c>
      <c r="R598" t="str">
        <f t="shared" si="19"/>
        <v/>
      </c>
    </row>
    <row r="599" spans="1:18" ht="22.95" customHeight="1">
      <c r="A599" t="s">
        <v>1745</v>
      </c>
      <c r="B599" t="s">
        <v>20</v>
      </c>
      <c r="C599" t="s">
        <v>55</v>
      </c>
      <c r="D599" t="s">
        <v>56</v>
      </c>
      <c r="E599" t="s">
        <v>1851</v>
      </c>
      <c r="F599">
        <v>1</v>
      </c>
      <c r="G599" t="s">
        <v>58</v>
      </c>
      <c r="H599" t="s">
        <v>1848</v>
      </c>
      <c r="I599" t="s">
        <v>1849</v>
      </c>
      <c r="K599" t="s">
        <v>78</v>
      </c>
      <c r="L599" t="s">
        <v>1850</v>
      </c>
      <c r="M599" t="s">
        <v>73</v>
      </c>
      <c r="P599">
        <f t="shared" si="18"/>
        <v>1</v>
      </c>
      <c r="Q599" t="str">
        <f>IF(AND(P599&gt;1,COUNTIF($E$6:E599,E599)=1),MAX($Q$5:Q598)+1,"")</f>
        <v/>
      </c>
      <c r="R599" t="str">
        <f t="shared" si="19"/>
        <v/>
      </c>
    </row>
    <row r="600" spans="1:18" ht="22.95" customHeight="1">
      <c r="A600" t="s">
        <v>1745</v>
      </c>
      <c r="B600" t="s">
        <v>20</v>
      </c>
      <c r="C600" t="s">
        <v>55</v>
      </c>
      <c r="D600" t="s">
        <v>56</v>
      </c>
      <c r="E600" t="s">
        <v>1852</v>
      </c>
      <c r="F600">
        <v>1</v>
      </c>
      <c r="G600" t="s">
        <v>58</v>
      </c>
      <c r="H600" t="s">
        <v>1848</v>
      </c>
      <c r="I600" t="s">
        <v>1849</v>
      </c>
      <c r="K600" t="s">
        <v>78</v>
      </c>
      <c r="L600" t="s">
        <v>1850</v>
      </c>
      <c r="M600" t="s">
        <v>73</v>
      </c>
      <c r="P600">
        <f t="shared" si="18"/>
        <v>1</v>
      </c>
      <c r="Q600" t="str">
        <f>IF(AND(P600&gt;1,COUNTIF($E$6:E600,E600)=1),MAX($Q$5:Q599)+1,"")</f>
        <v/>
      </c>
      <c r="R600" t="str">
        <f t="shared" si="19"/>
        <v/>
      </c>
    </row>
    <row r="601" spans="1:18" ht="22.95" customHeight="1">
      <c r="A601" t="s">
        <v>1745</v>
      </c>
      <c r="B601" t="s">
        <v>20</v>
      </c>
      <c r="C601" t="s">
        <v>55</v>
      </c>
      <c r="D601" t="s">
        <v>56</v>
      </c>
      <c r="E601" t="s">
        <v>1853</v>
      </c>
      <c r="F601">
        <v>1</v>
      </c>
      <c r="G601" t="s">
        <v>58</v>
      </c>
      <c r="H601" t="s">
        <v>1848</v>
      </c>
      <c r="I601" t="s">
        <v>1849</v>
      </c>
      <c r="K601" t="s">
        <v>78</v>
      </c>
      <c r="L601" t="s">
        <v>1850</v>
      </c>
      <c r="M601" t="s">
        <v>73</v>
      </c>
      <c r="P601">
        <f t="shared" si="18"/>
        <v>1</v>
      </c>
      <c r="Q601" t="str">
        <f>IF(AND(P601&gt;1,COUNTIF($E$6:E601,E601)=1),MAX($Q$5:Q600)+1,"")</f>
        <v/>
      </c>
      <c r="R601" t="str">
        <f t="shared" si="19"/>
        <v/>
      </c>
    </row>
    <row r="602" spans="1:18" ht="22.95" customHeight="1">
      <c r="A602" t="s">
        <v>1745</v>
      </c>
      <c r="B602" t="s">
        <v>20</v>
      </c>
      <c r="C602" t="s">
        <v>55</v>
      </c>
      <c r="D602" t="s">
        <v>56</v>
      </c>
      <c r="E602" t="s">
        <v>1854</v>
      </c>
      <c r="F602">
        <v>1</v>
      </c>
      <c r="G602" t="s">
        <v>1855</v>
      </c>
      <c r="H602" t="s">
        <v>1848</v>
      </c>
      <c r="I602" t="s">
        <v>1849</v>
      </c>
      <c r="K602" t="s">
        <v>78</v>
      </c>
      <c r="L602" t="s">
        <v>1850</v>
      </c>
      <c r="M602" t="s">
        <v>73</v>
      </c>
      <c r="P602">
        <f t="shared" si="18"/>
        <v>1</v>
      </c>
      <c r="Q602" t="str">
        <f>IF(AND(P602&gt;1,COUNTIF($E$6:E602,E602)=1),MAX($Q$5:Q601)+1,"")</f>
        <v/>
      </c>
      <c r="R602" t="str">
        <f t="shared" si="19"/>
        <v/>
      </c>
    </row>
    <row r="603" spans="1:18" ht="22.95" customHeight="1">
      <c r="A603" t="s">
        <v>1745</v>
      </c>
      <c r="B603" t="s">
        <v>26</v>
      </c>
      <c r="C603" t="s">
        <v>196</v>
      </c>
      <c r="D603" t="s">
        <v>197</v>
      </c>
      <c r="E603" t="s">
        <v>1856</v>
      </c>
      <c r="F603">
        <v>1</v>
      </c>
      <c r="G603" t="s">
        <v>92</v>
      </c>
      <c r="I603" t="s">
        <v>1857</v>
      </c>
      <c r="K603" t="s">
        <v>1324</v>
      </c>
      <c r="L603" t="s">
        <v>1858</v>
      </c>
      <c r="M603" t="s">
        <v>102</v>
      </c>
      <c r="P603">
        <f t="shared" si="18"/>
        <v>1</v>
      </c>
      <c r="Q603" t="str">
        <f>IF(AND(P603&gt;1,COUNTIF($E$6:E603,E603)=1),MAX($Q$5:Q602)+1,"")</f>
        <v/>
      </c>
      <c r="R603" t="str">
        <f t="shared" si="19"/>
        <v/>
      </c>
    </row>
    <row r="604" spans="1:18" ht="22.95" customHeight="1">
      <c r="A604" t="s">
        <v>1745</v>
      </c>
      <c r="B604" t="s">
        <v>24</v>
      </c>
      <c r="C604" t="s">
        <v>436</v>
      </c>
      <c r="D604" t="s">
        <v>437</v>
      </c>
      <c r="E604" t="s">
        <v>1859</v>
      </c>
      <c r="F604">
        <v>1</v>
      </c>
      <c r="G604" t="s">
        <v>139</v>
      </c>
      <c r="I604" t="s">
        <v>1860</v>
      </c>
      <c r="K604" t="s">
        <v>140</v>
      </c>
      <c r="L604" t="s">
        <v>1861</v>
      </c>
      <c r="M604" t="s">
        <v>62</v>
      </c>
      <c r="N604" t="s">
        <v>63</v>
      </c>
      <c r="P604">
        <f t="shared" si="18"/>
        <v>1</v>
      </c>
      <c r="Q604" t="str">
        <f>IF(AND(P604&gt;1,COUNTIF($E$6:E604,E604)=1),MAX($Q$5:Q603)+1,"")</f>
        <v/>
      </c>
      <c r="R604" t="str">
        <f t="shared" si="19"/>
        <v/>
      </c>
    </row>
    <row r="605" spans="1:18" ht="22.95" customHeight="1">
      <c r="A605" t="s">
        <v>1745</v>
      </c>
      <c r="B605" t="s">
        <v>28</v>
      </c>
      <c r="C605" t="s">
        <v>146</v>
      </c>
      <c r="D605" t="s">
        <v>147</v>
      </c>
      <c r="E605" t="s">
        <v>1862</v>
      </c>
      <c r="F605">
        <v>1</v>
      </c>
      <c r="G605" t="s">
        <v>1863</v>
      </c>
      <c r="H605" t="s">
        <v>831</v>
      </c>
      <c r="I605" t="s">
        <v>1864</v>
      </c>
      <c r="K605" t="s">
        <v>1778</v>
      </c>
      <c r="L605" t="s">
        <v>1865</v>
      </c>
      <c r="M605" t="s">
        <v>62</v>
      </c>
      <c r="N605" t="s">
        <v>187</v>
      </c>
      <c r="P605">
        <f t="shared" si="18"/>
        <v>1</v>
      </c>
      <c r="Q605" t="str">
        <f>IF(AND(P605&gt;1,COUNTIF($E$6:E605,E605)=1),MAX($Q$5:Q604)+1,"")</f>
        <v/>
      </c>
      <c r="R605" t="str">
        <f t="shared" si="19"/>
        <v/>
      </c>
    </row>
    <row r="606" spans="1:18" ht="22.95" customHeight="1">
      <c r="A606" t="s">
        <v>1745</v>
      </c>
      <c r="B606" t="s">
        <v>28</v>
      </c>
      <c r="C606" t="s">
        <v>146</v>
      </c>
      <c r="D606" t="s">
        <v>147</v>
      </c>
      <c r="E606" t="s">
        <v>1866</v>
      </c>
      <c r="F606">
        <v>1</v>
      </c>
      <c r="G606" t="s">
        <v>1216</v>
      </c>
      <c r="H606" t="s">
        <v>1867</v>
      </c>
      <c r="I606" t="s">
        <v>1868</v>
      </c>
      <c r="K606" t="s">
        <v>78</v>
      </c>
      <c r="L606" t="s">
        <v>1850</v>
      </c>
      <c r="M606" t="s">
        <v>73</v>
      </c>
      <c r="P606">
        <f t="shared" si="18"/>
        <v>1</v>
      </c>
      <c r="Q606" t="str">
        <f>IF(AND(P606&gt;1,COUNTIF($E$6:E606,E606)=1),MAX($Q$5:Q605)+1,"")</f>
        <v/>
      </c>
      <c r="R606" t="str">
        <f t="shared" si="19"/>
        <v/>
      </c>
    </row>
    <row r="607" spans="1:18" ht="22.95" customHeight="1">
      <c r="A607" t="s">
        <v>1745</v>
      </c>
      <c r="B607" t="s">
        <v>28</v>
      </c>
      <c r="C607" t="s">
        <v>146</v>
      </c>
      <c r="D607" t="s">
        <v>147</v>
      </c>
      <c r="E607" t="s">
        <v>1869</v>
      </c>
      <c r="F607">
        <v>1</v>
      </c>
      <c r="G607" t="s">
        <v>1216</v>
      </c>
      <c r="H607" t="s">
        <v>1867</v>
      </c>
      <c r="I607" t="s">
        <v>1870</v>
      </c>
      <c r="K607" t="s">
        <v>78</v>
      </c>
      <c r="L607" t="s">
        <v>1850</v>
      </c>
      <c r="M607" t="s">
        <v>73</v>
      </c>
      <c r="P607">
        <f t="shared" si="18"/>
        <v>1</v>
      </c>
      <c r="Q607" t="str">
        <f>IF(AND(P607&gt;1,COUNTIF($E$6:E607,E607)=1),MAX($Q$5:Q606)+1,"")</f>
        <v/>
      </c>
      <c r="R607" t="str">
        <f t="shared" si="19"/>
        <v/>
      </c>
    </row>
    <row r="608" spans="1:18" ht="22.95" customHeight="1">
      <c r="A608" t="s">
        <v>1745</v>
      </c>
      <c r="B608" t="s">
        <v>28</v>
      </c>
      <c r="C608" t="s">
        <v>146</v>
      </c>
      <c r="D608" t="s">
        <v>147</v>
      </c>
      <c r="E608" t="s">
        <v>1871</v>
      </c>
      <c r="F608">
        <v>1</v>
      </c>
      <c r="G608" t="s">
        <v>149</v>
      </c>
      <c r="H608" t="s">
        <v>590</v>
      </c>
      <c r="I608" t="s">
        <v>1872</v>
      </c>
      <c r="K608" t="s">
        <v>109</v>
      </c>
      <c r="L608" t="s">
        <v>1873</v>
      </c>
      <c r="M608" t="s">
        <v>62</v>
      </c>
      <c r="N608" t="s">
        <v>187</v>
      </c>
      <c r="P608">
        <f t="shared" si="18"/>
        <v>1</v>
      </c>
      <c r="Q608" t="str">
        <f>IF(AND(P608&gt;1,COUNTIF($E$6:E608,E608)=1),MAX($Q$5:Q607)+1,"")</f>
        <v/>
      </c>
      <c r="R608" t="str">
        <f t="shared" si="19"/>
        <v/>
      </c>
    </row>
    <row r="609" spans="1:18" ht="22.95" customHeight="1">
      <c r="A609" t="s">
        <v>1745</v>
      </c>
      <c r="B609" t="s">
        <v>32</v>
      </c>
      <c r="C609" t="s">
        <v>200</v>
      </c>
      <c r="D609" t="s">
        <v>201</v>
      </c>
      <c r="E609" t="s">
        <v>1874</v>
      </c>
      <c r="F609">
        <v>1</v>
      </c>
      <c r="G609" t="s">
        <v>1875</v>
      </c>
      <c r="H609" t="s">
        <v>847</v>
      </c>
      <c r="I609" t="s">
        <v>1849</v>
      </c>
      <c r="K609" t="s">
        <v>1876</v>
      </c>
      <c r="L609" t="s">
        <v>1877</v>
      </c>
      <c r="M609" t="s">
        <v>73</v>
      </c>
      <c r="P609">
        <f t="shared" si="18"/>
        <v>1</v>
      </c>
      <c r="Q609" t="str">
        <f>IF(AND(P609&gt;1,COUNTIF($E$6:E609,E609)=1),MAX($Q$5:Q608)+1,"")</f>
        <v/>
      </c>
      <c r="R609" t="str">
        <f t="shared" si="19"/>
        <v/>
      </c>
    </row>
    <row r="610" spans="1:18" ht="22.95" customHeight="1">
      <c r="A610" t="s">
        <v>1745</v>
      </c>
      <c r="B610" t="s">
        <v>32</v>
      </c>
      <c r="C610" t="s">
        <v>200</v>
      </c>
      <c r="D610" t="s">
        <v>201</v>
      </c>
      <c r="E610" t="s">
        <v>1878</v>
      </c>
      <c r="F610">
        <v>1</v>
      </c>
      <c r="G610" t="s">
        <v>1875</v>
      </c>
      <c r="H610" t="s">
        <v>847</v>
      </c>
      <c r="I610" t="s">
        <v>1849</v>
      </c>
      <c r="K610" t="s">
        <v>1876</v>
      </c>
      <c r="L610" t="s">
        <v>1877</v>
      </c>
      <c r="M610" t="s">
        <v>73</v>
      </c>
      <c r="P610">
        <f t="shared" si="18"/>
        <v>1</v>
      </c>
      <c r="Q610" t="str">
        <f>IF(AND(P610&gt;1,COUNTIF($E$6:E610,E610)=1),MAX($Q$5:Q609)+1,"")</f>
        <v/>
      </c>
      <c r="R610" t="str">
        <f t="shared" si="19"/>
        <v/>
      </c>
    </row>
    <row r="611" spans="1:18" ht="22.95" customHeight="1">
      <c r="A611" t="s">
        <v>1745</v>
      </c>
      <c r="B611" t="s">
        <v>32</v>
      </c>
      <c r="C611" t="s">
        <v>200</v>
      </c>
      <c r="D611" t="s">
        <v>201</v>
      </c>
      <c r="E611" t="s">
        <v>1879</v>
      </c>
      <c r="F611">
        <v>1</v>
      </c>
      <c r="G611" t="s">
        <v>1875</v>
      </c>
      <c r="H611" t="s">
        <v>847</v>
      </c>
      <c r="I611" t="s">
        <v>1849</v>
      </c>
      <c r="K611" t="s">
        <v>1876</v>
      </c>
      <c r="L611" t="s">
        <v>1877</v>
      </c>
      <c r="M611" t="s">
        <v>73</v>
      </c>
      <c r="P611">
        <f t="shared" si="18"/>
        <v>1</v>
      </c>
      <c r="Q611" t="str">
        <f>IF(AND(P611&gt;1,COUNTIF($E$6:E611,E611)=1),MAX($Q$5:Q610)+1,"")</f>
        <v/>
      </c>
      <c r="R611" t="str">
        <f t="shared" si="19"/>
        <v/>
      </c>
    </row>
    <row r="612" spans="1:18" ht="22.95" customHeight="1">
      <c r="A612" t="s">
        <v>1745</v>
      </c>
      <c r="B612" t="s">
        <v>32</v>
      </c>
      <c r="C612" t="s">
        <v>200</v>
      </c>
      <c r="D612" t="s">
        <v>201</v>
      </c>
      <c r="E612" t="s">
        <v>1880</v>
      </c>
      <c r="F612">
        <v>1</v>
      </c>
      <c r="G612" t="s">
        <v>1875</v>
      </c>
      <c r="H612" t="s">
        <v>847</v>
      </c>
      <c r="I612" t="s">
        <v>1849</v>
      </c>
      <c r="K612" t="s">
        <v>1876</v>
      </c>
      <c r="L612" t="s">
        <v>1877</v>
      </c>
      <c r="M612" t="s">
        <v>73</v>
      </c>
      <c r="P612">
        <f t="shared" si="18"/>
        <v>1</v>
      </c>
      <c r="Q612" t="str">
        <f>IF(AND(P612&gt;1,COUNTIF($E$6:E612,E612)=1),MAX($Q$5:Q611)+1,"")</f>
        <v/>
      </c>
      <c r="R612" t="str">
        <f t="shared" si="19"/>
        <v/>
      </c>
    </row>
    <row r="613" spans="1:18" ht="22.95" customHeight="1">
      <c r="A613" t="s">
        <v>1745</v>
      </c>
      <c r="B613" t="s">
        <v>32</v>
      </c>
      <c r="C613" t="s">
        <v>200</v>
      </c>
      <c r="D613" t="s">
        <v>201</v>
      </c>
      <c r="E613" t="s">
        <v>1881</v>
      </c>
      <c r="F613">
        <v>1</v>
      </c>
      <c r="G613" t="s">
        <v>139</v>
      </c>
      <c r="I613" t="s">
        <v>1882</v>
      </c>
      <c r="K613" t="s">
        <v>1778</v>
      </c>
      <c r="L613" t="s">
        <v>1883</v>
      </c>
      <c r="M613" t="s">
        <v>62</v>
      </c>
      <c r="N613" t="s">
        <v>63</v>
      </c>
      <c r="P613">
        <f t="shared" si="18"/>
        <v>1</v>
      </c>
      <c r="Q613" t="str">
        <f>IF(AND(P613&gt;1,COUNTIF($E$6:E613,E613)=1),MAX($Q$5:Q612)+1,"")</f>
        <v/>
      </c>
      <c r="R613" t="str">
        <f t="shared" si="19"/>
        <v/>
      </c>
    </row>
    <row r="614" spans="1:18" ht="22.95" customHeight="1">
      <c r="A614" t="s">
        <v>1745</v>
      </c>
      <c r="B614" t="s">
        <v>32</v>
      </c>
      <c r="C614" t="s">
        <v>200</v>
      </c>
      <c r="D614" t="s">
        <v>201</v>
      </c>
      <c r="E614" t="s">
        <v>1884</v>
      </c>
      <c r="F614">
        <v>1</v>
      </c>
      <c r="G614" t="s">
        <v>92</v>
      </c>
      <c r="I614" t="s">
        <v>1849</v>
      </c>
      <c r="K614" t="s">
        <v>1876</v>
      </c>
      <c r="L614" t="s">
        <v>1885</v>
      </c>
      <c r="M614" t="s">
        <v>73</v>
      </c>
      <c r="P614">
        <f t="shared" si="18"/>
        <v>1</v>
      </c>
      <c r="Q614" t="str">
        <f>IF(AND(P614&gt;1,COUNTIF($E$6:E614,E614)=1),MAX($Q$5:Q613)+1,"")</f>
        <v/>
      </c>
      <c r="R614" t="str">
        <f t="shared" si="19"/>
        <v/>
      </c>
    </row>
    <row r="615" spans="1:18" ht="22.95" customHeight="1">
      <c r="A615" t="s">
        <v>1745</v>
      </c>
      <c r="B615" t="s">
        <v>32</v>
      </c>
      <c r="C615" t="s">
        <v>200</v>
      </c>
      <c r="D615" t="s">
        <v>201</v>
      </c>
      <c r="E615" t="s">
        <v>1886</v>
      </c>
      <c r="F615">
        <v>1</v>
      </c>
      <c r="G615" t="s">
        <v>1887</v>
      </c>
      <c r="I615" t="s">
        <v>1849</v>
      </c>
      <c r="K615" t="s">
        <v>1876</v>
      </c>
      <c r="L615" t="s">
        <v>1885</v>
      </c>
      <c r="M615" t="s">
        <v>73</v>
      </c>
      <c r="P615">
        <f t="shared" si="18"/>
        <v>1</v>
      </c>
      <c r="Q615" t="str">
        <f>IF(AND(P615&gt;1,COUNTIF($E$6:E615,E615)=1),MAX($Q$5:Q614)+1,"")</f>
        <v/>
      </c>
      <c r="R615" t="str">
        <f t="shared" si="19"/>
        <v/>
      </c>
    </row>
    <row r="616" spans="1:18" ht="22.95" customHeight="1">
      <c r="A616" t="s">
        <v>1745</v>
      </c>
      <c r="B616" t="s">
        <v>28</v>
      </c>
      <c r="C616" t="s">
        <v>167</v>
      </c>
      <c r="D616" t="s">
        <v>168</v>
      </c>
      <c r="E616" t="s">
        <v>1888</v>
      </c>
      <c r="F616">
        <v>1</v>
      </c>
      <c r="G616" t="s">
        <v>92</v>
      </c>
      <c r="I616" t="s">
        <v>1889</v>
      </c>
      <c r="K616" t="s">
        <v>109</v>
      </c>
      <c r="L616" t="s">
        <v>1890</v>
      </c>
      <c r="M616" t="s">
        <v>73</v>
      </c>
      <c r="P616">
        <f t="shared" si="18"/>
        <v>1</v>
      </c>
      <c r="Q616" t="str">
        <f>IF(AND(P616&gt;1,COUNTIF($E$6:E616,E616)=1),MAX($Q$5:Q615)+1,"")</f>
        <v/>
      </c>
      <c r="R616" t="str">
        <f t="shared" si="19"/>
        <v/>
      </c>
    </row>
    <row r="617" spans="1:18" ht="22.95" customHeight="1">
      <c r="A617" t="s">
        <v>1745</v>
      </c>
      <c r="B617" t="s">
        <v>24</v>
      </c>
      <c r="C617" t="s">
        <v>136</v>
      </c>
      <c r="D617" t="s">
        <v>674</v>
      </c>
      <c r="E617" t="s">
        <v>1891</v>
      </c>
      <c r="F617">
        <v>1</v>
      </c>
      <c r="G617" t="s">
        <v>1892</v>
      </c>
      <c r="H617" t="s">
        <v>56</v>
      </c>
      <c r="I617" t="s">
        <v>1893</v>
      </c>
      <c r="K617" t="s">
        <v>1894</v>
      </c>
      <c r="L617" t="s">
        <v>1895</v>
      </c>
      <c r="M617" t="s">
        <v>62</v>
      </c>
      <c r="N617" t="s">
        <v>63</v>
      </c>
      <c r="P617">
        <f t="shared" si="18"/>
        <v>1</v>
      </c>
      <c r="Q617" t="str">
        <f>IF(AND(P617&gt;1,COUNTIF($E$6:E617,E617)=1),MAX($Q$5:Q616)+1,"")</f>
        <v/>
      </c>
      <c r="R617" t="str">
        <f t="shared" si="19"/>
        <v/>
      </c>
    </row>
    <row r="618" spans="1:18" ht="22.95" customHeight="1">
      <c r="A618" t="s">
        <v>1745</v>
      </c>
      <c r="B618" t="s">
        <v>24</v>
      </c>
      <c r="C618" t="s">
        <v>136</v>
      </c>
      <c r="D618" t="s">
        <v>674</v>
      </c>
      <c r="E618" t="s">
        <v>1896</v>
      </c>
      <c r="F618">
        <v>1</v>
      </c>
      <c r="G618" t="s">
        <v>1897</v>
      </c>
      <c r="H618" t="s">
        <v>1898</v>
      </c>
      <c r="I618" t="s">
        <v>112</v>
      </c>
      <c r="L618" t="s">
        <v>1899</v>
      </c>
      <c r="M618" t="s">
        <v>62</v>
      </c>
      <c r="N618" t="s">
        <v>63</v>
      </c>
      <c r="P618">
        <f t="shared" si="18"/>
        <v>1</v>
      </c>
      <c r="Q618" t="str">
        <f>IF(AND(P618&gt;1,COUNTIF($E$6:E618,E618)=1),MAX($Q$5:Q617)+1,"")</f>
        <v/>
      </c>
      <c r="R618" t="str">
        <f t="shared" si="19"/>
        <v/>
      </c>
    </row>
    <row r="619" spans="1:18" ht="22.95" customHeight="1">
      <c r="A619" t="s">
        <v>1745</v>
      </c>
      <c r="B619" t="s">
        <v>22</v>
      </c>
      <c r="C619" t="s">
        <v>370</v>
      </c>
      <c r="D619" t="s">
        <v>371</v>
      </c>
      <c r="E619" t="s">
        <v>1900</v>
      </c>
      <c r="F619">
        <v>1</v>
      </c>
      <c r="G619" t="s">
        <v>1901</v>
      </c>
      <c r="H619" t="s">
        <v>1848</v>
      </c>
      <c r="I619" t="s">
        <v>1902</v>
      </c>
      <c r="J619" t="s">
        <v>245</v>
      </c>
      <c r="K619" t="s">
        <v>1903</v>
      </c>
      <c r="L619" t="s">
        <v>1904</v>
      </c>
      <c r="M619" t="s">
        <v>73</v>
      </c>
      <c r="P619">
        <f t="shared" si="18"/>
        <v>1</v>
      </c>
      <c r="Q619" t="str">
        <f>IF(AND(P619&gt;1,COUNTIF($E$6:E619,E619)=1),MAX($Q$5:Q618)+1,"")</f>
        <v/>
      </c>
      <c r="R619" t="str">
        <f t="shared" si="19"/>
        <v/>
      </c>
    </row>
    <row r="620" spans="1:18" ht="22.95" customHeight="1">
      <c r="A620" t="s">
        <v>1745</v>
      </c>
      <c r="B620" t="s">
        <v>22</v>
      </c>
      <c r="C620" t="s">
        <v>370</v>
      </c>
      <c r="D620" t="s">
        <v>371</v>
      </c>
      <c r="E620" t="s">
        <v>1905</v>
      </c>
      <c r="F620">
        <v>1</v>
      </c>
      <c r="G620" t="s">
        <v>1901</v>
      </c>
      <c r="H620" t="s">
        <v>1848</v>
      </c>
      <c r="I620" t="s">
        <v>1902</v>
      </c>
      <c r="J620" t="s">
        <v>245</v>
      </c>
      <c r="K620" t="s">
        <v>1903</v>
      </c>
      <c r="L620" t="s">
        <v>1906</v>
      </c>
      <c r="M620" t="s">
        <v>62</v>
      </c>
      <c r="N620" t="s">
        <v>719</v>
      </c>
      <c r="P620">
        <f t="shared" si="18"/>
        <v>1</v>
      </c>
      <c r="Q620" t="str">
        <f>IF(AND(P620&gt;1,COUNTIF($E$6:E620,E620)=1),MAX($Q$5:Q619)+1,"")</f>
        <v/>
      </c>
      <c r="R620" t="str">
        <f t="shared" si="19"/>
        <v/>
      </c>
    </row>
    <row r="621" spans="1:18" ht="22.95" customHeight="1">
      <c r="A621" t="s">
        <v>1745</v>
      </c>
      <c r="B621" t="s">
        <v>25</v>
      </c>
      <c r="C621" t="s">
        <v>131</v>
      </c>
      <c r="D621" t="s">
        <v>132</v>
      </c>
      <c r="E621" t="s">
        <v>1907</v>
      </c>
      <c r="F621">
        <v>1</v>
      </c>
      <c r="G621" t="s">
        <v>92</v>
      </c>
      <c r="I621" t="s">
        <v>140</v>
      </c>
      <c r="K621" t="s">
        <v>1908</v>
      </c>
      <c r="L621" t="s">
        <v>1909</v>
      </c>
      <c r="M621" t="s">
        <v>102</v>
      </c>
      <c r="P621">
        <f t="shared" si="18"/>
        <v>1</v>
      </c>
      <c r="Q621" t="str">
        <f>IF(AND(P621&gt;1,COUNTIF($E$6:E621,E621)=1),MAX($Q$5:Q620)+1,"")</f>
        <v/>
      </c>
      <c r="R621" t="str">
        <f t="shared" si="19"/>
        <v/>
      </c>
    </row>
    <row r="622" spans="1:18" ht="22.95" customHeight="1">
      <c r="A622" t="s">
        <v>1745</v>
      </c>
      <c r="B622" t="s">
        <v>25</v>
      </c>
      <c r="C622" t="s">
        <v>131</v>
      </c>
      <c r="D622" t="s">
        <v>132</v>
      </c>
      <c r="E622" t="s">
        <v>1910</v>
      </c>
      <c r="F622">
        <v>1</v>
      </c>
      <c r="G622" t="s">
        <v>92</v>
      </c>
      <c r="I622" t="s">
        <v>1911</v>
      </c>
      <c r="K622" t="s">
        <v>1912</v>
      </c>
      <c r="L622" t="s">
        <v>1909</v>
      </c>
      <c r="M622" t="s">
        <v>102</v>
      </c>
      <c r="P622">
        <f t="shared" si="18"/>
        <v>1</v>
      </c>
      <c r="Q622" t="str">
        <f>IF(AND(P622&gt;1,COUNTIF($E$6:E622,E622)=1),MAX($Q$5:Q621)+1,"")</f>
        <v/>
      </c>
      <c r="R622" t="str">
        <f t="shared" si="19"/>
        <v/>
      </c>
    </row>
    <row r="623" spans="1:18" ht="22.95" customHeight="1">
      <c r="A623" t="s">
        <v>1745</v>
      </c>
      <c r="B623" t="s">
        <v>25</v>
      </c>
      <c r="C623" t="s">
        <v>131</v>
      </c>
      <c r="D623" t="s">
        <v>132</v>
      </c>
      <c r="E623" t="s">
        <v>1913</v>
      </c>
      <c r="F623">
        <v>1</v>
      </c>
      <c r="G623" t="s">
        <v>92</v>
      </c>
      <c r="I623" t="s">
        <v>1911</v>
      </c>
      <c r="K623" t="s">
        <v>1914</v>
      </c>
      <c r="L623" t="s">
        <v>1909</v>
      </c>
      <c r="M623" t="s">
        <v>102</v>
      </c>
      <c r="P623">
        <f t="shared" si="18"/>
        <v>1</v>
      </c>
      <c r="Q623" t="str">
        <f>IF(AND(P623&gt;1,COUNTIF($E$6:E623,E623)=1),MAX($Q$5:Q622)+1,"")</f>
        <v/>
      </c>
      <c r="R623" t="str">
        <f t="shared" si="19"/>
        <v/>
      </c>
    </row>
    <row r="624" spans="1:18" ht="22.95" customHeight="1">
      <c r="A624" t="s">
        <v>1745</v>
      </c>
      <c r="B624" t="s">
        <v>25</v>
      </c>
      <c r="C624" t="s">
        <v>131</v>
      </c>
      <c r="D624" t="s">
        <v>132</v>
      </c>
      <c r="E624" t="s">
        <v>1915</v>
      </c>
      <c r="F624">
        <v>1</v>
      </c>
      <c r="G624" t="s">
        <v>92</v>
      </c>
      <c r="I624" t="s">
        <v>1911</v>
      </c>
      <c r="K624" t="s">
        <v>1914</v>
      </c>
      <c r="L624" t="s">
        <v>1909</v>
      </c>
      <c r="M624" t="s">
        <v>102</v>
      </c>
      <c r="P624">
        <f t="shared" si="18"/>
        <v>1</v>
      </c>
      <c r="Q624" t="str">
        <f>IF(AND(P624&gt;1,COUNTIF($E$6:E624,E624)=1),MAX($Q$5:Q623)+1,"")</f>
        <v/>
      </c>
      <c r="R624" t="str">
        <f t="shared" si="19"/>
        <v/>
      </c>
    </row>
    <row r="625" spans="1:18" ht="22.95" customHeight="1">
      <c r="A625" t="s">
        <v>1745</v>
      </c>
      <c r="B625" t="s">
        <v>25</v>
      </c>
      <c r="C625" t="s">
        <v>131</v>
      </c>
      <c r="D625" t="s">
        <v>132</v>
      </c>
      <c r="E625" t="s">
        <v>1916</v>
      </c>
      <c r="F625">
        <v>1</v>
      </c>
      <c r="G625" t="s">
        <v>92</v>
      </c>
      <c r="I625" t="s">
        <v>1911</v>
      </c>
      <c r="K625" t="s">
        <v>1914</v>
      </c>
      <c r="L625" t="s">
        <v>1909</v>
      </c>
      <c r="M625" t="s">
        <v>102</v>
      </c>
      <c r="P625">
        <f t="shared" si="18"/>
        <v>1</v>
      </c>
      <c r="Q625" t="str">
        <f>IF(AND(P625&gt;1,COUNTIF($E$6:E625,E625)=1),MAX($Q$5:Q624)+1,"")</f>
        <v/>
      </c>
      <c r="R625" t="str">
        <f t="shared" si="19"/>
        <v/>
      </c>
    </row>
    <row r="626" spans="1:18" ht="22.95" customHeight="1">
      <c r="A626" t="s">
        <v>1745</v>
      </c>
      <c r="B626" t="s">
        <v>20</v>
      </c>
      <c r="C626" t="s">
        <v>65</v>
      </c>
      <c r="D626" t="s">
        <v>66</v>
      </c>
      <c r="E626" t="s">
        <v>1917</v>
      </c>
      <c r="F626">
        <v>1</v>
      </c>
      <c r="G626" t="s">
        <v>92</v>
      </c>
      <c r="I626" t="s">
        <v>1918</v>
      </c>
      <c r="K626" t="s">
        <v>1919</v>
      </c>
      <c r="L626" t="s">
        <v>1920</v>
      </c>
      <c r="M626" t="s">
        <v>73</v>
      </c>
      <c r="P626">
        <f t="shared" si="18"/>
        <v>1</v>
      </c>
      <c r="Q626" t="str">
        <f>IF(AND(P626&gt;1,COUNTIF($E$6:E626,E626)=1),MAX($Q$5:Q625)+1,"")</f>
        <v/>
      </c>
      <c r="R626" t="str">
        <f t="shared" si="19"/>
        <v/>
      </c>
    </row>
    <row r="627" spans="1:18" ht="22.95" customHeight="1">
      <c r="A627" t="s">
        <v>1745</v>
      </c>
      <c r="B627" t="s">
        <v>20</v>
      </c>
      <c r="C627" t="s">
        <v>65</v>
      </c>
      <c r="D627" t="s">
        <v>66</v>
      </c>
      <c r="E627" t="s">
        <v>1921</v>
      </c>
      <c r="F627">
        <v>1</v>
      </c>
      <c r="G627" t="s">
        <v>92</v>
      </c>
      <c r="I627" t="s">
        <v>1918</v>
      </c>
      <c r="K627" t="s">
        <v>1919</v>
      </c>
      <c r="L627" t="s">
        <v>1920</v>
      </c>
      <c r="M627" t="s">
        <v>73</v>
      </c>
      <c r="P627">
        <f t="shared" si="18"/>
        <v>1</v>
      </c>
      <c r="Q627" t="str">
        <f>IF(AND(P627&gt;1,COUNTIF($E$6:E627,E627)=1),MAX($Q$5:Q626)+1,"")</f>
        <v/>
      </c>
      <c r="R627" t="str">
        <f t="shared" si="19"/>
        <v/>
      </c>
    </row>
    <row r="628" spans="1:18" ht="22.95" customHeight="1">
      <c r="A628" t="s">
        <v>1745</v>
      </c>
      <c r="B628" t="s">
        <v>20</v>
      </c>
      <c r="C628" t="s">
        <v>65</v>
      </c>
      <c r="D628" t="s">
        <v>66</v>
      </c>
      <c r="E628" t="s">
        <v>1922</v>
      </c>
      <c r="F628">
        <v>1</v>
      </c>
      <c r="G628" t="s">
        <v>92</v>
      </c>
      <c r="I628" t="s">
        <v>1918</v>
      </c>
      <c r="K628" t="s">
        <v>1919</v>
      </c>
      <c r="L628" t="s">
        <v>1920</v>
      </c>
      <c r="M628" t="s">
        <v>73</v>
      </c>
      <c r="P628">
        <f t="shared" si="18"/>
        <v>1</v>
      </c>
      <c r="Q628" t="str">
        <f>IF(AND(P628&gt;1,COUNTIF($E$6:E628,E628)=1),MAX($Q$5:Q627)+1,"")</f>
        <v/>
      </c>
      <c r="R628" t="str">
        <f t="shared" si="19"/>
        <v/>
      </c>
    </row>
    <row r="629" spans="1:18" ht="22.95" customHeight="1">
      <c r="A629" t="s">
        <v>1745</v>
      </c>
      <c r="B629" t="s">
        <v>20</v>
      </c>
      <c r="C629" t="s">
        <v>65</v>
      </c>
      <c r="D629" t="s">
        <v>66</v>
      </c>
      <c r="E629" t="s">
        <v>1923</v>
      </c>
      <c r="F629">
        <v>1</v>
      </c>
      <c r="G629" t="s">
        <v>92</v>
      </c>
      <c r="I629" t="s">
        <v>1918</v>
      </c>
      <c r="K629" t="s">
        <v>1919</v>
      </c>
      <c r="L629" t="s">
        <v>1920</v>
      </c>
      <c r="M629" t="s">
        <v>73</v>
      </c>
      <c r="P629">
        <f t="shared" si="18"/>
        <v>1</v>
      </c>
      <c r="Q629" t="str">
        <f>IF(AND(P629&gt;1,COUNTIF($E$6:E629,E629)=1),MAX($Q$5:Q628)+1,"")</f>
        <v/>
      </c>
      <c r="R629" t="str">
        <f t="shared" si="19"/>
        <v/>
      </c>
    </row>
    <row r="630" spans="1:18" ht="22.95" customHeight="1">
      <c r="A630" t="s">
        <v>1745</v>
      </c>
      <c r="B630" t="s">
        <v>20</v>
      </c>
      <c r="C630" t="s">
        <v>65</v>
      </c>
      <c r="D630" t="s">
        <v>66</v>
      </c>
      <c r="E630" t="s">
        <v>1924</v>
      </c>
      <c r="F630">
        <v>1</v>
      </c>
      <c r="G630" t="s">
        <v>92</v>
      </c>
      <c r="I630" t="s">
        <v>1918</v>
      </c>
      <c r="K630" t="s">
        <v>1919</v>
      </c>
      <c r="L630" t="s">
        <v>1920</v>
      </c>
      <c r="M630" t="s">
        <v>73</v>
      </c>
      <c r="P630">
        <f t="shared" si="18"/>
        <v>1</v>
      </c>
      <c r="Q630" t="str">
        <f>IF(AND(P630&gt;1,COUNTIF($E$6:E630,E630)=1),MAX($Q$5:Q629)+1,"")</f>
        <v/>
      </c>
      <c r="R630" t="str">
        <f t="shared" si="19"/>
        <v/>
      </c>
    </row>
    <row r="631" spans="1:18" ht="22.95" customHeight="1">
      <c r="A631" t="s">
        <v>1745</v>
      </c>
      <c r="B631" t="s">
        <v>20</v>
      </c>
      <c r="C631" t="s">
        <v>65</v>
      </c>
      <c r="D631" t="s">
        <v>66</v>
      </c>
      <c r="E631" t="s">
        <v>1925</v>
      </c>
      <c r="F631">
        <v>1</v>
      </c>
      <c r="G631" t="s">
        <v>92</v>
      </c>
      <c r="I631" t="s">
        <v>1918</v>
      </c>
      <c r="K631" t="s">
        <v>1919</v>
      </c>
      <c r="L631" t="s">
        <v>1920</v>
      </c>
      <c r="M631" t="s">
        <v>73</v>
      </c>
      <c r="P631">
        <f t="shared" si="18"/>
        <v>1</v>
      </c>
      <c r="Q631" t="str">
        <f>IF(AND(P631&gt;1,COUNTIF($E$6:E631,E631)=1),MAX($Q$5:Q630)+1,"")</f>
        <v/>
      </c>
      <c r="R631" t="str">
        <f t="shared" si="19"/>
        <v/>
      </c>
    </row>
    <row r="632" spans="1:18" ht="22.95" customHeight="1">
      <c r="A632" t="s">
        <v>1745</v>
      </c>
      <c r="B632" t="s">
        <v>20</v>
      </c>
      <c r="C632" t="s">
        <v>65</v>
      </c>
      <c r="D632" t="s">
        <v>66</v>
      </c>
      <c r="E632" t="s">
        <v>1926</v>
      </c>
      <c r="F632">
        <v>1</v>
      </c>
      <c r="G632" t="s">
        <v>92</v>
      </c>
      <c r="I632" t="s">
        <v>1918</v>
      </c>
      <c r="K632" t="s">
        <v>1919</v>
      </c>
      <c r="L632" t="s">
        <v>1920</v>
      </c>
      <c r="M632" t="s">
        <v>73</v>
      </c>
      <c r="P632">
        <f t="shared" si="18"/>
        <v>1</v>
      </c>
      <c r="Q632" t="str">
        <f>IF(AND(P632&gt;1,COUNTIF($E$6:E632,E632)=1),MAX($Q$5:Q631)+1,"")</f>
        <v/>
      </c>
      <c r="R632" t="str">
        <f t="shared" si="19"/>
        <v/>
      </c>
    </row>
    <row r="633" spans="1:18" ht="22.95" customHeight="1">
      <c r="A633" t="s">
        <v>1745</v>
      </c>
      <c r="B633" t="s">
        <v>29</v>
      </c>
      <c r="C633" t="s">
        <v>1084</v>
      </c>
      <c r="D633" t="s">
        <v>1085</v>
      </c>
      <c r="E633" t="s">
        <v>1927</v>
      </c>
      <c r="F633">
        <v>1</v>
      </c>
      <c r="G633" t="s">
        <v>1928</v>
      </c>
      <c r="H633" t="s">
        <v>132</v>
      </c>
      <c r="I633" t="s">
        <v>1929</v>
      </c>
      <c r="K633" t="s">
        <v>109</v>
      </c>
      <c r="L633" t="s">
        <v>1930</v>
      </c>
      <c r="M633" t="s">
        <v>73</v>
      </c>
      <c r="P633">
        <f t="shared" si="18"/>
        <v>1</v>
      </c>
      <c r="Q633" t="str">
        <f>IF(AND(P633&gt;1,COUNTIF($E$6:E633,E633)=1),MAX($Q$5:Q632)+1,"")</f>
        <v/>
      </c>
      <c r="R633" t="str">
        <f t="shared" si="19"/>
        <v/>
      </c>
    </row>
    <row r="634" spans="1:18" ht="22.95" customHeight="1">
      <c r="A634" t="s">
        <v>1745</v>
      </c>
      <c r="B634" t="s">
        <v>29</v>
      </c>
      <c r="C634" t="s">
        <v>1084</v>
      </c>
      <c r="D634" t="s">
        <v>1085</v>
      </c>
      <c r="E634" t="s">
        <v>1931</v>
      </c>
      <c r="F634">
        <v>1</v>
      </c>
      <c r="G634" t="s">
        <v>92</v>
      </c>
      <c r="I634" t="s">
        <v>1932</v>
      </c>
      <c r="K634" t="s">
        <v>109</v>
      </c>
      <c r="L634" t="s">
        <v>1930</v>
      </c>
      <c r="M634" t="s">
        <v>73</v>
      </c>
      <c r="P634">
        <f t="shared" si="18"/>
        <v>1</v>
      </c>
      <c r="Q634" t="str">
        <f>IF(AND(P634&gt;1,COUNTIF($E$6:E634,E634)=1),MAX($Q$5:Q633)+1,"")</f>
        <v/>
      </c>
      <c r="R634" t="str">
        <f t="shared" si="19"/>
        <v/>
      </c>
    </row>
    <row r="635" spans="1:18" ht="22.95" customHeight="1">
      <c r="A635" t="s">
        <v>1745</v>
      </c>
      <c r="B635" t="s">
        <v>20</v>
      </c>
      <c r="C635" t="s">
        <v>65</v>
      </c>
      <c r="D635" t="s">
        <v>66</v>
      </c>
      <c r="E635" t="s">
        <v>1933</v>
      </c>
      <c r="F635">
        <v>1</v>
      </c>
      <c r="G635" t="s">
        <v>1934</v>
      </c>
      <c r="H635" t="s">
        <v>1935</v>
      </c>
      <c r="I635" t="s">
        <v>1936</v>
      </c>
      <c r="K635" t="s">
        <v>109</v>
      </c>
      <c r="L635" t="s">
        <v>1937</v>
      </c>
      <c r="M635" t="s">
        <v>62</v>
      </c>
      <c r="N635" t="s">
        <v>1938</v>
      </c>
      <c r="P635">
        <f t="shared" si="18"/>
        <v>1</v>
      </c>
      <c r="Q635" t="str">
        <f>IF(AND(P635&gt;1,COUNTIF($E$6:E635,E635)=1),MAX($Q$5:Q634)+1,"")</f>
        <v/>
      </c>
      <c r="R635" t="str">
        <f t="shared" si="19"/>
        <v/>
      </c>
    </row>
    <row r="636" spans="1:18" ht="22.95" customHeight="1">
      <c r="A636" t="s">
        <v>1745</v>
      </c>
      <c r="B636" t="s">
        <v>29</v>
      </c>
      <c r="C636" t="s">
        <v>1084</v>
      </c>
      <c r="D636" t="s">
        <v>1085</v>
      </c>
      <c r="E636" t="s">
        <v>1939</v>
      </c>
      <c r="F636">
        <v>1</v>
      </c>
      <c r="I636" t="s">
        <v>1940</v>
      </c>
      <c r="K636" t="s">
        <v>109</v>
      </c>
      <c r="L636" t="s">
        <v>1930</v>
      </c>
      <c r="M636" t="s">
        <v>73</v>
      </c>
      <c r="P636">
        <f t="shared" si="18"/>
        <v>1</v>
      </c>
      <c r="Q636" t="str">
        <f>IF(AND(P636&gt;1,COUNTIF($E$6:E636,E636)=1),MAX($Q$5:Q635)+1,"")</f>
        <v/>
      </c>
      <c r="R636" t="str">
        <f t="shared" si="19"/>
        <v/>
      </c>
    </row>
    <row r="637" spans="1:18" ht="22.95" customHeight="1">
      <c r="A637" t="s">
        <v>1745</v>
      </c>
      <c r="B637" t="s">
        <v>30</v>
      </c>
      <c r="C637" t="s">
        <v>188</v>
      </c>
      <c r="D637" t="s">
        <v>189</v>
      </c>
      <c r="E637" t="s">
        <v>1941</v>
      </c>
      <c r="F637">
        <v>1</v>
      </c>
      <c r="G637" t="s">
        <v>1942</v>
      </c>
      <c r="H637" t="s">
        <v>1782</v>
      </c>
      <c r="I637" t="s">
        <v>1943</v>
      </c>
      <c r="L637" t="s">
        <v>1944</v>
      </c>
      <c r="M637" t="s">
        <v>73</v>
      </c>
      <c r="P637">
        <f t="shared" si="18"/>
        <v>1</v>
      </c>
      <c r="Q637" t="str">
        <f>IF(AND(P637&gt;1,COUNTIF($E$6:E637,E637)=1),MAX($Q$5:Q636)+1,"")</f>
        <v/>
      </c>
      <c r="R637" t="str">
        <f t="shared" si="19"/>
        <v/>
      </c>
    </row>
    <row r="638" spans="1:18" ht="22.95" customHeight="1">
      <c r="A638" t="s">
        <v>1745</v>
      </c>
      <c r="B638" t="s">
        <v>30</v>
      </c>
      <c r="C638" t="s">
        <v>188</v>
      </c>
      <c r="D638" t="s">
        <v>189</v>
      </c>
      <c r="E638" t="s">
        <v>1945</v>
      </c>
      <c r="F638">
        <v>1</v>
      </c>
      <c r="G638" t="s">
        <v>1236</v>
      </c>
      <c r="H638" t="s">
        <v>1946</v>
      </c>
      <c r="I638" t="s">
        <v>1943</v>
      </c>
      <c r="L638" t="s">
        <v>1944</v>
      </c>
      <c r="M638" t="s">
        <v>73</v>
      </c>
      <c r="P638">
        <f t="shared" si="18"/>
        <v>1</v>
      </c>
      <c r="Q638" t="str">
        <f>IF(AND(P638&gt;1,COUNTIF($E$6:E638,E638)=1),MAX($Q$5:Q637)+1,"")</f>
        <v/>
      </c>
      <c r="R638" t="str">
        <f t="shared" si="19"/>
        <v/>
      </c>
    </row>
    <row r="639" spans="1:18" ht="22.95" customHeight="1">
      <c r="A639" t="s">
        <v>1745</v>
      </c>
      <c r="B639" t="s">
        <v>30</v>
      </c>
      <c r="C639" t="s">
        <v>188</v>
      </c>
      <c r="D639" t="s">
        <v>189</v>
      </c>
      <c r="E639" t="s">
        <v>1947</v>
      </c>
      <c r="F639">
        <v>1</v>
      </c>
      <c r="G639" t="s">
        <v>1948</v>
      </c>
      <c r="H639" t="s">
        <v>1946</v>
      </c>
      <c r="I639" t="s">
        <v>1943</v>
      </c>
      <c r="L639" t="s">
        <v>1944</v>
      </c>
      <c r="M639" t="s">
        <v>73</v>
      </c>
      <c r="P639">
        <f t="shared" si="18"/>
        <v>1</v>
      </c>
      <c r="Q639" t="str">
        <f>IF(AND(P639&gt;1,COUNTIF($E$6:E639,E639)=1),MAX($Q$5:Q638)+1,"")</f>
        <v/>
      </c>
      <c r="R639" t="str">
        <f t="shared" si="19"/>
        <v/>
      </c>
    </row>
    <row r="640" spans="1:18" ht="22.95" customHeight="1">
      <c r="A640" t="s">
        <v>1745</v>
      </c>
      <c r="B640" t="s">
        <v>30</v>
      </c>
      <c r="C640" t="s">
        <v>188</v>
      </c>
      <c r="D640" t="s">
        <v>189</v>
      </c>
      <c r="E640" t="s">
        <v>1949</v>
      </c>
      <c r="F640">
        <v>1</v>
      </c>
      <c r="G640" t="s">
        <v>1950</v>
      </c>
      <c r="H640" t="s">
        <v>1951</v>
      </c>
      <c r="I640" t="s">
        <v>1943</v>
      </c>
      <c r="L640" t="s">
        <v>1944</v>
      </c>
      <c r="M640" t="s">
        <v>73</v>
      </c>
      <c r="P640">
        <f t="shared" si="18"/>
        <v>1</v>
      </c>
      <c r="Q640" t="str">
        <f>IF(AND(P640&gt;1,COUNTIF($E$6:E640,E640)=1),MAX($Q$5:Q639)+1,"")</f>
        <v/>
      </c>
      <c r="R640" t="str">
        <f t="shared" si="19"/>
        <v/>
      </c>
    </row>
    <row r="641" spans="1:18" ht="22.95" customHeight="1">
      <c r="A641" t="s">
        <v>1745</v>
      </c>
      <c r="B641" t="s">
        <v>30</v>
      </c>
      <c r="C641" t="s">
        <v>188</v>
      </c>
      <c r="D641" t="s">
        <v>189</v>
      </c>
      <c r="E641" t="s">
        <v>1952</v>
      </c>
      <c r="F641">
        <v>1</v>
      </c>
      <c r="G641" t="s">
        <v>1950</v>
      </c>
      <c r="H641" t="s">
        <v>1951</v>
      </c>
      <c r="I641" t="s">
        <v>1943</v>
      </c>
      <c r="L641" t="s">
        <v>1944</v>
      </c>
      <c r="M641" t="s">
        <v>73</v>
      </c>
      <c r="P641">
        <f t="shared" si="18"/>
        <v>1</v>
      </c>
      <c r="Q641" t="str">
        <f>IF(AND(P641&gt;1,COUNTIF($E$6:E641,E641)=1),MAX($Q$5:Q640)+1,"")</f>
        <v/>
      </c>
      <c r="R641" t="str">
        <f t="shared" si="19"/>
        <v/>
      </c>
    </row>
    <row r="642" spans="1:18" ht="22.95" customHeight="1">
      <c r="A642" t="s">
        <v>1745</v>
      </c>
      <c r="B642" t="s">
        <v>30</v>
      </c>
      <c r="C642" t="s">
        <v>188</v>
      </c>
      <c r="D642" t="s">
        <v>189</v>
      </c>
      <c r="E642" t="s">
        <v>1953</v>
      </c>
      <c r="F642">
        <v>1</v>
      </c>
      <c r="G642" t="s">
        <v>1950</v>
      </c>
      <c r="H642" t="s">
        <v>1951</v>
      </c>
      <c r="I642" t="s">
        <v>1954</v>
      </c>
      <c r="L642" t="s">
        <v>1944</v>
      </c>
      <c r="M642" t="s">
        <v>73</v>
      </c>
      <c r="P642">
        <f t="shared" si="18"/>
        <v>1</v>
      </c>
      <c r="Q642" t="str">
        <f>IF(AND(P642&gt;1,COUNTIF($E$6:E642,E642)=1),MAX($Q$5:Q641)+1,"")</f>
        <v/>
      </c>
      <c r="R642" t="str">
        <f t="shared" si="19"/>
        <v/>
      </c>
    </row>
    <row r="643" spans="1:18" ht="22.95" customHeight="1">
      <c r="A643" t="s">
        <v>1745</v>
      </c>
      <c r="B643" t="s">
        <v>30</v>
      </c>
      <c r="C643" t="s">
        <v>188</v>
      </c>
      <c r="D643" t="s">
        <v>189</v>
      </c>
      <c r="E643" t="s">
        <v>1955</v>
      </c>
      <c r="F643">
        <v>1</v>
      </c>
      <c r="G643" t="s">
        <v>1956</v>
      </c>
      <c r="H643" t="s">
        <v>1957</v>
      </c>
      <c r="I643" t="s">
        <v>1958</v>
      </c>
      <c r="L643" t="s">
        <v>1944</v>
      </c>
      <c r="M643" t="s">
        <v>73</v>
      </c>
      <c r="P643">
        <f t="shared" si="18"/>
        <v>1</v>
      </c>
      <c r="Q643" t="str">
        <f>IF(AND(P643&gt;1,COUNTIF($E$6:E643,E643)=1),MAX($Q$5:Q642)+1,"")</f>
        <v/>
      </c>
      <c r="R643" t="str">
        <f t="shared" si="19"/>
        <v/>
      </c>
    </row>
    <row r="644" spans="1:18" ht="22.95" customHeight="1">
      <c r="A644" t="s">
        <v>1745</v>
      </c>
      <c r="B644" t="s">
        <v>30</v>
      </c>
      <c r="C644" t="s">
        <v>188</v>
      </c>
      <c r="D644" t="s">
        <v>189</v>
      </c>
      <c r="E644" t="s">
        <v>1959</v>
      </c>
      <c r="F644">
        <v>1</v>
      </c>
      <c r="G644" t="s">
        <v>1956</v>
      </c>
      <c r="H644" t="s">
        <v>1957</v>
      </c>
      <c r="I644" t="s">
        <v>1960</v>
      </c>
      <c r="L644" t="s">
        <v>1944</v>
      </c>
      <c r="M644" t="s">
        <v>73</v>
      </c>
      <c r="P644">
        <f t="shared" si="18"/>
        <v>1</v>
      </c>
      <c r="Q644" t="str">
        <f>IF(AND(P644&gt;1,COUNTIF($E$6:E644,E644)=1),MAX($Q$5:Q643)+1,"")</f>
        <v/>
      </c>
      <c r="R644" t="str">
        <f t="shared" si="19"/>
        <v/>
      </c>
    </row>
    <row r="645" spans="1:18" ht="22.95" customHeight="1">
      <c r="A645" t="s">
        <v>1745</v>
      </c>
      <c r="B645" t="s">
        <v>30</v>
      </c>
      <c r="C645" t="s">
        <v>188</v>
      </c>
      <c r="D645" t="s">
        <v>189</v>
      </c>
      <c r="E645" t="s">
        <v>1961</v>
      </c>
      <c r="F645">
        <v>1</v>
      </c>
      <c r="G645" t="s">
        <v>1956</v>
      </c>
      <c r="H645" t="s">
        <v>1957</v>
      </c>
      <c r="I645" t="s">
        <v>1962</v>
      </c>
      <c r="L645" t="s">
        <v>1944</v>
      </c>
      <c r="M645" t="s">
        <v>73</v>
      </c>
      <c r="P645">
        <f t="shared" si="18"/>
        <v>1</v>
      </c>
      <c r="Q645" t="str">
        <f>IF(AND(P645&gt;1,COUNTIF($E$6:E645,E645)=1),MAX($Q$5:Q644)+1,"")</f>
        <v/>
      </c>
      <c r="R645" t="str">
        <f t="shared" si="19"/>
        <v/>
      </c>
    </row>
    <row r="646" spans="1:18" ht="22.95" customHeight="1">
      <c r="A646" t="s">
        <v>1745</v>
      </c>
      <c r="B646" t="s">
        <v>30</v>
      </c>
      <c r="C646" t="s">
        <v>188</v>
      </c>
      <c r="D646" t="s">
        <v>189</v>
      </c>
      <c r="E646" t="s">
        <v>1963</v>
      </c>
      <c r="F646">
        <v>1</v>
      </c>
      <c r="G646" t="s">
        <v>1956</v>
      </c>
      <c r="H646" t="s">
        <v>1957</v>
      </c>
      <c r="I646" t="s">
        <v>1964</v>
      </c>
      <c r="L646" t="s">
        <v>1944</v>
      </c>
      <c r="M646" t="s">
        <v>73</v>
      </c>
      <c r="P646">
        <f t="shared" ref="P646:P709" si="20">COUNTIF($E$6:$E$1740,E646)</f>
        <v>1</v>
      </c>
      <c r="Q646" t="str">
        <f>IF(AND(P646&gt;1,COUNTIF($E$6:E646,E646)=1),MAX($Q$5:Q645)+1,"")</f>
        <v/>
      </c>
      <c r="R646" t="str">
        <f t="shared" ref="R646:R709" si="21">IF(Q646="","",IF(COUNTIFS($E$6:$E$1740,E646,$A$6:$A$1740,A646,$C$6:$C$1740,C646)&lt;P646,"LÉGITIME",IF(COUNTIFS($E$6:$E$1740,E646,$A$6:$A$1740,A646,$C$6:$C$1740,C646,$M$6:$M$1740,M646)&lt;P646,"STATUT DIFFÉRENT","VRAI DOUBLON")))</f>
        <v/>
      </c>
    </row>
    <row r="647" spans="1:18" ht="22.95" customHeight="1">
      <c r="A647" t="s">
        <v>1745</v>
      </c>
      <c r="B647" t="s">
        <v>30</v>
      </c>
      <c r="C647" t="s">
        <v>188</v>
      </c>
      <c r="D647" t="s">
        <v>189</v>
      </c>
      <c r="E647" t="s">
        <v>1965</v>
      </c>
      <c r="F647">
        <v>1</v>
      </c>
      <c r="G647" t="s">
        <v>1956</v>
      </c>
      <c r="H647" t="s">
        <v>1957</v>
      </c>
      <c r="I647" t="s">
        <v>1966</v>
      </c>
      <c r="L647" t="s">
        <v>1944</v>
      </c>
      <c r="M647" t="s">
        <v>73</v>
      </c>
      <c r="P647">
        <f t="shared" si="20"/>
        <v>1</v>
      </c>
      <c r="Q647" t="str">
        <f>IF(AND(P647&gt;1,COUNTIF($E$6:E647,E647)=1),MAX($Q$5:Q646)+1,"")</f>
        <v/>
      </c>
      <c r="R647" t="str">
        <f t="shared" si="21"/>
        <v/>
      </c>
    </row>
    <row r="648" spans="1:18" ht="22.95" customHeight="1">
      <c r="A648" t="s">
        <v>1745</v>
      </c>
      <c r="B648" t="s">
        <v>22</v>
      </c>
      <c r="C648" t="s">
        <v>370</v>
      </c>
      <c r="D648" t="s">
        <v>371</v>
      </c>
      <c r="E648" t="s">
        <v>1967</v>
      </c>
      <c r="F648">
        <v>1</v>
      </c>
      <c r="G648" t="s">
        <v>92</v>
      </c>
      <c r="I648" t="s">
        <v>112</v>
      </c>
      <c r="L648" t="s">
        <v>1968</v>
      </c>
      <c r="M648" t="s">
        <v>102</v>
      </c>
      <c r="P648">
        <f t="shared" si="20"/>
        <v>1</v>
      </c>
      <c r="Q648" t="str">
        <f>IF(AND(P648&gt;1,COUNTIF($E$6:E648,E648)=1),MAX($Q$5:Q647)+1,"")</f>
        <v/>
      </c>
      <c r="R648" t="str">
        <f t="shared" si="21"/>
        <v/>
      </c>
    </row>
    <row r="649" spans="1:18" ht="22.95" customHeight="1">
      <c r="A649" t="s">
        <v>1745</v>
      </c>
      <c r="B649" t="s">
        <v>22</v>
      </c>
      <c r="C649" t="s">
        <v>370</v>
      </c>
      <c r="D649" t="s">
        <v>371</v>
      </c>
      <c r="E649" t="s">
        <v>1969</v>
      </c>
      <c r="F649">
        <v>1</v>
      </c>
      <c r="G649" t="s">
        <v>92</v>
      </c>
      <c r="I649" t="s">
        <v>112</v>
      </c>
      <c r="L649" t="s">
        <v>1968</v>
      </c>
      <c r="M649" t="s">
        <v>102</v>
      </c>
      <c r="P649">
        <f t="shared" si="20"/>
        <v>1</v>
      </c>
      <c r="Q649" t="str">
        <f>IF(AND(P649&gt;1,COUNTIF($E$6:E649,E649)=1),MAX($Q$5:Q648)+1,"")</f>
        <v/>
      </c>
      <c r="R649" t="str">
        <f t="shared" si="21"/>
        <v/>
      </c>
    </row>
    <row r="650" spans="1:18" ht="22.95" customHeight="1">
      <c r="A650" t="s">
        <v>1745</v>
      </c>
      <c r="B650" t="s">
        <v>22</v>
      </c>
      <c r="C650" t="s">
        <v>370</v>
      </c>
      <c r="D650" t="s">
        <v>371</v>
      </c>
      <c r="E650" t="s">
        <v>1970</v>
      </c>
      <c r="F650">
        <v>1</v>
      </c>
      <c r="G650" t="s">
        <v>92</v>
      </c>
      <c r="I650" t="s">
        <v>112</v>
      </c>
      <c r="L650" t="s">
        <v>1968</v>
      </c>
      <c r="M650" t="s">
        <v>102</v>
      </c>
      <c r="P650">
        <f t="shared" si="20"/>
        <v>1</v>
      </c>
      <c r="Q650" t="str">
        <f>IF(AND(P650&gt;1,COUNTIF($E$6:E650,E650)=1),MAX($Q$5:Q649)+1,"")</f>
        <v/>
      </c>
      <c r="R650" t="str">
        <f t="shared" si="21"/>
        <v/>
      </c>
    </row>
    <row r="651" spans="1:18" ht="22.95" customHeight="1">
      <c r="A651" t="s">
        <v>1745</v>
      </c>
      <c r="B651" t="s">
        <v>22</v>
      </c>
      <c r="C651" t="s">
        <v>370</v>
      </c>
      <c r="D651" t="s">
        <v>371</v>
      </c>
      <c r="E651" t="s">
        <v>1971</v>
      </c>
      <c r="F651">
        <v>1</v>
      </c>
      <c r="G651" t="s">
        <v>92</v>
      </c>
      <c r="I651" t="s">
        <v>112</v>
      </c>
      <c r="L651" t="s">
        <v>1968</v>
      </c>
      <c r="M651" t="s">
        <v>102</v>
      </c>
      <c r="P651">
        <f t="shared" si="20"/>
        <v>1</v>
      </c>
      <c r="Q651" t="str">
        <f>IF(AND(P651&gt;1,COUNTIF($E$6:E651,E651)=1),MAX($Q$5:Q650)+1,"")</f>
        <v/>
      </c>
      <c r="R651" t="str">
        <f t="shared" si="21"/>
        <v/>
      </c>
    </row>
    <row r="652" spans="1:18" ht="22.95" customHeight="1">
      <c r="A652" t="s">
        <v>1745</v>
      </c>
      <c r="B652" t="s">
        <v>22</v>
      </c>
      <c r="C652" t="s">
        <v>370</v>
      </c>
      <c r="D652" t="s">
        <v>371</v>
      </c>
      <c r="E652" t="s">
        <v>1972</v>
      </c>
      <c r="F652">
        <v>1</v>
      </c>
      <c r="G652" t="s">
        <v>92</v>
      </c>
      <c r="I652" t="s">
        <v>112</v>
      </c>
      <c r="L652" t="s">
        <v>1968</v>
      </c>
      <c r="M652" t="s">
        <v>102</v>
      </c>
      <c r="P652">
        <f t="shared" si="20"/>
        <v>1</v>
      </c>
      <c r="Q652" t="str">
        <f>IF(AND(P652&gt;1,COUNTIF($E$6:E652,E652)=1),MAX($Q$5:Q651)+1,"")</f>
        <v/>
      </c>
      <c r="R652" t="str">
        <f t="shared" si="21"/>
        <v/>
      </c>
    </row>
    <row r="653" spans="1:18" ht="22.95" customHeight="1">
      <c r="A653" t="s">
        <v>1745</v>
      </c>
      <c r="B653" t="s">
        <v>22</v>
      </c>
      <c r="C653" t="s">
        <v>370</v>
      </c>
      <c r="D653" t="s">
        <v>371</v>
      </c>
      <c r="E653" t="s">
        <v>1973</v>
      </c>
      <c r="F653">
        <v>1</v>
      </c>
      <c r="G653" t="s">
        <v>92</v>
      </c>
      <c r="I653" t="s">
        <v>112</v>
      </c>
      <c r="L653" t="s">
        <v>1968</v>
      </c>
      <c r="M653" t="s">
        <v>102</v>
      </c>
      <c r="P653">
        <f t="shared" si="20"/>
        <v>1</v>
      </c>
      <c r="Q653" t="str">
        <f>IF(AND(P653&gt;1,COUNTIF($E$6:E653,E653)=1),MAX($Q$5:Q652)+1,"")</f>
        <v/>
      </c>
      <c r="R653" t="str">
        <f t="shared" si="21"/>
        <v/>
      </c>
    </row>
    <row r="654" spans="1:18" ht="22.95" customHeight="1">
      <c r="A654" t="s">
        <v>1745</v>
      </c>
      <c r="B654" t="s">
        <v>22</v>
      </c>
      <c r="C654" t="s">
        <v>370</v>
      </c>
      <c r="D654" t="s">
        <v>371</v>
      </c>
      <c r="E654" t="s">
        <v>1974</v>
      </c>
      <c r="F654">
        <v>1</v>
      </c>
      <c r="G654" t="s">
        <v>92</v>
      </c>
      <c r="I654" t="s">
        <v>112</v>
      </c>
      <c r="L654" t="s">
        <v>1968</v>
      </c>
      <c r="M654" t="s">
        <v>102</v>
      </c>
      <c r="P654">
        <f t="shared" si="20"/>
        <v>1</v>
      </c>
      <c r="Q654" t="str">
        <f>IF(AND(P654&gt;1,COUNTIF($E$6:E654,E654)=1),MAX($Q$5:Q653)+1,"")</f>
        <v/>
      </c>
      <c r="R654" t="str">
        <f t="shared" si="21"/>
        <v/>
      </c>
    </row>
    <row r="655" spans="1:18" ht="22.95" customHeight="1">
      <c r="A655" t="s">
        <v>1745</v>
      </c>
      <c r="B655" t="s">
        <v>22</v>
      </c>
      <c r="C655" t="s">
        <v>370</v>
      </c>
      <c r="D655" t="s">
        <v>371</v>
      </c>
      <c r="E655" t="s">
        <v>1975</v>
      </c>
      <c r="F655">
        <v>1</v>
      </c>
      <c r="G655" t="s">
        <v>92</v>
      </c>
      <c r="I655" t="s">
        <v>112</v>
      </c>
      <c r="L655" t="s">
        <v>1968</v>
      </c>
      <c r="M655" t="s">
        <v>102</v>
      </c>
      <c r="P655">
        <f t="shared" si="20"/>
        <v>1</v>
      </c>
      <c r="Q655" t="str">
        <f>IF(AND(P655&gt;1,COUNTIF($E$6:E655,E655)=1),MAX($Q$5:Q654)+1,"")</f>
        <v/>
      </c>
      <c r="R655" t="str">
        <f t="shared" si="21"/>
        <v/>
      </c>
    </row>
    <row r="656" spans="1:18" ht="22.95" customHeight="1">
      <c r="A656" t="s">
        <v>1745</v>
      </c>
      <c r="B656" t="s">
        <v>22</v>
      </c>
      <c r="C656" t="s">
        <v>370</v>
      </c>
      <c r="D656" t="s">
        <v>371</v>
      </c>
      <c r="E656" t="s">
        <v>1976</v>
      </c>
      <c r="F656">
        <v>1</v>
      </c>
      <c r="G656" t="s">
        <v>92</v>
      </c>
      <c r="I656" t="s">
        <v>1977</v>
      </c>
      <c r="L656" t="s">
        <v>1978</v>
      </c>
      <c r="M656" t="s">
        <v>102</v>
      </c>
      <c r="P656">
        <f t="shared" si="20"/>
        <v>1</v>
      </c>
      <c r="Q656" t="str">
        <f>IF(AND(P656&gt;1,COUNTIF($E$6:E656,E656)=1),MAX($Q$5:Q655)+1,"")</f>
        <v/>
      </c>
      <c r="R656" t="str">
        <f t="shared" si="21"/>
        <v/>
      </c>
    </row>
    <row r="657" spans="1:18" ht="22.95" customHeight="1">
      <c r="A657" t="s">
        <v>1745</v>
      </c>
      <c r="B657" t="s">
        <v>29</v>
      </c>
      <c r="C657" t="s">
        <v>1084</v>
      </c>
      <c r="D657" t="s">
        <v>1085</v>
      </c>
      <c r="E657" t="s">
        <v>1979</v>
      </c>
      <c r="F657">
        <v>1</v>
      </c>
      <c r="G657" t="s">
        <v>1980</v>
      </c>
      <c r="H657" t="s">
        <v>201</v>
      </c>
      <c r="I657" t="s">
        <v>1981</v>
      </c>
      <c r="J657" t="s">
        <v>245</v>
      </c>
      <c r="L657" t="s">
        <v>1982</v>
      </c>
      <c r="M657" t="s">
        <v>62</v>
      </c>
      <c r="N657" t="s">
        <v>1435</v>
      </c>
      <c r="P657">
        <f t="shared" si="20"/>
        <v>1</v>
      </c>
      <c r="Q657" t="str">
        <f>IF(AND(P657&gt;1,COUNTIF($E$6:E657,E657)=1),MAX($Q$5:Q656)+1,"")</f>
        <v/>
      </c>
      <c r="R657" t="str">
        <f t="shared" si="21"/>
        <v/>
      </c>
    </row>
    <row r="658" spans="1:18" ht="22.95" customHeight="1">
      <c r="A658" t="s">
        <v>1745</v>
      </c>
      <c r="B658" t="s">
        <v>29</v>
      </c>
      <c r="C658" t="s">
        <v>1084</v>
      </c>
      <c r="D658" t="s">
        <v>1085</v>
      </c>
      <c r="E658" t="s">
        <v>1983</v>
      </c>
      <c r="F658">
        <v>1</v>
      </c>
      <c r="G658" t="s">
        <v>1980</v>
      </c>
      <c r="H658" t="s">
        <v>201</v>
      </c>
      <c r="I658" t="s">
        <v>1984</v>
      </c>
      <c r="J658" t="s">
        <v>245</v>
      </c>
      <c r="L658" t="s">
        <v>1985</v>
      </c>
      <c r="M658" t="s">
        <v>62</v>
      </c>
      <c r="N658" t="s">
        <v>1435</v>
      </c>
      <c r="P658">
        <f t="shared" si="20"/>
        <v>1</v>
      </c>
      <c r="Q658" t="str">
        <f>IF(AND(P658&gt;1,COUNTIF($E$6:E658,E658)=1),MAX($Q$5:Q657)+1,"")</f>
        <v/>
      </c>
      <c r="R658" t="str">
        <f t="shared" si="21"/>
        <v/>
      </c>
    </row>
    <row r="659" spans="1:18" ht="22.95" customHeight="1">
      <c r="A659" t="s">
        <v>1745</v>
      </c>
      <c r="B659" t="s">
        <v>30</v>
      </c>
      <c r="C659" t="s">
        <v>188</v>
      </c>
      <c r="D659" t="s">
        <v>189</v>
      </c>
      <c r="E659" t="s">
        <v>1986</v>
      </c>
      <c r="F659">
        <v>1</v>
      </c>
      <c r="G659" t="s">
        <v>1987</v>
      </c>
      <c r="H659" t="s">
        <v>1988</v>
      </c>
      <c r="I659" t="s">
        <v>1989</v>
      </c>
      <c r="K659" t="s">
        <v>109</v>
      </c>
      <c r="L659" t="s">
        <v>1990</v>
      </c>
      <c r="M659" t="s">
        <v>73</v>
      </c>
      <c r="P659">
        <f t="shared" si="20"/>
        <v>1</v>
      </c>
      <c r="Q659" t="str">
        <f>IF(AND(P659&gt;1,COUNTIF($E$6:E659,E659)=1),MAX($Q$5:Q658)+1,"")</f>
        <v/>
      </c>
      <c r="R659" t="str">
        <f t="shared" si="21"/>
        <v/>
      </c>
    </row>
    <row r="660" spans="1:18" ht="22.95" customHeight="1">
      <c r="A660" t="s">
        <v>1745</v>
      </c>
      <c r="B660" t="s">
        <v>30</v>
      </c>
      <c r="C660" t="s">
        <v>188</v>
      </c>
      <c r="D660" t="s">
        <v>189</v>
      </c>
      <c r="E660" t="s">
        <v>1991</v>
      </c>
      <c r="F660">
        <v>1</v>
      </c>
      <c r="G660" t="s">
        <v>1534</v>
      </c>
      <c r="H660" t="s">
        <v>1992</v>
      </c>
      <c r="I660" t="s">
        <v>1993</v>
      </c>
      <c r="L660" t="s">
        <v>1994</v>
      </c>
      <c r="M660" t="s">
        <v>73</v>
      </c>
      <c r="P660">
        <f t="shared" si="20"/>
        <v>1</v>
      </c>
      <c r="Q660" t="str">
        <f>IF(AND(P660&gt;1,COUNTIF($E$6:E660,E660)=1),MAX($Q$5:Q659)+1,"")</f>
        <v/>
      </c>
      <c r="R660" t="str">
        <f t="shared" si="21"/>
        <v/>
      </c>
    </row>
    <row r="661" spans="1:18" ht="22.95" customHeight="1">
      <c r="A661" t="s">
        <v>1745</v>
      </c>
      <c r="B661" t="s">
        <v>30</v>
      </c>
      <c r="C661" t="s">
        <v>188</v>
      </c>
      <c r="D661" t="s">
        <v>189</v>
      </c>
      <c r="E661" t="s">
        <v>1995</v>
      </c>
      <c r="F661">
        <v>1</v>
      </c>
      <c r="G661" t="s">
        <v>1534</v>
      </c>
      <c r="H661" t="s">
        <v>1992</v>
      </c>
      <c r="I661" t="s">
        <v>1996</v>
      </c>
      <c r="L661" t="s">
        <v>1994</v>
      </c>
      <c r="M661" t="s">
        <v>73</v>
      </c>
      <c r="P661">
        <f t="shared" si="20"/>
        <v>1</v>
      </c>
      <c r="Q661" t="str">
        <f>IF(AND(P661&gt;1,COUNTIF($E$6:E661,E661)=1),MAX($Q$5:Q660)+1,"")</f>
        <v/>
      </c>
      <c r="R661" t="str">
        <f t="shared" si="21"/>
        <v/>
      </c>
    </row>
    <row r="662" spans="1:18" ht="22.95" customHeight="1">
      <c r="A662" t="s">
        <v>1745</v>
      </c>
      <c r="B662" t="s">
        <v>30</v>
      </c>
      <c r="C662" t="s">
        <v>188</v>
      </c>
      <c r="D662" t="s">
        <v>189</v>
      </c>
      <c r="E662" t="s">
        <v>1997</v>
      </c>
      <c r="F662">
        <v>1</v>
      </c>
      <c r="G662" t="s">
        <v>1987</v>
      </c>
      <c r="H662" t="s">
        <v>1988</v>
      </c>
      <c r="I662" t="s">
        <v>1998</v>
      </c>
      <c r="L662" t="s">
        <v>1994</v>
      </c>
      <c r="M662" t="s">
        <v>73</v>
      </c>
      <c r="P662">
        <f t="shared" si="20"/>
        <v>1</v>
      </c>
      <c r="Q662" t="str">
        <f>IF(AND(P662&gt;1,COUNTIF($E$6:E662,E662)=1),MAX($Q$5:Q661)+1,"")</f>
        <v/>
      </c>
      <c r="R662" t="str">
        <f t="shared" si="21"/>
        <v/>
      </c>
    </row>
    <row r="663" spans="1:18" ht="22.95" customHeight="1">
      <c r="A663" t="s">
        <v>1745</v>
      </c>
      <c r="B663" t="s">
        <v>30</v>
      </c>
      <c r="C663" t="s">
        <v>188</v>
      </c>
      <c r="D663" t="s">
        <v>255</v>
      </c>
      <c r="E663" t="s">
        <v>1999</v>
      </c>
      <c r="F663">
        <v>1</v>
      </c>
      <c r="G663" t="s">
        <v>1987</v>
      </c>
      <c r="H663" t="s">
        <v>1988</v>
      </c>
      <c r="I663" t="s">
        <v>2000</v>
      </c>
      <c r="L663" t="s">
        <v>1994</v>
      </c>
      <c r="M663" t="s">
        <v>73</v>
      </c>
      <c r="P663">
        <f t="shared" si="20"/>
        <v>1</v>
      </c>
      <c r="Q663" t="str">
        <f>IF(AND(P663&gt;1,COUNTIF($E$6:E663,E663)=1),MAX($Q$5:Q662)+1,"")</f>
        <v/>
      </c>
      <c r="R663" t="str">
        <f t="shared" si="21"/>
        <v/>
      </c>
    </row>
    <row r="664" spans="1:18" ht="22.95" customHeight="1">
      <c r="A664" t="s">
        <v>1745</v>
      </c>
      <c r="B664" t="s">
        <v>30</v>
      </c>
      <c r="C664" t="s">
        <v>188</v>
      </c>
      <c r="D664" t="s">
        <v>189</v>
      </c>
      <c r="E664" t="s">
        <v>2001</v>
      </c>
      <c r="F664">
        <v>1</v>
      </c>
      <c r="G664" t="s">
        <v>2002</v>
      </c>
      <c r="H664" t="s">
        <v>1951</v>
      </c>
      <c r="I664" t="s">
        <v>2003</v>
      </c>
      <c r="L664" t="s">
        <v>2004</v>
      </c>
      <c r="M664" t="s">
        <v>73</v>
      </c>
      <c r="P664">
        <f t="shared" si="20"/>
        <v>1</v>
      </c>
      <c r="Q664" t="str">
        <f>IF(AND(P664&gt;1,COUNTIF($E$6:E664,E664)=1),MAX($Q$5:Q663)+1,"")</f>
        <v/>
      </c>
      <c r="R664" t="str">
        <f t="shared" si="21"/>
        <v/>
      </c>
    </row>
    <row r="665" spans="1:18" ht="22.95" customHeight="1">
      <c r="A665" t="s">
        <v>1745</v>
      </c>
      <c r="B665" t="s">
        <v>30</v>
      </c>
      <c r="C665" t="s">
        <v>188</v>
      </c>
      <c r="D665" t="s">
        <v>189</v>
      </c>
      <c r="E665" t="s">
        <v>2005</v>
      </c>
      <c r="F665">
        <v>1</v>
      </c>
      <c r="G665" t="s">
        <v>1236</v>
      </c>
      <c r="H665" t="s">
        <v>1946</v>
      </c>
      <c r="I665" t="s">
        <v>2006</v>
      </c>
      <c r="L665" t="s">
        <v>2004</v>
      </c>
      <c r="M665" t="s">
        <v>73</v>
      </c>
      <c r="P665">
        <f t="shared" si="20"/>
        <v>1</v>
      </c>
      <c r="Q665" t="str">
        <f>IF(AND(P665&gt;1,COUNTIF($E$6:E665,E665)=1),MAX($Q$5:Q664)+1,"")</f>
        <v/>
      </c>
      <c r="R665" t="str">
        <f t="shared" si="21"/>
        <v/>
      </c>
    </row>
    <row r="666" spans="1:18" ht="22.95" customHeight="1">
      <c r="A666" t="s">
        <v>1745</v>
      </c>
      <c r="B666" t="s">
        <v>29</v>
      </c>
      <c r="C666" t="s">
        <v>1084</v>
      </c>
      <c r="D666" t="s">
        <v>1085</v>
      </c>
      <c r="E666" t="s">
        <v>2007</v>
      </c>
      <c r="F666">
        <v>1</v>
      </c>
      <c r="G666" t="s">
        <v>92</v>
      </c>
      <c r="I666" t="s">
        <v>2008</v>
      </c>
      <c r="L666" t="s">
        <v>2009</v>
      </c>
      <c r="M666" t="s">
        <v>62</v>
      </c>
      <c r="N666" t="s">
        <v>63</v>
      </c>
      <c r="P666">
        <f t="shared" si="20"/>
        <v>1</v>
      </c>
      <c r="Q666" t="str">
        <f>IF(AND(P666&gt;1,COUNTIF($E$6:E666,E666)=1),MAX($Q$5:Q665)+1,"")</f>
        <v/>
      </c>
      <c r="R666" t="str">
        <f t="shared" si="21"/>
        <v/>
      </c>
    </row>
    <row r="667" spans="1:18" ht="22.95" customHeight="1">
      <c r="A667" t="s">
        <v>1745</v>
      </c>
      <c r="B667" t="s">
        <v>24</v>
      </c>
      <c r="C667" t="s">
        <v>443</v>
      </c>
      <c r="D667" t="s">
        <v>444</v>
      </c>
      <c r="E667" t="s">
        <v>2010</v>
      </c>
      <c r="F667">
        <v>1</v>
      </c>
      <c r="G667" t="s">
        <v>92</v>
      </c>
      <c r="I667" t="s">
        <v>2011</v>
      </c>
      <c r="K667" t="s">
        <v>599</v>
      </c>
      <c r="L667" t="s">
        <v>2012</v>
      </c>
      <c r="M667" t="s">
        <v>73</v>
      </c>
      <c r="P667">
        <f t="shared" si="20"/>
        <v>1</v>
      </c>
      <c r="Q667" t="str">
        <f>IF(AND(P667&gt;1,COUNTIF($E$6:E667,E667)=1),MAX($Q$5:Q666)+1,"")</f>
        <v/>
      </c>
      <c r="R667" t="str">
        <f t="shared" si="21"/>
        <v/>
      </c>
    </row>
    <row r="668" spans="1:18" ht="22.95" customHeight="1">
      <c r="A668" t="s">
        <v>1745</v>
      </c>
      <c r="B668" t="s">
        <v>24</v>
      </c>
      <c r="C668" t="s">
        <v>443</v>
      </c>
      <c r="D668" t="s">
        <v>444</v>
      </c>
      <c r="E668" t="s">
        <v>2013</v>
      </c>
      <c r="F668">
        <v>1</v>
      </c>
      <c r="G668" t="s">
        <v>92</v>
      </c>
      <c r="I668" t="s">
        <v>2014</v>
      </c>
      <c r="K668" t="s">
        <v>599</v>
      </c>
      <c r="L668" t="s">
        <v>2012</v>
      </c>
      <c r="M668" t="s">
        <v>73</v>
      </c>
      <c r="P668">
        <f t="shared" si="20"/>
        <v>1</v>
      </c>
      <c r="Q668" t="str">
        <f>IF(AND(P668&gt;1,COUNTIF($E$6:E668,E668)=1),MAX($Q$5:Q667)+1,"")</f>
        <v/>
      </c>
      <c r="R668" t="str">
        <f t="shared" si="21"/>
        <v/>
      </c>
    </row>
    <row r="669" spans="1:18" ht="22.95" customHeight="1">
      <c r="A669" t="s">
        <v>2015</v>
      </c>
      <c r="B669" t="s">
        <v>20</v>
      </c>
      <c r="C669" t="s">
        <v>55</v>
      </c>
      <c r="D669" t="s">
        <v>56</v>
      </c>
      <c r="E669" t="s">
        <v>2016</v>
      </c>
      <c r="F669">
        <v>1</v>
      </c>
      <c r="G669" t="s">
        <v>2017</v>
      </c>
      <c r="H669" t="s">
        <v>59</v>
      </c>
      <c r="I669" t="s">
        <v>406</v>
      </c>
      <c r="K669" t="s">
        <v>406</v>
      </c>
      <c r="L669" t="s">
        <v>2018</v>
      </c>
      <c r="M669" t="s">
        <v>62</v>
      </c>
      <c r="N669" t="s">
        <v>63</v>
      </c>
      <c r="P669">
        <f t="shared" si="20"/>
        <v>1</v>
      </c>
      <c r="Q669" t="str">
        <f>IF(AND(P669&gt;1,COUNTIF($E$6:E669,E669)=1),MAX($Q$5:Q668)+1,"")</f>
        <v/>
      </c>
      <c r="R669" t="str">
        <f t="shared" si="21"/>
        <v/>
      </c>
    </row>
    <row r="670" spans="1:18" ht="22.95" customHeight="1">
      <c r="A670" t="s">
        <v>2015</v>
      </c>
      <c r="B670" t="s">
        <v>22</v>
      </c>
      <c r="C670" t="s">
        <v>779</v>
      </c>
      <c r="D670" t="s">
        <v>780</v>
      </c>
      <c r="E670" t="s">
        <v>2019</v>
      </c>
      <c r="F670">
        <v>1</v>
      </c>
      <c r="G670" t="s">
        <v>92</v>
      </c>
      <c r="I670" t="s">
        <v>517</v>
      </c>
      <c r="L670" t="s">
        <v>2020</v>
      </c>
      <c r="M670" t="s">
        <v>102</v>
      </c>
      <c r="P670">
        <f t="shared" si="20"/>
        <v>1</v>
      </c>
      <c r="Q670" t="str">
        <f>IF(AND(P670&gt;1,COUNTIF($E$6:E670,E670)=1),MAX($Q$5:Q669)+1,"")</f>
        <v/>
      </c>
      <c r="R670" t="str">
        <f t="shared" si="21"/>
        <v/>
      </c>
    </row>
    <row r="671" spans="1:18" ht="22.95" customHeight="1">
      <c r="A671" t="s">
        <v>2015</v>
      </c>
      <c r="B671" t="s">
        <v>22</v>
      </c>
      <c r="C671" t="s">
        <v>2021</v>
      </c>
      <c r="D671" t="s">
        <v>197</v>
      </c>
      <c r="E671" t="s">
        <v>2022</v>
      </c>
      <c r="F671">
        <v>1</v>
      </c>
      <c r="G671" t="s">
        <v>92</v>
      </c>
      <c r="I671" t="s">
        <v>406</v>
      </c>
      <c r="L671" t="s">
        <v>2023</v>
      </c>
      <c r="M671" t="s">
        <v>102</v>
      </c>
      <c r="P671">
        <f t="shared" si="20"/>
        <v>1</v>
      </c>
      <c r="Q671" t="str">
        <f>IF(AND(P671&gt;1,COUNTIF($E$6:E671,E671)=1),MAX($Q$5:Q670)+1,"")</f>
        <v/>
      </c>
      <c r="R671" t="str">
        <f t="shared" si="21"/>
        <v/>
      </c>
    </row>
    <row r="672" spans="1:18" ht="22.95" customHeight="1">
      <c r="A672" t="s">
        <v>2015</v>
      </c>
      <c r="B672" t="s">
        <v>22</v>
      </c>
      <c r="C672" t="s">
        <v>1149</v>
      </c>
      <c r="D672" t="s">
        <v>197</v>
      </c>
      <c r="E672" t="s">
        <v>2024</v>
      </c>
      <c r="F672">
        <v>1</v>
      </c>
      <c r="G672" t="s">
        <v>92</v>
      </c>
      <c r="I672" t="s">
        <v>406</v>
      </c>
      <c r="K672" t="s">
        <v>406</v>
      </c>
      <c r="L672" t="s">
        <v>2025</v>
      </c>
      <c r="M672" t="s">
        <v>102</v>
      </c>
      <c r="P672">
        <f t="shared" si="20"/>
        <v>1</v>
      </c>
      <c r="Q672" t="str">
        <f>IF(AND(P672&gt;1,COUNTIF($E$6:E672,E672)=1),MAX($Q$5:Q671)+1,"")</f>
        <v/>
      </c>
      <c r="R672" t="str">
        <f t="shared" si="21"/>
        <v/>
      </c>
    </row>
    <row r="673" spans="1:18" ht="22.95" customHeight="1">
      <c r="A673" t="s">
        <v>2015</v>
      </c>
      <c r="B673" t="s">
        <v>22</v>
      </c>
      <c r="C673" t="s">
        <v>370</v>
      </c>
      <c r="D673" t="s">
        <v>371</v>
      </c>
      <c r="E673" t="s">
        <v>2026</v>
      </c>
      <c r="F673">
        <v>1</v>
      </c>
      <c r="G673" t="s">
        <v>92</v>
      </c>
      <c r="I673" t="s">
        <v>112</v>
      </c>
      <c r="K673" t="s">
        <v>2027</v>
      </c>
      <c r="L673" t="s">
        <v>2028</v>
      </c>
      <c r="M673" t="s">
        <v>102</v>
      </c>
      <c r="P673">
        <f t="shared" si="20"/>
        <v>1</v>
      </c>
      <c r="Q673" t="str">
        <f>IF(AND(P673&gt;1,COUNTIF($E$6:E673,E673)=1),MAX($Q$5:Q672)+1,"")</f>
        <v/>
      </c>
      <c r="R673" t="str">
        <f t="shared" si="21"/>
        <v/>
      </c>
    </row>
    <row r="674" spans="1:18" ht="22.95" customHeight="1">
      <c r="A674" t="s">
        <v>2015</v>
      </c>
      <c r="B674" t="s">
        <v>22</v>
      </c>
      <c r="C674" t="s">
        <v>370</v>
      </c>
      <c r="D674" t="s">
        <v>371</v>
      </c>
      <c r="E674" t="s">
        <v>2029</v>
      </c>
      <c r="F674">
        <v>1</v>
      </c>
      <c r="G674" t="s">
        <v>92</v>
      </c>
      <c r="I674" t="s">
        <v>112</v>
      </c>
      <c r="K674" t="s">
        <v>2027</v>
      </c>
      <c r="L674" t="s">
        <v>2028</v>
      </c>
      <c r="M674" t="s">
        <v>102</v>
      </c>
      <c r="P674">
        <f t="shared" si="20"/>
        <v>1</v>
      </c>
      <c r="Q674" t="str">
        <f>IF(AND(P674&gt;1,COUNTIF($E$6:E674,E674)=1),MAX($Q$5:Q673)+1,"")</f>
        <v/>
      </c>
      <c r="R674" t="str">
        <f t="shared" si="21"/>
        <v/>
      </c>
    </row>
    <row r="675" spans="1:18" ht="22.95" customHeight="1">
      <c r="A675" t="s">
        <v>2015</v>
      </c>
      <c r="B675" t="s">
        <v>22</v>
      </c>
      <c r="C675" t="s">
        <v>370</v>
      </c>
      <c r="D675" t="s">
        <v>371</v>
      </c>
      <c r="E675" t="s">
        <v>2030</v>
      </c>
      <c r="F675">
        <v>1</v>
      </c>
      <c r="G675" t="s">
        <v>92</v>
      </c>
      <c r="I675" t="s">
        <v>112</v>
      </c>
      <c r="K675" t="s">
        <v>2027</v>
      </c>
      <c r="L675" t="s">
        <v>2028</v>
      </c>
      <c r="M675" t="s">
        <v>102</v>
      </c>
      <c r="P675">
        <f t="shared" si="20"/>
        <v>1</v>
      </c>
      <c r="Q675" t="str">
        <f>IF(AND(P675&gt;1,COUNTIF($E$6:E675,E675)=1),MAX($Q$5:Q674)+1,"")</f>
        <v/>
      </c>
      <c r="R675" t="str">
        <f t="shared" si="21"/>
        <v/>
      </c>
    </row>
    <row r="676" spans="1:18" ht="22.95" customHeight="1">
      <c r="A676" t="s">
        <v>2015</v>
      </c>
      <c r="B676" t="s">
        <v>22</v>
      </c>
      <c r="C676" t="s">
        <v>370</v>
      </c>
      <c r="D676" t="s">
        <v>371</v>
      </c>
      <c r="E676" t="s">
        <v>2031</v>
      </c>
      <c r="F676">
        <v>1</v>
      </c>
      <c r="G676" t="s">
        <v>92</v>
      </c>
      <c r="I676" t="s">
        <v>112</v>
      </c>
      <c r="K676" t="s">
        <v>2027</v>
      </c>
      <c r="L676" t="s">
        <v>2028</v>
      </c>
      <c r="M676" t="s">
        <v>102</v>
      </c>
      <c r="P676">
        <f t="shared" si="20"/>
        <v>1</v>
      </c>
      <c r="Q676" t="str">
        <f>IF(AND(P676&gt;1,COUNTIF($E$6:E676,E676)=1),MAX($Q$5:Q675)+1,"")</f>
        <v/>
      </c>
      <c r="R676" t="str">
        <f t="shared" si="21"/>
        <v/>
      </c>
    </row>
    <row r="677" spans="1:18" ht="22.95" customHeight="1">
      <c r="A677" t="s">
        <v>2015</v>
      </c>
      <c r="B677" t="s">
        <v>24</v>
      </c>
      <c r="C677" t="s">
        <v>436</v>
      </c>
      <c r="D677" t="s">
        <v>437</v>
      </c>
      <c r="E677" t="s">
        <v>2032</v>
      </c>
      <c r="F677">
        <v>1</v>
      </c>
      <c r="G677" t="s">
        <v>175</v>
      </c>
      <c r="H677" t="s">
        <v>2033</v>
      </c>
      <c r="K677" t="s">
        <v>960</v>
      </c>
      <c r="L677" t="s">
        <v>2034</v>
      </c>
      <c r="M677" t="s">
        <v>62</v>
      </c>
      <c r="N677" t="s">
        <v>130</v>
      </c>
      <c r="P677">
        <f t="shared" si="20"/>
        <v>1</v>
      </c>
      <c r="Q677" t="str">
        <f>IF(AND(P677&gt;1,COUNTIF($E$6:E677,E677)=1),MAX($Q$5:Q676)+1,"")</f>
        <v/>
      </c>
      <c r="R677" t="str">
        <f t="shared" si="21"/>
        <v/>
      </c>
    </row>
    <row r="678" spans="1:18" ht="22.95" customHeight="1">
      <c r="A678" t="s">
        <v>2015</v>
      </c>
      <c r="B678" t="s">
        <v>24</v>
      </c>
      <c r="C678" t="s">
        <v>436</v>
      </c>
      <c r="D678" t="s">
        <v>437</v>
      </c>
      <c r="E678" t="s">
        <v>2035</v>
      </c>
      <c r="F678">
        <v>1</v>
      </c>
      <c r="G678" t="s">
        <v>175</v>
      </c>
      <c r="H678" t="s">
        <v>2033</v>
      </c>
      <c r="K678" t="s">
        <v>960</v>
      </c>
      <c r="L678" t="s">
        <v>2034</v>
      </c>
      <c r="M678" t="s">
        <v>62</v>
      </c>
      <c r="N678" t="s">
        <v>130</v>
      </c>
      <c r="P678">
        <f t="shared" si="20"/>
        <v>1</v>
      </c>
      <c r="Q678" t="str">
        <f>IF(AND(P678&gt;1,COUNTIF($E$6:E678,E678)=1),MAX($Q$5:Q677)+1,"")</f>
        <v/>
      </c>
      <c r="R678" t="str">
        <f t="shared" si="21"/>
        <v/>
      </c>
    </row>
    <row r="679" spans="1:18" ht="22.95" customHeight="1">
      <c r="A679" t="s">
        <v>2015</v>
      </c>
      <c r="B679" t="s">
        <v>24</v>
      </c>
      <c r="C679" t="s">
        <v>436</v>
      </c>
      <c r="D679" t="s">
        <v>437</v>
      </c>
      <c r="E679" t="s">
        <v>2036</v>
      </c>
      <c r="F679">
        <v>1</v>
      </c>
      <c r="G679" t="s">
        <v>175</v>
      </c>
      <c r="H679" t="s">
        <v>2033</v>
      </c>
      <c r="K679" t="s">
        <v>960</v>
      </c>
      <c r="L679" t="s">
        <v>2034</v>
      </c>
      <c r="M679" t="s">
        <v>62</v>
      </c>
      <c r="N679" t="s">
        <v>130</v>
      </c>
      <c r="P679">
        <f t="shared" si="20"/>
        <v>1</v>
      </c>
      <c r="Q679" t="str">
        <f>IF(AND(P679&gt;1,COUNTIF($E$6:E679,E679)=1),MAX($Q$5:Q678)+1,"")</f>
        <v/>
      </c>
      <c r="R679" t="str">
        <f t="shared" si="21"/>
        <v/>
      </c>
    </row>
    <row r="680" spans="1:18" ht="22.95" customHeight="1">
      <c r="A680" t="s">
        <v>2015</v>
      </c>
      <c r="B680" t="s">
        <v>24</v>
      </c>
      <c r="C680" t="s">
        <v>436</v>
      </c>
      <c r="D680" t="s">
        <v>437</v>
      </c>
      <c r="E680" t="s">
        <v>2037</v>
      </c>
      <c r="F680">
        <v>1</v>
      </c>
      <c r="G680" t="s">
        <v>508</v>
      </c>
      <c r="H680" t="s">
        <v>2038</v>
      </c>
      <c r="K680" t="s">
        <v>109</v>
      </c>
      <c r="L680" t="s">
        <v>2039</v>
      </c>
      <c r="M680" t="s">
        <v>62</v>
      </c>
      <c r="N680" t="s">
        <v>1752</v>
      </c>
      <c r="P680">
        <f t="shared" si="20"/>
        <v>1</v>
      </c>
      <c r="Q680" t="str">
        <f>IF(AND(P680&gt;1,COUNTIF($E$6:E680,E680)=1),MAX($Q$5:Q679)+1,"")</f>
        <v/>
      </c>
      <c r="R680" t="str">
        <f t="shared" si="21"/>
        <v/>
      </c>
    </row>
    <row r="681" spans="1:18" ht="22.95" customHeight="1">
      <c r="A681" t="s">
        <v>2015</v>
      </c>
      <c r="B681" t="s">
        <v>24</v>
      </c>
      <c r="C681" t="s">
        <v>436</v>
      </c>
      <c r="D681" t="s">
        <v>437</v>
      </c>
      <c r="E681" t="s">
        <v>2040</v>
      </c>
      <c r="F681">
        <v>1</v>
      </c>
      <c r="G681" t="s">
        <v>92</v>
      </c>
      <c r="L681" t="s">
        <v>2041</v>
      </c>
      <c r="M681" t="s">
        <v>62</v>
      </c>
      <c r="N681" t="s">
        <v>63</v>
      </c>
      <c r="P681">
        <f t="shared" si="20"/>
        <v>1</v>
      </c>
      <c r="Q681" t="str">
        <f>IF(AND(P681&gt;1,COUNTIF($E$6:E681,E681)=1),MAX($Q$5:Q680)+1,"")</f>
        <v/>
      </c>
      <c r="R681" t="str">
        <f t="shared" si="21"/>
        <v/>
      </c>
    </row>
    <row r="682" spans="1:18" ht="22.95" customHeight="1">
      <c r="A682" t="s">
        <v>2015</v>
      </c>
      <c r="B682" t="s">
        <v>24</v>
      </c>
      <c r="C682" t="s">
        <v>436</v>
      </c>
      <c r="D682" t="s">
        <v>437</v>
      </c>
      <c r="E682" t="s">
        <v>2042</v>
      </c>
      <c r="F682">
        <v>1</v>
      </c>
      <c r="G682" t="s">
        <v>249</v>
      </c>
      <c r="H682" t="s">
        <v>2043</v>
      </c>
      <c r="L682" t="s">
        <v>2044</v>
      </c>
      <c r="M682" t="s">
        <v>62</v>
      </c>
      <c r="N682" t="s">
        <v>1752</v>
      </c>
      <c r="P682">
        <f t="shared" si="20"/>
        <v>1</v>
      </c>
      <c r="Q682" t="str">
        <f>IF(AND(P682&gt;1,COUNTIF($E$6:E682,E682)=1),MAX($Q$5:Q681)+1,"")</f>
        <v/>
      </c>
      <c r="R682" t="str">
        <f t="shared" si="21"/>
        <v/>
      </c>
    </row>
    <row r="683" spans="1:18" ht="22.95" customHeight="1">
      <c r="A683" t="s">
        <v>2015</v>
      </c>
      <c r="B683" t="s">
        <v>24</v>
      </c>
      <c r="C683" t="s">
        <v>136</v>
      </c>
      <c r="D683" t="s">
        <v>674</v>
      </c>
      <c r="E683" t="s">
        <v>2045</v>
      </c>
      <c r="F683">
        <v>1</v>
      </c>
      <c r="G683" t="s">
        <v>2046</v>
      </c>
      <c r="I683" t="s">
        <v>408</v>
      </c>
      <c r="K683" t="s">
        <v>406</v>
      </c>
      <c r="L683" t="s">
        <v>2047</v>
      </c>
      <c r="M683" t="s">
        <v>73</v>
      </c>
      <c r="P683">
        <f t="shared" si="20"/>
        <v>1</v>
      </c>
      <c r="Q683" t="str">
        <f>IF(AND(P683&gt;1,COUNTIF($E$6:E683,E683)=1),MAX($Q$5:Q682)+1,"")</f>
        <v/>
      </c>
      <c r="R683" t="str">
        <f t="shared" si="21"/>
        <v/>
      </c>
    </row>
    <row r="684" spans="1:18" ht="22.95" customHeight="1">
      <c r="A684" t="s">
        <v>2015</v>
      </c>
      <c r="B684" t="s">
        <v>24</v>
      </c>
      <c r="C684" t="s">
        <v>136</v>
      </c>
      <c r="D684" t="s">
        <v>674</v>
      </c>
      <c r="E684" t="s">
        <v>2048</v>
      </c>
      <c r="F684">
        <v>1</v>
      </c>
      <c r="G684" t="s">
        <v>2046</v>
      </c>
      <c r="I684" t="s">
        <v>408</v>
      </c>
      <c r="K684" t="s">
        <v>406</v>
      </c>
      <c r="L684" t="s">
        <v>2047</v>
      </c>
      <c r="M684" t="s">
        <v>73</v>
      </c>
      <c r="P684">
        <f t="shared" si="20"/>
        <v>1</v>
      </c>
      <c r="Q684" t="str">
        <f>IF(AND(P684&gt;1,COUNTIF($E$6:E684,E684)=1),MAX($Q$5:Q683)+1,"")</f>
        <v/>
      </c>
      <c r="R684" t="str">
        <f t="shared" si="21"/>
        <v/>
      </c>
    </row>
    <row r="685" spans="1:18" ht="22.95" customHeight="1">
      <c r="A685" t="s">
        <v>2015</v>
      </c>
      <c r="B685" t="s">
        <v>24</v>
      </c>
      <c r="C685" t="s">
        <v>136</v>
      </c>
      <c r="D685" t="s">
        <v>674</v>
      </c>
      <c r="E685" t="s">
        <v>2049</v>
      </c>
      <c r="F685">
        <v>1</v>
      </c>
      <c r="G685" t="s">
        <v>2046</v>
      </c>
      <c r="I685" t="s">
        <v>408</v>
      </c>
      <c r="K685" t="s">
        <v>406</v>
      </c>
      <c r="L685" t="s">
        <v>2050</v>
      </c>
      <c r="M685" t="s">
        <v>73</v>
      </c>
      <c r="P685">
        <f t="shared" si="20"/>
        <v>1</v>
      </c>
      <c r="Q685" t="str">
        <f>IF(AND(P685&gt;1,COUNTIF($E$6:E685,E685)=1),MAX($Q$5:Q684)+1,"")</f>
        <v/>
      </c>
      <c r="R685" t="str">
        <f t="shared" si="21"/>
        <v/>
      </c>
    </row>
    <row r="686" spans="1:18" ht="22.95" customHeight="1">
      <c r="A686" t="s">
        <v>2015</v>
      </c>
      <c r="B686" t="s">
        <v>24</v>
      </c>
      <c r="C686" t="s">
        <v>136</v>
      </c>
      <c r="D686" t="s">
        <v>674</v>
      </c>
      <c r="E686" t="s">
        <v>2051</v>
      </c>
      <c r="F686">
        <v>1</v>
      </c>
      <c r="G686" t="s">
        <v>2046</v>
      </c>
      <c r="I686" t="s">
        <v>2052</v>
      </c>
      <c r="K686" t="s">
        <v>109</v>
      </c>
      <c r="L686" t="s">
        <v>2053</v>
      </c>
      <c r="M686" t="s">
        <v>73</v>
      </c>
      <c r="P686">
        <f t="shared" si="20"/>
        <v>1</v>
      </c>
      <c r="Q686" t="str">
        <f>IF(AND(P686&gt;1,COUNTIF($E$6:E686,E686)=1),MAX($Q$5:Q685)+1,"")</f>
        <v/>
      </c>
      <c r="R686" t="str">
        <f t="shared" si="21"/>
        <v/>
      </c>
    </row>
    <row r="687" spans="1:18" ht="22.95" customHeight="1">
      <c r="A687" t="s">
        <v>2015</v>
      </c>
      <c r="B687" t="s">
        <v>24</v>
      </c>
      <c r="C687" t="s">
        <v>136</v>
      </c>
      <c r="D687" t="s">
        <v>674</v>
      </c>
      <c r="E687" t="s">
        <v>2054</v>
      </c>
      <c r="F687">
        <v>1</v>
      </c>
      <c r="G687" t="s">
        <v>92</v>
      </c>
      <c r="I687" t="s">
        <v>2055</v>
      </c>
      <c r="J687" t="s">
        <v>672</v>
      </c>
      <c r="L687" t="s">
        <v>2056</v>
      </c>
      <c r="M687" t="s">
        <v>102</v>
      </c>
      <c r="P687">
        <f t="shared" si="20"/>
        <v>1</v>
      </c>
      <c r="Q687" t="str">
        <f>IF(AND(P687&gt;1,COUNTIF($E$6:E687,E687)=1),MAX($Q$5:Q686)+1,"")</f>
        <v/>
      </c>
      <c r="R687" t="str">
        <f t="shared" si="21"/>
        <v/>
      </c>
    </row>
    <row r="688" spans="1:18" ht="22.95" customHeight="1">
      <c r="A688" t="s">
        <v>2015</v>
      </c>
      <c r="B688" t="s">
        <v>24</v>
      </c>
      <c r="C688" t="s">
        <v>136</v>
      </c>
      <c r="D688" t="s">
        <v>674</v>
      </c>
      <c r="E688" t="s">
        <v>2057</v>
      </c>
      <c r="F688">
        <v>1</v>
      </c>
      <c r="G688" t="s">
        <v>92</v>
      </c>
      <c r="I688" t="s">
        <v>2058</v>
      </c>
      <c r="J688" t="s">
        <v>99</v>
      </c>
      <c r="L688" t="s">
        <v>2059</v>
      </c>
      <c r="M688" t="s">
        <v>102</v>
      </c>
      <c r="P688">
        <f t="shared" si="20"/>
        <v>1</v>
      </c>
      <c r="Q688" t="str">
        <f>IF(AND(P688&gt;1,COUNTIF($E$6:E688,E688)=1),MAX($Q$5:Q687)+1,"")</f>
        <v/>
      </c>
      <c r="R688" t="str">
        <f t="shared" si="21"/>
        <v/>
      </c>
    </row>
    <row r="689" spans="1:18" ht="22.95" customHeight="1">
      <c r="A689" t="s">
        <v>2015</v>
      </c>
      <c r="B689" t="s">
        <v>24</v>
      </c>
      <c r="C689" t="s">
        <v>443</v>
      </c>
      <c r="D689" t="s">
        <v>444</v>
      </c>
      <c r="E689" t="s">
        <v>2060</v>
      </c>
      <c r="F689">
        <v>1</v>
      </c>
      <c r="I689" t="s">
        <v>2061</v>
      </c>
      <c r="K689" t="s">
        <v>320</v>
      </c>
      <c r="L689" t="s">
        <v>2062</v>
      </c>
      <c r="M689" t="s">
        <v>62</v>
      </c>
      <c r="N689" t="s">
        <v>187</v>
      </c>
      <c r="P689">
        <f t="shared" si="20"/>
        <v>1</v>
      </c>
      <c r="Q689" t="str">
        <f>IF(AND(P689&gt;1,COUNTIF($E$6:E689,E689)=1),MAX($Q$5:Q688)+1,"")</f>
        <v/>
      </c>
      <c r="R689" t="str">
        <f t="shared" si="21"/>
        <v/>
      </c>
    </row>
    <row r="690" spans="1:18" ht="22.95" customHeight="1">
      <c r="A690" t="s">
        <v>2015</v>
      </c>
      <c r="B690" t="s">
        <v>28</v>
      </c>
      <c r="C690" t="s">
        <v>146</v>
      </c>
      <c r="D690" t="s">
        <v>147</v>
      </c>
      <c r="E690" t="s">
        <v>2063</v>
      </c>
      <c r="F690">
        <v>1</v>
      </c>
      <c r="G690" t="s">
        <v>2064</v>
      </c>
      <c r="H690" t="s">
        <v>505</v>
      </c>
      <c r="I690" t="s">
        <v>2065</v>
      </c>
      <c r="L690" t="s">
        <v>2066</v>
      </c>
      <c r="M690" t="s">
        <v>62</v>
      </c>
      <c r="N690" t="s">
        <v>187</v>
      </c>
      <c r="P690">
        <f t="shared" si="20"/>
        <v>1</v>
      </c>
      <c r="Q690" t="str">
        <f>IF(AND(P690&gt;1,COUNTIF($E$6:E690,E690)=1),MAX($Q$5:Q689)+1,"")</f>
        <v/>
      </c>
      <c r="R690" t="str">
        <f t="shared" si="21"/>
        <v/>
      </c>
    </row>
    <row r="691" spans="1:18" ht="22.95" customHeight="1">
      <c r="A691" t="s">
        <v>2015</v>
      </c>
      <c r="B691" t="s">
        <v>28</v>
      </c>
      <c r="C691" t="s">
        <v>146</v>
      </c>
      <c r="D691" t="s">
        <v>147</v>
      </c>
      <c r="E691" t="s">
        <v>2067</v>
      </c>
      <c r="F691">
        <v>1</v>
      </c>
      <c r="G691" t="s">
        <v>149</v>
      </c>
      <c r="H691" t="s">
        <v>1217</v>
      </c>
      <c r="I691" t="s">
        <v>2068</v>
      </c>
      <c r="L691" t="s">
        <v>2069</v>
      </c>
      <c r="M691" t="s">
        <v>62</v>
      </c>
      <c r="N691" t="s">
        <v>187</v>
      </c>
      <c r="P691">
        <f t="shared" si="20"/>
        <v>1</v>
      </c>
      <c r="Q691" t="str">
        <f>IF(AND(P691&gt;1,COUNTIF($E$6:E691,E691)=1),MAX($Q$5:Q690)+1,"")</f>
        <v/>
      </c>
      <c r="R691" t="str">
        <f t="shared" si="21"/>
        <v/>
      </c>
    </row>
    <row r="692" spans="1:18" ht="22.95" customHeight="1">
      <c r="A692" t="s">
        <v>2015</v>
      </c>
      <c r="B692" t="s">
        <v>28</v>
      </c>
      <c r="C692" t="s">
        <v>146</v>
      </c>
      <c r="D692" t="s">
        <v>147</v>
      </c>
      <c r="E692" t="s">
        <v>2070</v>
      </c>
      <c r="F692">
        <v>1</v>
      </c>
      <c r="G692" t="s">
        <v>149</v>
      </c>
      <c r="H692" t="s">
        <v>1217</v>
      </c>
      <c r="I692" t="s">
        <v>2068</v>
      </c>
      <c r="L692" t="s">
        <v>2069</v>
      </c>
      <c r="M692" t="s">
        <v>62</v>
      </c>
      <c r="N692" t="s">
        <v>187</v>
      </c>
      <c r="P692">
        <f t="shared" si="20"/>
        <v>1</v>
      </c>
      <c r="Q692" t="str">
        <f>IF(AND(P692&gt;1,COUNTIF($E$6:E692,E692)=1),MAX($Q$5:Q691)+1,"")</f>
        <v/>
      </c>
      <c r="R692" t="str">
        <f t="shared" si="21"/>
        <v/>
      </c>
    </row>
    <row r="693" spans="1:18" ht="22.95" customHeight="1">
      <c r="A693" t="s">
        <v>2015</v>
      </c>
      <c r="B693" t="s">
        <v>28</v>
      </c>
      <c r="C693" t="s">
        <v>167</v>
      </c>
      <c r="D693" t="s">
        <v>168</v>
      </c>
      <c r="E693" t="s">
        <v>2071</v>
      </c>
      <c r="F693">
        <v>1</v>
      </c>
      <c r="G693" t="s">
        <v>2046</v>
      </c>
      <c r="I693" t="s">
        <v>408</v>
      </c>
      <c r="K693" t="s">
        <v>406</v>
      </c>
      <c r="L693" t="s">
        <v>2072</v>
      </c>
      <c r="M693" t="s">
        <v>73</v>
      </c>
      <c r="P693">
        <f t="shared" si="20"/>
        <v>1</v>
      </c>
      <c r="Q693" t="str">
        <f>IF(AND(P693&gt;1,COUNTIF($E$6:E693,E693)=1),MAX($Q$5:Q692)+1,"")</f>
        <v/>
      </c>
      <c r="R693" t="str">
        <f t="shared" si="21"/>
        <v/>
      </c>
    </row>
    <row r="694" spans="1:18" ht="22.95" customHeight="1">
      <c r="A694" t="s">
        <v>2015</v>
      </c>
      <c r="B694" t="s">
        <v>28</v>
      </c>
      <c r="C694" t="s">
        <v>167</v>
      </c>
      <c r="D694" t="s">
        <v>168</v>
      </c>
      <c r="E694" t="s">
        <v>2073</v>
      </c>
      <c r="F694">
        <v>1</v>
      </c>
      <c r="G694" t="s">
        <v>2046</v>
      </c>
      <c r="I694" t="s">
        <v>408</v>
      </c>
      <c r="K694" t="s">
        <v>406</v>
      </c>
      <c r="L694" t="s">
        <v>2074</v>
      </c>
      <c r="M694" t="s">
        <v>73</v>
      </c>
      <c r="P694">
        <f t="shared" si="20"/>
        <v>1</v>
      </c>
      <c r="Q694" t="str">
        <f>IF(AND(P694&gt;1,COUNTIF($E$6:E694,E694)=1),MAX($Q$5:Q693)+1,"")</f>
        <v/>
      </c>
      <c r="R694" t="str">
        <f t="shared" si="21"/>
        <v/>
      </c>
    </row>
    <row r="695" spans="1:18" ht="22.95" customHeight="1">
      <c r="A695" t="s">
        <v>2015</v>
      </c>
      <c r="B695" t="s">
        <v>30</v>
      </c>
      <c r="C695" t="s">
        <v>180</v>
      </c>
      <c r="D695" t="s">
        <v>181</v>
      </c>
      <c r="E695" t="s">
        <v>2075</v>
      </c>
      <c r="F695">
        <v>1</v>
      </c>
      <c r="G695" t="s">
        <v>2076</v>
      </c>
      <c r="H695" t="s">
        <v>2077</v>
      </c>
      <c r="I695" t="s">
        <v>2078</v>
      </c>
      <c r="J695" t="s">
        <v>99</v>
      </c>
      <c r="K695" t="s">
        <v>2079</v>
      </c>
      <c r="L695" t="s">
        <v>2080</v>
      </c>
      <c r="M695" t="s">
        <v>62</v>
      </c>
      <c r="N695" t="s">
        <v>1752</v>
      </c>
      <c r="P695">
        <f t="shared" si="20"/>
        <v>1</v>
      </c>
      <c r="Q695" t="str">
        <f>IF(AND(P695&gt;1,COUNTIF($E$6:E695,E695)=1),MAX($Q$5:Q694)+1,"")</f>
        <v/>
      </c>
      <c r="R695" t="str">
        <f t="shared" si="21"/>
        <v/>
      </c>
    </row>
    <row r="696" spans="1:18" ht="22.95" customHeight="1">
      <c r="A696" t="s">
        <v>2015</v>
      </c>
      <c r="B696" t="s">
        <v>30</v>
      </c>
      <c r="C696" t="s">
        <v>180</v>
      </c>
      <c r="D696" t="s">
        <v>181</v>
      </c>
      <c r="E696" t="s">
        <v>2081</v>
      </c>
      <c r="F696">
        <v>1</v>
      </c>
      <c r="G696" t="s">
        <v>2076</v>
      </c>
      <c r="H696" t="s">
        <v>2077</v>
      </c>
      <c r="I696" t="s">
        <v>2078</v>
      </c>
      <c r="K696" t="s">
        <v>2079</v>
      </c>
      <c r="L696" t="s">
        <v>2080</v>
      </c>
      <c r="M696" t="s">
        <v>62</v>
      </c>
      <c r="N696" t="s">
        <v>1752</v>
      </c>
      <c r="P696">
        <f t="shared" si="20"/>
        <v>1</v>
      </c>
      <c r="Q696" t="str">
        <f>IF(AND(P696&gt;1,COUNTIF($E$6:E696,E696)=1),MAX($Q$5:Q695)+1,"")</f>
        <v/>
      </c>
      <c r="R696" t="str">
        <f t="shared" si="21"/>
        <v/>
      </c>
    </row>
    <row r="697" spans="1:18" ht="22.95" customHeight="1">
      <c r="A697" t="s">
        <v>2015</v>
      </c>
      <c r="B697" t="s">
        <v>26</v>
      </c>
      <c r="C697" t="s">
        <v>196</v>
      </c>
      <c r="D697" t="s">
        <v>197</v>
      </c>
      <c r="E697" t="s">
        <v>2082</v>
      </c>
      <c r="F697">
        <v>1</v>
      </c>
      <c r="G697" t="s">
        <v>92</v>
      </c>
      <c r="I697" t="s">
        <v>2083</v>
      </c>
      <c r="K697" t="s">
        <v>2084</v>
      </c>
      <c r="L697" t="s">
        <v>2085</v>
      </c>
      <c r="M697" t="s">
        <v>102</v>
      </c>
      <c r="P697">
        <f t="shared" si="20"/>
        <v>1</v>
      </c>
      <c r="Q697" t="str">
        <f>IF(AND(P697&gt;1,COUNTIF($E$6:E697,E697)=1),MAX($Q$5:Q696)+1,"")</f>
        <v/>
      </c>
      <c r="R697" t="str">
        <f t="shared" si="21"/>
        <v/>
      </c>
    </row>
    <row r="698" spans="1:18" ht="22.95" customHeight="1">
      <c r="A698" t="s">
        <v>2015</v>
      </c>
      <c r="B698" t="s">
        <v>26</v>
      </c>
      <c r="C698" t="s">
        <v>196</v>
      </c>
      <c r="D698" t="s">
        <v>197</v>
      </c>
      <c r="E698" t="s">
        <v>2086</v>
      </c>
      <c r="F698">
        <v>1</v>
      </c>
      <c r="G698" t="s">
        <v>92</v>
      </c>
      <c r="I698" t="s">
        <v>406</v>
      </c>
      <c r="K698" t="s">
        <v>408</v>
      </c>
      <c r="L698" t="s">
        <v>2087</v>
      </c>
      <c r="M698" t="s">
        <v>102</v>
      </c>
      <c r="P698">
        <f t="shared" si="20"/>
        <v>1</v>
      </c>
      <c r="Q698" t="str">
        <f>IF(AND(P698&gt;1,COUNTIF($E$6:E698,E698)=1),MAX($Q$5:Q697)+1,"")</f>
        <v/>
      </c>
      <c r="R698" t="str">
        <f t="shared" si="21"/>
        <v/>
      </c>
    </row>
    <row r="699" spans="1:18" ht="22.95" customHeight="1">
      <c r="A699" t="s">
        <v>2015</v>
      </c>
      <c r="B699" t="s">
        <v>33</v>
      </c>
      <c r="C699" t="s">
        <v>2088</v>
      </c>
      <c r="D699" t="s">
        <v>660</v>
      </c>
      <c r="E699" t="s">
        <v>2089</v>
      </c>
      <c r="F699">
        <v>1</v>
      </c>
      <c r="G699" t="s">
        <v>2090</v>
      </c>
      <c r="H699" t="s">
        <v>2091</v>
      </c>
      <c r="I699" t="s">
        <v>2092</v>
      </c>
      <c r="J699" t="s">
        <v>245</v>
      </c>
      <c r="L699" t="s">
        <v>2093</v>
      </c>
      <c r="M699" t="s">
        <v>62</v>
      </c>
      <c r="N699" t="s">
        <v>1435</v>
      </c>
      <c r="P699">
        <f t="shared" si="20"/>
        <v>1</v>
      </c>
      <c r="Q699" t="str">
        <f>IF(AND(P699&gt;1,COUNTIF($E$6:E699,E699)=1),MAX($Q$5:Q698)+1,"")</f>
        <v/>
      </c>
      <c r="R699" t="str">
        <f t="shared" si="21"/>
        <v/>
      </c>
    </row>
    <row r="700" spans="1:18" ht="22.95" customHeight="1">
      <c r="A700" t="s">
        <v>2015</v>
      </c>
      <c r="B700" t="s">
        <v>33</v>
      </c>
      <c r="C700" t="s">
        <v>2088</v>
      </c>
      <c r="D700" t="s">
        <v>660</v>
      </c>
      <c r="E700" t="s">
        <v>2094</v>
      </c>
      <c r="F700">
        <v>1</v>
      </c>
      <c r="G700" t="s">
        <v>2090</v>
      </c>
      <c r="H700" t="s">
        <v>2091</v>
      </c>
      <c r="I700" t="s">
        <v>2092</v>
      </c>
      <c r="J700" t="s">
        <v>245</v>
      </c>
      <c r="L700" t="s">
        <v>2093</v>
      </c>
      <c r="M700" t="s">
        <v>62</v>
      </c>
      <c r="N700" t="s">
        <v>1435</v>
      </c>
      <c r="P700">
        <f t="shared" si="20"/>
        <v>1</v>
      </c>
      <c r="Q700" t="str">
        <f>IF(AND(P700&gt;1,COUNTIF($E$6:E700,E700)=1),MAX($Q$5:Q699)+1,"")</f>
        <v/>
      </c>
      <c r="R700" t="str">
        <f t="shared" si="21"/>
        <v/>
      </c>
    </row>
    <row r="701" spans="1:18" ht="22.95" customHeight="1">
      <c r="A701" t="s">
        <v>2015</v>
      </c>
      <c r="B701" t="s">
        <v>33</v>
      </c>
      <c r="C701" t="s">
        <v>2088</v>
      </c>
      <c r="D701" t="s">
        <v>660</v>
      </c>
      <c r="E701" t="s">
        <v>2095</v>
      </c>
      <c r="F701">
        <v>1</v>
      </c>
      <c r="G701" t="s">
        <v>2090</v>
      </c>
      <c r="H701" t="s">
        <v>2091</v>
      </c>
      <c r="I701" t="s">
        <v>2092</v>
      </c>
      <c r="J701" t="s">
        <v>245</v>
      </c>
      <c r="L701" t="s">
        <v>2096</v>
      </c>
      <c r="M701" t="s">
        <v>62</v>
      </c>
      <c r="N701" t="s">
        <v>1435</v>
      </c>
      <c r="P701">
        <f t="shared" si="20"/>
        <v>1</v>
      </c>
      <c r="Q701" t="str">
        <f>IF(AND(P701&gt;1,COUNTIF($E$6:E701,E701)=1),MAX($Q$5:Q700)+1,"")</f>
        <v/>
      </c>
      <c r="R701" t="str">
        <f t="shared" si="21"/>
        <v/>
      </c>
    </row>
    <row r="702" spans="1:18" ht="22.95" customHeight="1">
      <c r="A702" t="s">
        <v>2015</v>
      </c>
      <c r="B702" t="s">
        <v>33</v>
      </c>
      <c r="C702" t="s">
        <v>2088</v>
      </c>
      <c r="D702" t="s">
        <v>660</v>
      </c>
      <c r="E702" t="s">
        <v>2097</v>
      </c>
      <c r="F702">
        <v>1</v>
      </c>
      <c r="G702" t="s">
        <v>2090</v>
      </c>
      <c r="H702" t="s">
        <v>2091</v>
      </c>
      <c r="I702" t="s">
        <v>2092</v>
      </c>
      <c r="J702" t="s">
        <v>245</v>
      </c>
      <c r="L702" t="s">
        <v>2096</v>
      </c>
      <c r="M702" t="s">
        <v>62</v>
      </c>
      <c r="N702" t="s">
        <v>1435</v>
      </c>
      <c r="P702">
        <f t="shared" si="20"/>
        <v>1</v>
      </c>
      <c r="Q702" t="str">
        <f>IF(AND(P702&gt;1,COUNTIF($E$6:E702,E702)=1),MAX($Q$5:Q701)+1,"")</f>
        <v/>
      </c>
      <c r="R702" t="str">
        <f t="shared" si="21"/>
        <v/>
      </c>
    </row>
    <row r="703" spans="1:18" ht="22.95" customHeight="1">
      <c r="A703" t="s">
        <v>2015</v>
      </c>
      <c r="B703" t="s">
        <v>33</v>
      </c>
      <c r="C703" t="s">
        <v>2088</v>
      </c>
      <c r="D703" t="s">
        <v>660</v>
      </c>
      <c r="E703" t="s">
        <v>2098</v>
      </c>
      <c r="F703">
        <v>1</v>
      </c>
      <c r="G703" t="s">
        <v>2090</v>
      </c>
      <c r="H703" t="s">
        <v>2091</v>
      </c>
      <c r="I703" t="s">
        <v>2092</v>
      </c>
      <c r="J703" t="s">
        <v>245</v>
      </c>
      <c r="L703" t="s">
        <v>2096</v>
      </c>
      <c r="M703" t="s">
        <v>62</v>
      </c>
      <c r="N703" t="s">
        <v>1435</v>
      </c>
      <c r="P703">
        <f t="shared" si="20"/>
        <v>1</v>
      </c>
      <c r="Q703" t="str">
        <f>IF(AND(P703&gt;1,COUNTIF($E$6:E703,E703)=1),MAX($Q$5:Q702)+1,"")</f>
        <v/>
      </c>
      <c r="R703" t="str">
        <f t="shared" si="21"/>
        <v/>
      </c>
    </row>
    <row r="704" spans="1:18" ht="22.95" customHeight="1">
      <c r="A704" t="s">
        <v>2015</v>
      </c>
      <c r="B704" t="s">
        <v>33</v>
      </c>
      <c r="C704" t="s">
        <v>2088</v>
      </c>
      <c r="D704" t="s">
        <v>660</v>
      </c>
      <c r="E704" t="s">
        <v>2099</v>
      </c>
      <c r="F704">
        <v>1</v>
      </c>
      <c r="G704" t="s">
        <v>2090</v>
      </c>
      <c r="H704" t="s">
        <v>2091</v>
      </c>
      <c r="I704" t="s">
        <v>2092</v>
      </c>
      <c r="J704" t="s">
        <v>245</v>
      </c>
      <c r="L704" t="s">
        <v>2096</v>
      </c>
      <c r="M704" t="s">
        <v>62</v>
      </c>
      <c r="N704" t="s">
        <v>1435</v>
      </c>
      <c r="P704">
        <f t="shared" si="20"/>
        <v>1</v>
      </c>
      <c r="Q704" t="str">
        <f>IF(AND(P704&gt;1,COUNTIF($E$6:E704,E704)=1),MAX($Q$5:Q703)+1,"")</f>
        <v/>
      </c>
      <c r="R704" t="str">
        <f t="shared" si="21"/>
        <v/>
      </c>
    </row>
    <row r="705" spans="1:18" ht="22.95" customHeight="1">
      <c r="A705" t="s">
        <v>2015</v>
      </c>
      <c r="B705" t="s">
        <v>33</v>
      </c>
      <c r="C705" t="s">
        <v>2088</v>
      </c>
      <c r="D705" t="s">
        <v>660</v>
      </c>
      <c r="E705" t="s">
        <v>2100</v>
      </c>
      <c r="F705">
        <v>1</v>
      </c>
      <c r="G705" t="s">
        <v>2090</v>
      </c>
      <c r="H705" t="s">
        <v>2091</v>
      </c>
      <c r="I705" t="s">
        <v>2092</v>
      </c>
      <c r="J705" t="s">
        <v>245</v>
      </c>
      <c r="L705" t="s">
        <v>2096</v>
      </c>
      <c r="M705" t="s">
        <v>62</v>
      </c>
      <c r="N705" t="s">
        <v>1435</v>
      </c>
      <c r="P705">
        <f t="shared" si="20"/>
        <v>1</v>
      </c>
      <c r="Q705" t="str">
        <f>IF(AND(P705&gt;1,COUNTIF($E$6:E705,E705)=1),MAX($Q$5:Q704)+1,"")</f>
        <v/>
      </c>
      <c r="R705" t="str">
        <f t="shared" si="21"/>
        <v/>
      </c>
    </row>
    <row r="706" spans="1:18" ht="22.95" customHeight="1">
      <c r="A706" t="s">
        <v>2015</v>
      </c>
      <c r="B706" t="s">
        <v>33</v>
      </c>
      <c r="C706" t="s">
        <v>2088</v>
      </c>
      <c r="D706" t="s">
        <v>660</v>
      </c>
      <c r="E706" t="s">
        <v>2101</v>
      </c>
      <c r="F706">
        <v>1</v>
      </c>
      <c r="G706" t="s">
        <v>2090</v>
      </c>
      <c r="H706" t="s">
        <v>2091</v>
      </c>
      <c r="I706" t="s">
        <v>2092</v>
      </c>
      <c r="J706" t="s">
        <v>245</v>
      </c>
      <c r="L706" t="s">
        <v>2096</v>
      </c>
      <c r="M706" t="s">
        <v>62</v>
      </c>
      <c r="N706" t="s">
        <v>1435</v>
      </c>
      <c r="P706">
        <f t="shared" si="20"/>
        <v>1</v>
      </c>
      <c r="Q706" t="str">
        <f>IF(AND(P706&gt;1,COUNTIF($E$6:E706,E706)=1),MAX($Q$5:Q705)+1,"")</f>
        <v/>
      </c>
      <c r="R706" t="str">
        <f t="shared" si="21"/>
        <v/>
      </c>
    </row>
    <row r="707" spans="1:18" ht="22.95" customHeight="1">
      <c r="A707" t="s">
        <v>2015</v>
      </c>
      <c r="B707" t="s">
        <v>33</v>
      </c>
      <c r="C707" t="s">
        <v>2088</v>
      </c>
      <c r="D707" t="s">
        <v>660</v>
      </c>
      <c r="E707" t="s">
        <v>2102</v>
      </c>
      <c r="F707">
        <v>1</v>
      </c>
      <c r="G707" t="s">
        <v>2090</v>
      </c>
      <c r="H707" t="s">
        <v>2091</v>
      </c>
      <c r="I707" t="s">
        <v>2092</v>
      </c>
      <c r="J707" t="s">
        <v>245</v>
      </c>
      <c r="L707" t="s">
        <v>2096</v>
      </c>
      <c r="M707" t="s">
        <v>62</v>
      </c>
      <c r="N707" t="s">
        <v>1435</v>
      </c>
      <c r="P707">
        <f t="shared" si="20"/>
        <v>1</v>
      </c>
      <c r="Q707" t="str">
        <f>IF(AND(P707&gt;1,COUNTIF($E$6:E707,E707)=1),MAX($Q$5:Q706)+1,"")</f>
        <v/>
      </c>
      <c r="R707" t="str">
        <f t="shared" si="21"/>
        <v/>
      </c>
    </row>
    <row r="708" spans="1:18" ht="22.95" customHeight="1">
      <c r="A708" t="s">
        <v>2015</v>
      </c>
      <c r="B708" t="s">
        <v>33</v>
      </c>
      <c r="C708" t="s">
        <v>2103</v>
      </c>
      <c r="D708" t="s">
        <v>2104</v>
      </c>
      <c r="E708" t="s">
        <v>2105</v>
      </c>
      <c r="F708">
        <v>1</v>
      </c>
      <c r="G708" t="s">
        <v>139</v>
      </c>
      <c r="L708" t="s">
        <v>2106</v>
      </c>
      <c r="M708" t="s">
        <v>62</v>
      </c>
      <c r="N708" t="s">
        <v>63</v>
      </c>
      <c r="P708">
        <f t="shared" si="20"/>
        <v>1</v>
      </c>
      <c r="Q708" t="str">
        <f>IF(AND(P708&gt;1,COUNTIF($E$6:E708,E708)=1),MAX($Q$5:Q707)+1,"")</f>
        <v/>
      </c>
      <c r="R708" t="str">
        <f t="shared" si="21"/>
        <v/>
      </c>
    </row>
    <row r="709" spans="1:18" ht="22.95" customHeight="1">
      <c r="A709" t="s">
        <v>2015</v>
      </c>
      <c r="B709" t="s">
        <v>31</v>
      </c>
      <c r="C709" t="s">
        <v>491</v>
      </c>
      <c r="D709" t="s">
        <v>492</v>
      </c>
      <c r="E709" t="s">
        <v>2107</v>
      </c>
      <c r="F709">
        <v>1</v>
      </c>
      <c r="G709" t="s">
        <v>715</v>
      </c>
      <c r="H709" t="s">
        <v>2108</v>
      </c>
      <c r="I709" t="s">
        <v>2078</v>
      </c>
      <c r="K709" t="s">
        <v>109</v>
      </c>
      <c r="L709" t="s">
        <v>2109</v>
      </c>
      <c r="M709" t="s">
        <v>62</v>
      </c>
      <c r="N709" t="s">
        <v>1752</v>
      </c>
      <c r="P709">
        <f t="shared" si="20"/>
        <v>1</v>
      </c>
      <c r="Q709" t="str">
        <f>IF(AND(P709&gt;1,COUNTIF($E$6:E709,E709)=1),MAX($Q$5:Q708)+1,"")</f>
        <v/>
      </c>
      <c r="R709" t="str">
        <f t="shared" si="21"/>
        <v/>
      </c>
    </row>
    <row r="710" spans="1:18" ht="22.95" customHeight="1">
      <c r="A710" t="s">
        <v>2015</v>
      </c>
      <c r="B710" t="s">
        <v>32</v>
      </c>
      <c r="C710" t="s">
        <v>200</v>
      </c>
      <c r="D710" t="s">
        <v>201</v>
      </c>
      <c r="E710" t="s">
        <v>2110</v>
      </c>
      <c r="F710">
        <v>1</v>
      </c>
      <c r="G710" t="s">
        <v>139</v>
      </c>
      <c r="I710" t="s">
        <v>2111</v>
      </c>
      <c r="K710" t="s">
        <v>109</v>
      </c>
      <c r="L710" t="s">
        <v>2112</v>
      </c>
      <c r="M710" t="s">
        <v>73</v>
      </c>
      <c r="P710">
        <f t="shared" ref="P710:P773" si="22">COUNTIF($E$6:$E$1740,E710)</f>
        <v>1</v>
      </c>
      <c r="Q710" t="str">
        <f>IF(AND(P710&gt;1,COUNTIF($E$6:E710,E710)=1),MAX($Q$5:Q709)+1,"")</f>
        <v/>
      </c>
      <c r="R710" t="str">
        <f t="shared" ref="R710:R773" si="23">IF(Q710="","",IF(COUNTIFS($E$6:$E$1740,E710,$A$6:$A$1740,A710,$C$6:$C$1740,C710)&lt;P710,"LÉGITIME",IF(COUNTIFS($E$6:$E$1740,E710,$A$6:$A$1740,A710,$C$6:$C$1740,C710,$M$6:$M$1740,M710)&lt;P710,"STATUT DIFFÉRENT","VRAI DOUBLON")))</f>
        <v/>
      </c>
    </row>
    <row r="711" spans="1:18" ht="22.95" customHeight="1">
      <c r="A711" t="s">
        <v>2113</v>
      </c>
      <c r="B711" t="s">
        <v>20</v>
      </c>
      <c r="C711" t="s">
        <v>55</v>
      </c>
      <c r="D711" t="s">
        <v>56</v>
      </c>
      <c r="E711" t="s">
        <v>2114</v>
      </c>
      <c r="F711">
        <v>1</v>
      </c>
      <c r="G711" t="s">
        <v>311</v>
      </c>
      <c r="H711" t="s">
        <v>1555</v>
      </c>
      <c r="I711" t="s">
        <v>406</v>
      </c>
      <c r="K711" t="s">
        <v>408</v>
      </c>
      <c r="L711" t="s">
        <v>2115</v>
      </c>
      <c r="M711" t="s">
        <v>62</v>
      </c>
      <c r="N711" t="s">
        <v>63</v>
      </c>
      <c r="P711">
        <f t="shared" si="22"/>
        <v>1</v>
      </c>
      <c r="Q711" t="str">
        <f>IF(AND(P711&gt;1,COUNTIF($E$6:E711,E711)=1),MAX($Q$5:Q710)+1,"")</f>
        <v/>
      </c>
      <c r="R711" t="str">
        <f t="shared" si="23"/>
        <v/>
      </c>
    </row>
    <row r="712" spans="1:18" ht="22.95" customHeight="1">
      <c r="A712" t="s">
        <v>2113</v>
      </c>
      <c r="B712" t="s">
        <v>20</v>
      </c>
      <c r="C712" t="s">
        <v>65</v>
      </c>
      <c r="D712" t="s">
        <v>66</v>
      </c>
      <c r="E712" t="s">
        <v>2116</v>
      </c>
      <c r="F712">
        <v>1</v>
      </c>
      <c r="I712" t="s">
        <v>2117</v>
      </c>
      <c r="J712" t="s">
        <v>245</v>
      </c>
      <c r="L712" t="s">
        <v>2118</v>
      </c>
      <c r="M712" t="s">
        <v>73</v>
      </c>
      <c r="P712">
        <f t="shared" si="22"/>
        <v>1</v>
      </c>
      <c r="Q712" t="str">
        <f>IF(AND(P712&gt;1,COUNTIF($E$6:E712,E712)=1),MAX($Q$5:Q711)+1,"")</f>
        <v/>
      </c>
      <c r="R712" t="str">
        <f t="shared" si="23"/>
        <v/>
      </c>
    </row>
    <row r="713" spans="1:18" ht="22.95" customHeight="1">
      <c r="A713" t="s">
        <v>2113</v>
      </c>
      <c r="B713" t="s">
        <v>20</v>
      </c>
      <c r="C713" t="s">
        <v>65</v>
      </c>
      <c r="D713" t="s">
        <v>66</v>
      </c>
      <c r="E713" t="s">
        <v>2119</v>
      </c>
      <c r="F713">
        <v>1</v>
      </c>
      <c r="G713" t="s">
        <v>75</v>
      </c>
      <c r="H713" t="s">
        <v>970</v>
      </c>
      <c r="I713" t="s">
        <v>2120</v>
      </c>
      <c r="L713" t="s">
        <v>2121</v>
      </c>
      <c r="M713" t="s">
        <v>73</v>
      </c>
      <c r="P713">
        <f t="shared" si="22"/>
        <v>1</v>
      </c>
      <c r="Q713" t="str">
        <f>IF(AND(P713&gt;1,COUNTIF($E$6:E713,E713)=1),MAX($Q$5:Q712)+1,"")</f>
        <v/>
      </c>
      <c r="R713" t="str">
        <f t="shared" si="23"/>
        <v/>
      </c>
    </row>
    <row r="714" spans="1:18" ht="22.95" customHeight="1">
      <c r="A714" t="s">
        <v>2113</v>
      </c>
      <c r="B714" t="s">
        <v>22</v>
      </c>
      <c r="C714" t="s">
        <v>779</v>
      </c>
      <c r="D714" t="s">
        <v>780</v>
      </c>
      <c r="E714" t="s">
        <v>2122</v>
      </c>
      <c r="F714">
        <v>1</v>
      </c>
      <c r="G714" t="s">
        <v>2123</v>
      </c>
      <c r="I714" t="s">
        <v>2124</v>
      </c>
      <c r="L714" t="s">
        <v>2125</v>
      </c>
      <c r="M714" t="s">
        <v>62</v>
      </c>
      <c r="N714" t="s">
        <v>2126</v>
      </c>
      <c r="P714">
        <f t="shared" si="22"/>
        <v>1</v>
      </c>
      <c r="Q714" t="str">
        <f>IF(AND(P714&gt;1,COUNTIF($E$6:E714,E714)=1),MAX($Q$5:Q713)+1,"")</f>
        <v/>
      </c>
      <c r="R714" t="str">
        <f t="shared" si="23"/>
        <v/>
      </c>
    </row>
    <row r="715" spans="1:18" ht="22.95" customHeight="1">
      <c r="A715" t="s">
        <v>2113</v>
      </c>
      <c r="B715" t="s">
        <v>22</v>
      </c>
      <c r="C715" t="s">
        <v>1149</v>
      </c>
      <c r="D715" t="s">
        <v>1150</v>
      </c>
      <c r="E715" t="s">
        <v>2127</v>
      </c>
      <c r="F715">
        <v>1</v>
      </c>
      <c r="G715" t="s">
        <v>139</v>
      </c>
      <c r="L715" t="s">
        <v>2128</v>
      </c>
      <c r="M715" t="s">
        <v>102</v>
      </c>
      <c r="P715">
        <f t="shared" si="22"/>
        <v>1</v>
      </c>
      <c r="Q715" t="str">
        <f>IF(AND(P715&gt;1,COUNTIF($E$6:E715,E715)=1),MAX($Q$5:Q714)+1,"")</f>
        <v/>
      </c>
      <c r="R715" t="str">
        <f t="shared" si="23"/>
        <v/>
      </c>
    </row>
    <row r="716" spans="1:18" ht="22.95" customHeight="1">
      <c r="A716" t="s">
        <v>2113</v>
      </c>
      <c r="B716" t="s">
        <v>22</v>
      </c>
      <c r="C716" t="s">
        <v>1149</v>
      </c>
      <c r="D716" t="s">
        <v>1150</v>
      </c>
      <c r="E716" t="s">
        <v>2129</v>
      </c>
      <c r="F716">
        <v>1</v>
      </c>
      <c r="G716" t="s">
        <v>92</v>
      </c>
      <c r="I716" t="s">
        <v>408</v>
      </c>
      <c r="K716" t="s">
        <v>408</v>
      </c>
      <c r="L716" t="s">
        <v>2130</v>
      </c>
      <c r="M716" t="s">
        <v>102</v>
      </c>
      <c r="P716">
        <f t="shared" si="22"/>
        <v>1</v>
      </c>
      <c r="Q716" t="str">
        <f>IF(AND(P716&gt;1,COUNTIF($E$6:E716,E716)=1),MAX($Q$5:Q715)+1,"")</f>
        <v/>
      </c>
      <c r="R716" t="str">
        <f t="shared" si="23"/>
        <v/>
      </c>
    </row>
    <row r="717" spans="1:18" ht="22.95" customHeight="1">
      <c r="A717" t="s">
        <v>2113</v>
      </c>
      <c r="B717" t="s">
        <v>22</v>
      </c>
      <c r="C717" t="s">
        <v>370</v>
      </c>
      <c r="D717" t="s">
        <v>371</v>
      </c>
      <c r="E717" t="s">
        <v>2131</v>
      </c>
      <c r="F717">
        <v>1</v>
      </c>
      <c r="G717" t="s">
        <v>92</v>
      </c>
      <c r="K717" t="s">
        <v>1714</v>
      </c>
      <c r="L717" t="s">
        <v>2132</v>
      </c>
      <c r="M717" t="s">
        <v>62</v>
      </c>
      <c r="N717" t="s">
        <v>712</v>
      </c>
      <c r="P717">
        <f t="shared" si="22"/>
        <v>1</v>
      </c>
      <c r="Q717" t="str">
        <f>IF(AND(P717&gt;1,COUNTIF($E$6:E717,E717)=1),MAX($Q$5:Q716)+1,"")</f>
        <v/>
      </c>
      <c r="R717" t="str">
        <f t="shared" si="23"/>
        <v/>
      </c>
    </row>
    <row r="718" spans="1:18" ht="22.95" customHeight="1">
      <c r="A718" t="s">
        <v>2113</v>
      </c>
      <c r="B718" t="s">
        <v>25</v>
      </c>
      <c r="C718" t="s">
        <v>115</v>
      </c>
      <c r="D718" t="s">
        <v>116</v>
      </c>
      <c r="E718" t="s">
        <v>2133</v>
      </c>
      <c r="F718">
        <v>1</v>
      </c>
      <c r="G718" t="s">
        <v>411</v>
      </c>
      <c r="I718" t="s">
        <v>2134</v>
      </c>
      <c r="L718" t="s">
        <v>2135</v>
      </c>
      <c r="M718" t="s">
        <v>73</v>
      </c>
      <c r="P718">
        <f t="shared" si="22"/>
        <v>1</v>
      </c>
      <c r="Q718" t="str">
        <f>IF(AND(P718&gt;1,COUNTIF($E$6:E718,E718)=1),MAX($Q$5:Q717)+1,"")</f>
        <v/>
      </c>
      <c r="R718" t="str">
        <f t="shared" si="23"/>
        <v/>
      </c>
    </row>
    <row r="719" spans="1:18" ht="22.95" customHeight="1">
      <c r="A719" t="s">
        <v>2113</v>
      </c>
      <c r="B719" t="s">
        <v>25</v>
      </c>
      <c r="C719" t="s">
        <v>115</v>
      </c>
      <c r="D719" t="s">
        <v>116</v>
      </c>
      <c r="E719" t="s">
        <v>2136</v>
      </c>
      <c r="F719">
        <v>1</v>
      </c>
      <c r="G719" t="s">
        <v>92</v>
      </c>
      <c r="I719" t="s">
        <v>2137</v>
      </c>
      <c r="L719" t="s">
        <v>2138</v>
      </c>
      <c r="M719" t="s">
        <v>62</v>
      </c>
      <c r="N719" t="s">
        <v>957</v>
      </c>
      <c r="P719">
        <f t="shared" si="22"/>
        <v>1</v>
      </c>
      <c r="Q719" t="str">
        <f>IF(AND(P719&gt;1,COUNTIF($E$6:E719,E719)=1),MAX($Q$5:Q718)+1,"")</f>
        <v/>
      </c>
      <c r="R719" t="str">
        <f t="shared" si="23"/>
        <v/>
      </c>
    </row>
    <row r="720" spans="1:18" ht="22.95" customHeight="1">
      <c r="A720" t="s">
        <v>2113</v>
      </c>
      <c r="B720" t="s">
        <v>25</v>
      </c>
      <c r="C720" t="s">
        <v>115</v>
      </c>
      <c r="D720" t="s">
        <v>116</v>
      </c>
      <c r="E720" t="s">
        <v>2139</v>
      </c>
      <c r="F720">
        <v>1</v>
      </c>
      <c r="G720" t="s">
        <v>92</v>
      </c>
      <c r="I720" t="s">
        <v>2137</v>
      </c>
      <c r="L720" t="s">
        <v>2140</v>
      </c>
      <c r="M720" t="s">
        <v>62</v>
      </c>
      <c r="N720" t="s">
        <v>957</v>
      </c>
      <c r="P720">
        <f t="shared" si="22"/>
        <v>1</v>
      </c>
      <c r="Q720" t="str">
        <f>IF(AND(P720&gt;1,COUNTIF($E$6:E720,E720)=1),MAX($Q$5:Q719)+1,"")</f>
        <v/>
      </c>
      <c r="R720" t="str">
        <f t="shared" si="23"/>
        <v/>
      </c>
    </row>
    <row r="721" spans="1:18" ht="22.95" customHeight="1">
      <c r="A721" t="s">
        <v>2113</v>
      </c>
      <c r="B721" t="s">
        <v>25</v>
      </c>
      <c r="C721" t="s">
        <v>115</v>
      </c>
      <c r="D721" t="s">
        <v>116</v>
      </c>
      <c r="E721" t="s">
        <v>2141</v>
      </c>
      <c r="F721">
        <v>1</v>
      </c>
      <c r="G721" t="s">
        <v>92</v>
      </c>
      <c r="L721" t="s">
        <v>2142</v>
      </c>
      <c r="M721" t="s">
        <v>62</v>
      </c>
      <c r="N721" t="s">
        <v>957</v>
      </c>
      <c r="P721">
        <f t="shared" si="22"/>
        <v>1</v>
      </c>
      <c r="Q721" t="str">
        <f>IF(AND(P721&gt;1,COUNTIF($E$6:E721,E721)=1),MAX($Q$5:Q720)+1,"")</f>
        <v/>
      </c>
      <c r="R721" t="str">
        <f t="shared" si="23"/>
        <v/>
      </c>
    </row>
    <row r="722" spans="1:18" ht="22.95" customHeight="1">
      <c r="A722" t="s">
        <v>2113</v>
      </c>
      <c r="B722" t="s">
        <v>25</v>
      </c>
      <c r="C722" t="s">
        <v>131</v>
      </c>
      <c r="D722" t="s">
        <v>132</v>
      </c>
      <c r="E722" t="s">
        <v>2143</v>
      </c>
      <c r="F722">
        <v>1</v>
      </c>
      <c r="G722" t="s">
        <v>2144</v>
      </c>
      <c r="H722" t="s">
        <v>2145</v>
      </c>
      <c r="I722" t="s">
        <v>415</v>
      </c>
      <c r="K722" t="s">
        <v>109</v>
      </c>
      <c r="L722" t="s">
        <v>2146</v>
      </c>
      <c r="M722" t="s">
        <v>73</v>
      </c>
      <c r="P722">
        <f t="shared" si="22"/>
        <v>1</v>
      </c>
      <c r="Q722" t="str">
        <f>IF(AND(P722&gt;1,COUNTIF($E$6:E722,E722)=1),MAX($Q$5:Q721)+1,"")</f>
        <v/>
      </c>
      <c r="R722" t="str">
        <f t="shared" si="23"/>
        <v/>
      </c>
    </row>
    <row r="723" spans="1:18" ht="22.95" customHeight="1">
      <c r="A723" t="s">
        <v>2113</v>
      </c>
      <c r="B723" t="s">
        <v>25</v>
      </c>
      <c r="C723" t="s">
        <v>131</v>
      </c>
      <c r="D723" t="s">
        <v>132</v>
      </c>
      <c r="E723" t="s">
        <v>2147</v>
      </c>
      <c r="F723">
        <v>1</v>
      </c>
      <c r="G723" t="s">
        <v>2144</v>
      </c>
      <c r="H723" t="s">
        <v>2145</v>
      </c>
      <c r="I723" t="s">
        <v>415</v>
      </c>
      <c r="K723" t="s">
        <v>109</v>
      </c>
      <c r="L723" t="s">
        <v>2146</v>
      </c>
      <c r="M723" t="s">
        <v>73</v>
      </c>
      <c r="P723">
        <f t="shared" si="22"/>
        <v>1</v>
      </c>
      <c r="Q723" t="str">
        <f>IF(AND(P723&gt;1,COUNTIF($E$6:E723,E723)=1),MAX($Q$5:Q722)+1,"")</f>
        <v/>
      </c>
      <c r="R723" t="str">
        <f t="shared" si="23"/>
        <v/>
      </c>
    </row>
    <row r="724" spans="1:18" ht="22.95" customHeight="1">
      <c r="A724" t="s">
        <v>2113</v>
      </c>
      <c r="B724" t="s">
        <v>25</v>
      </c>
      <c r="C724" t="s">
        <v>131</v>
      </c>
      <c r="D724" t="s">
        <v>132</v>
      </c>
      <c r="E724" t="s">
        <v>2148</v>
      </c>
      <c r="F724">
        <v>1</v>
      </c>
      <c r="G724" t="s">
        <v>2144</v>
      </c>
      <c r="H724" t="s">
        <v>2145</v>
      </c>
      <c r="I724" t="s">
        <v>415</v>
      </c>
      <c r="K724" t="s">
        <v>109</v>
      </c>
      <c r="L724" t="s">
        <v>2146</v>
      </c>
      <c r="M724" t="s">
        <v>73</v>
      </c>
      <c r="P724">
        <f t="shared" si="22"/>
        <v>1</v>
      </c>
      <c r="Q724" t="str">
        <f>IF(AND(P724&gt;1,COUNTIF($E$6:E724,E724)=1),MAX($Q$5:Q723)+1,"")</f>
        <v/>
      </c>
      <c r="R724" t="str">
        <f t="shared" si="23"/>
        <v/>
      </c>
    </row>
    <row r="725" spans="1:18" ht="22.95" customHeight="1">
      <c r="A725" t="s">
        <v>2113</v>
      </c>
      <c r="B725" t="s">
        <v>25</v>
      </c>
      <c r="C725" t="s">
        <v>131</v>
      </c>
      <c r="D725" t="s">
        <v>132</v>
      </c>
      <c r="E725" t="s">
        <v>2149</v>
      </c>
      <c r="F725">
        <v>1</v>
      </c>
      <c r="G725" t="s">
        <v>422</v>
      </c>
      <c r="H725" t="s">
        <v>1152</v>
      </c>
      <c r="I725" t="s">
        <v>415</v>
      </c>
      <c r="K725" t="s">
        <v>109</v>
      </c>
      <c r="L725" t="s">
        <v>2146</v>
      </c>
      <c r="M725" t="s">
        <v>73</v>
      </c>
      <c r="P725">
        <f t="shared" si="22"/>
        <v>1</v>
      </c>
      <c r="Q725" t="str">
        <f>IF(AND(P725&gt;1,COUNTIF($E$6:E725,E725)=1),MAX($Q$5:Q724)+1,"")</f>
        <v/>
      </c>
      <c r="R725" t="str">
        <f t="shared" si="23"/>
        <v/>
      </c>
    </row>
    <row r="726" spans="1:18" ht="22.95" customHeight="1">
      <c r="A726" t="s">
        <v>2113</v>
      </c>
      <c r="B726" t="s">
        <v>24</v>
      </c>
      <c r="C726" t="s">
        <v>426</v>
      </c>
      <c r="D726" t="s">
        <v>427</v>
      </c>
      <c r="E726" t="s">
        <v>2150</v>
      </c>
      <c r="F726">
        <v>1</v>
      </c>
      <c r="I726" t="s">
        <v>2151</v>
      </c>
      <c r="K726" t="s">
        <v>2152</v>
      </c>
      <c r="L726" t="s">
        <v>2153</v>
      </c>
      <c r="M726" t="s">
        <v>62</v>
      </c>
      <c r="P726">
        <f t="shared" si="22"/>
        <v>1</v>
      </c>
      <c r="Q726" t="str">
        <f>IF(AND(P726&gt;1,COUNTIF($E$6:E726,E726)=1),MAX($Q$5:Q725)+1,"")</f>
        <v/>
      </c>
      <c r="R726" t="str">
        <f t="shared" si="23"/>
        <v/>
      </c>
    </row>
    <row r="727" spans="1:18" ht="22.95" customHeight="1">
      <c r="A727" t="s">
        <v>2113</v>
      </c>
      <c r="B727" t="s">
        <v>24</v>
      </c>
      <c r="C727" t="s">
        <v>436</v>
      </c>
      <c r="D727" t="s">
        <v>437</v>
      </c>
      <c r="E727" t="s">
        <v>2154</v>
      </c>
      <c r="F727">
        <v>1</v>
      </c>
      <c r="G727" t="s">
        <v>2155</v>
      </c>
      <c r="H727" t="s">
        <v>2145</v>
      </c>
      <c r="I727" t="s">
        <v>2156</v>
      </c>
      <c r="K727" t="s">
        <v>109</v>
      </c>
      <c r="L727" t="s">
        <v>2157</v>
      </c>
      <c r="M727" t="s">
        <v>62</v>
      </c>
      <c r="N727" t="s">
        <v>130</v>
      </c>
      <c r="P727">
        <f t="shared" si="22"/>
        <v>1</v>
      </c>
      <c r="Q727" t="str">
        <f>IF(AND(P727&gt;1,COUNTIF($E$6:E727,E727)=1),MAX($Q$5:Q726)+1,"")</f>
        <v/>
      </c>
      <c r="R727" t="str">
        <f t="shared" si="23"/>
        <v/>
      </c>
    </row>
    <row r="728" spans="1:18" ht="22.95" customHeight="1">
      <c r="A728" t="s">
        <v>2113</v>
      </c>
      <c r="B728" t="s">
        <v>24</v>
      </c>
      <c r="C728" t="s">
        <v>443</v>
      </c>
      <c r="D728" t="s">
        <v>444</v>
      </c>
      <c r="E728" t="s">
        <v>2158</v>
      </c>
      <c r="F728">
        <v>1</v>
      </c>
      <c r="G728" t="s">
        <v>139</v>
      </c>
      <c r="L728" t="s">
        <v>2159</v>
      </c>
      <c r="M728" t="s">
        <v>62</v>
      </c>
      <c r="N728" t="s">
        <v>520</v>
      </c>
      <c r="P728">
        <f t="shared" si="22"/>
        <v>1</v>
      </c>
      <c r="Q728" t="str">
        <f>IF(AND(P728&gt;1,COUNTIF($E$6:E728,E728)=1),MAX($Q$5:Q727)+1,"")</f>
        <v/>
      </c>
      <c r="R728" t="str">
        <f t="shared" si="23"/>
        <v/>
      </c>
    </row>
    <row r="729" spans="1:18" ht="22.95" customHeight="1">
      <c r="A729" t="s">
        <v>2113</v>
      </c>
      <c r="B729" t="s">
        <v>24</v>
      </c>
      <c r="C729" t="s">
        <v>443</v>
      </c>
      <c r="D729" t="s">
        <v>444</v>
      </c>
      <c r="E729" t="s">
        <v>2160</v>
      </c>
      <c r="F729">
        <v>1</v>
      </c>
      <c r="G729" t="s">
        <v>92</v>
      </c>
      <c r="J729" t="s">
        <v>99</v>
      </c>
      <c r="L729" t="s">
        <v>2161</v>
      </c>
      <c r="M729" t="s">
        <v>102</v>
      </c>
      <c r="P729">
        <f t="shared" si="22"/>
        <v>1</v>
      </c>
      <c r="Q729" t="str">
        <f>IF(AND(P729&gt;1,COUNTIF($E$6:E729,E729)=1),MAX($Q$5:Q728)+1,"")</f>
        <v/>
      </c>
      <c r="R729" t="str">
        <f t="shared" si="23"/>
        <v/>
      </c>
    </row>
    <row r="730" spans="1:18" ht="22.95" customHeight="1">
      <c r="A730" t="s">
        <v>2113</v>
      </c>
      <c r="B730" t="s">
        <v>28</v>
      </c>
      <c r="C730" t="s">
        <v>448</v>
      </c>
      <c r="D730" t="s">
        <v>449</v>
      </c>
      <c r="E730" t="s">
        <v>2162</v>
      </c>
      <c r="F730">
        <v>1</v>
      </c>
      <c r="G730" t="s">
        <v>92</v>
      </c>
      <c r="I730" t="s">
        <v>2163</v>
      </c>
      <c r="L730" t="s">
        <v>2164</v>
      </c>
      <c r="M730" t="s">
        <v>102</v>
      </c>
      <c r="P730">
        <f t="shared" si="22"/>
        <v>1</v>
      </c>
      <c r="Q730" t="str">
        <f>IF(AND(P730&gt;1,COUNTIF($E$6:E730,E730)=1),MAX($Q$5:Q729)+1,"")</f>
        <v/>
      </c>
      <c r="R730" t="str">
        <f t="shared" si="23"/>
        <v/>
      </c>
    </row>
    <row r="731" spans="1:18" ht="22.95" customHeight="1">
      <c r="A731" t="s">
        <v>2113</v>
      </c>
      <c r="B731" t="s">
        <v>28</v>
      </c>
      <c r="C731" t="s">
        <v>448</v>
      </c>
      <c r="D731" t="s">
        <v>449</v>
      </c>
      <c r="E731" t="s">
        <v>2165</v>
      </c>
      <c r="F731">
        <v>1</v>
      </c>
      <c r="G731" t="s">
        <v>92</v>
      </c>
      <c r="I731" t="s">
        <v>2163</v>
      </c>
      <c r="L731" t="s">
        <v>2164</v>
      </c>
      <c r="M731" t="s">
        <v>102</v>
      </c>
      <c r="P731">
        <f t="shared" si="22"/>
        <v>1</v>
      </c>
      <c r="Q731" t="str">
        <f>IF(AND(P731&gt;1,COUNTIF($E$6:E731,E731)=1),MAX($Q$5:Q730)+1,"")</f>
        <v/>
      </c>
      <c r="R731" t="str">
        <f t="shared" si="23"/>
        <v/>
      </c>
    </row>
    <row r="732" spans="1:18" ht="22.95" customHeight="1">
      <c r="A732" t="s">
        <v>2113</v>
      </c>
      <c r="B732" t="s">
        <v>28</v>
      </c>
      <c r="C732" t="s">
        <v>146</v>
      </c>
      <c r="D732" t="s">
        <v>147</v>
      </c>
      <c r="E732" t="s">
        <v>2166</v>
      </c>
      <c r="F732">
        <v>1</v>
      </c>
      <c r="G732" t="s">
        <v>2167</v>
      </c>
      <c r="H732" t="s">
        <v>2168</v>
      </c>
      <c r="I732" t="s">
        <v>2169</v>
      </c>
      <c r="K732" t="s">
        <v>109</v>
      </c>
      <c r="L732" t="s">
        <v>2170</v>
      </c>
      <c r="M732" t="s">
        <v>62</v>
      </c>
      <c r="N732" t="s">
        <v>303</v>
      </c>
      <c r="P732">
        <f t="shared" si="22"/>
        <v>1</v>
      </c>
      <c r="Q732" t="str">
        <f>IF(AND(P732&gt;1,COUNTIF($E$6:E732,E732)=1),MAX($Q$5:Q731)+1,"")</f>
        <v/>
      </c>
      <c r="R732" t="str">
        <f t="shared" si="23"/>
        <v/>
      </c>
    </row>
    <row r="733" spans="1:18" ht="22.95" customHeight="1">
      <c r="A733" t="s">
        <v>2113</v>
      </c>
      <c r="B733" t="s">
        <v>28</v>
      </c>
      <c r="C733" t="s">
        <v>146</v>
      </c>
      <c r="D733" t="s">
        <v>147</v>
      </c>
      <c r="E733" t="s">
        <v>2171</v>
      </c>
      <c r="F733">
        <v>1</v>
      </c>
      <c r="G733" t="s">
        <v>2167</v>
      </c>
      <c r="H733" t="s">
        <v>2168</v>
      </c>
      <c r="I733" t="s">
        <v>2169</v>
      </c>
      <c r="K733" t="s">
        <v>109</v>
      </c>
      <c r="L733" t="s">
        <v>2170</v>
      </c>
      <c r="M733" t="s">
        <v>62</v>
      </c>
      <c r="N733" t="s">
        <v>303</v>
      </c>
      <c r="P733">
        <f t="shared" si="22"/>
        <v>1</v>
      </c>
      <c r="Q733" t="str">
        <f>IF(AND(P733&gt;1,COUNTIF($E$6:E733,E733)=1),MAX($Q$5:Q732)+1,"")</f>
        <v/>
      </c>
      <c r="R733" t="str">
        <f t="shared" si="23"/>
        <v/>
      </c>
    </row>
    <row r="734" spans="1:18" ht="22.95" customHeight="1">
      <c r="A734" t="s">
        <v>2113</v>
      </c>
      <c r="B734" t="s">
        <v>28</v>
      </c>
      <c r="C734" t="s">
        <v>146</v>
      </c>
      <c r="D734" t="s">
        <v>147</v>
      </c>
      <c r="E734" t="s">
        <v>2172</v>
      </c>
      <c r="F734">
        <v>1</v>
      </c>
      <c r="G734" t="s">
        <v>2173</v>
      </c>
      <c r="H734" t="s">
        <v>2174</v>
      </c>
      <c r="I734" t="s">
        <v>119</v>
      </c>
      <c r="K734" t="s">
        <v>2175</v>
      </c>
      <c r="L734" t="s">
        <v>2176</v>
      </c>
      <c r="M734" t="s">
        <v>102</v>
      </c>
      <c r="P734">
        <f t="shared" si="22"/>
        <v>1</v>
      </c>
      <c r="Q734" t="str">
        <f>IF(AND(P734&gt;1,COUNTIF($E$6:E734,E734)=1),MAX($Q$5:Q733)+1,"")</f>
        <v/>
      </c>
      <c r="R734" t="str">
        <f t="shared" si="23"/>
        <v/>
      </c>
    </row>
    <row r="735" spans="1:18" ht="22.95" customHeight="1">
      <c r="A735" t="s">
        <v>2113</v>
      </c>
      <c r="B735" t="s">
        <v>28</v>
      </c>
      <c r="C735" t="s">
        <v>146</v>
      </c>
      <c r="D735" t="s">
        <v>147</v>
      </c>
      <c r="E735" t="s">
        <v>2177</v>
      </c>
      <c r="F735">
        <v>1</v>
      </c>
      <c r="G735" t="s">
        <v>2173</v>
      </c>
      <c r="H735" t="s">
        <v>2174</v>
      </c>
      <c r="I735" t="s">
        <v>119</v>
      </c>
      <c r="K735" t="s">
        <v>2175</v>
      </c>
      <c r="L735" t="s">
        <v>2176</v>
      </c>
      <c r="M735" t="s">
        <v>102</v>
      </c>
      <c r="P735">
        <f t="shared" si="22"/>
        <v>1</v>
      </c>
      <c r="Q735" t="str">
        <f>IF(AND(P735&gt;1,COUNTIF($E$6:E735,E735)=1),MAX($Q$5:Q734)+1,"")</f>
        <v/>
      </c>
      <c r="R735" t="str">
        <f t="shared" si="23"/>
        <v/>
      </c>
    </row>
    <row r="736" spans="1:18" ht="22.95" customHeight="1">
      <c r="A736" t="s">
        <v>2113</v>
      </c>
      <c r="B736" t="s">
        <v>28</v>
      </c>
      <c r="C736" t="s">
        <v>146</v>
      </c>
      <c r="D736" t="s">
        <v>147</v>
      </c>
      <c r="E736" t="s">
        <v>2178</v>
      </c>
      <c r="F736">
        <v>1</v>
      </c>
      <c r="G736" t="s">
        <v>2173</v>
      </c>
      <c r="H736" t="s">
        <v>2174</v>
      </c>
      <c r="I736" t="s">
        <v>119</v>
      </c>
      <c r="K736" t="s">
        <v>2175</v>
      </c>
      <c r="L736" t="s">
        <v>2176</v>
      </c>
      <c r="M736" t="s">
        <v>102</v>
      </c>
      <c r="P736">
        <f t="shared" si="22"/>
        <v>1</v>
      </c>
      <c r="Q736" t="str">
        <f>IF(AND(P736&gt;1,COUNTIF($E$6:E736,E736)=1),MAX($Q$5:Q735)+1,"")</f>
        <v/>
      </c>
      <c r="R736" t="str">
        <f t="shared" si="23"/>
        <v/>
      </c>
    </row>
    <row r="737" spans="1:18" ht="22.95" customHeight="1">
      <c r="A737" t="s">
        <v>2113</v>
      </c>
      <c r="B737" t="s">
        <v>28</v>
      </c>
      <c r="C737" t="s">
        <v>146</v>
      </c>
      <c r="D737" t="s">
        <v>147</v>
      </c>
      <c r="E737" t="s">
        <v>2179</v>
      </c>
      <c r="F737">
        <v>1</v>
      </c>
      <c r="G737" t="s">
        <v>2173</v>
      </c>
      <c r="H737" t="s">
        <v>2174</v>
      </c>
      <c r="I737" t="s">
        <v>119</v>
      </c>
      <c r="K737" t="s">
        <v>2175</v>
      </c>
      <c r="L737" t="s">
        <v>2180</v>
      </c>
      <c r="M737" t="s">
        <v>102</v>
      </c>
      <c r="P737">
        <f t="shared" si="22"/>
        <v>1</v>
      </c>
      <c r="Q737" t="str">
        <f>IF(AND(P737&gt;1,COUNTIF($E$6:E737,E737)=1),MAX($Q$5:Q736)+1,"")</f>
        <v/>
      </c>
      <c r="R737" t="str">
        <f t="shared" si="23"/>
        <v/>
      </c>
    </row>
    <row r="738" spans="1:18" ht="22.95" customHeight="1">
      <c r="A738" t="s">
        <v>2113</v>
      </c>
      <c r="B738" t="s">
        <v>28</v>
      </c>
      <c r="C738" t="s">
        <v>167</v>
      </c>
      <c r="D738" t="s">
        <v>168</v>
      </c>
      <c r="E738" t="s">
        <v>2181</v>
      </c>
      <c r="F738">
        <v>1</v>
      </c>
      <c r="G738" t="s">
        <v>1950</v>
      </c>
      <c r="H738" t="s">
        <v>2182</v>
      </c>
      <c r="I738" t="s">
        <v>2183</v>
      </c>
      <c r="L738" t="s">
        <v>2184</v>
      </c>
      <c r="M738" t="s">
        <v>62</v>
      </c>
      <c r="N738" t="s">
        <v>130</v>
      </c>
      <c r="P738">
        <f t="shared" si="22"/>
        <v>1</v>
      </c>
      <c r="Q738" t="str">
        <f>IF(AND(P738&gt;1,COUNTIF($E$6:E738,E738)=1),MAX($Q$5:Q737)+1,"")</f>
        <v/>
      </c>
      <c r="R738" t="str">
        <f t="shared" si="23"/>
        <v/>
      </c>
    </row>
    <row r="739" spans="1:18" ht="22.95" customHeight="1">
      <c r="A739" t="s">
        <v>2113</v>
      </c>
      <c r="B739" t="s">
        <v>28</v>
      </c>
      <c r="C739" t="s">
        <v>167</v>
      </c>
      <c r="D739" t="s">
        <v>168</v>
      </c>
      <c r="E739" t="s">
        <v>2185</v>
      </c>
      <c r="F739">
        <v>1</v>
      </c>
      <c r="G739" t="s">
        <v>1950</v>
      </c>
      <c r="H739" t="s">
        <v>2182</v>
      </c>
      <c r="I739" t="s">
        <v>2186</v>
      </c>
      <c r="L739" t="s">
        <v>2184</v>
      </c>
      <c r="M739" t="s">
        <v>62</v>
      </c>
      <c r="N739" t="s">
        <v>130</v>
      </c>
      <c r="P739">
        <f t="shared" si="22"/>
        <v>1</v>
      </c>
      <c r="Q739" t="str">
        <f>IF(AND(P739&gt;1,COUNTIF($E$6:E739,E739)=1),MAX($Q$5:Q738)+1,"")</f>
        <v/>
      </c>
      <c r="R739" t="str">
        <f t="shared" si="23"/>
        <v/>
      </c>
    </row>
    <row r="740" spans="1:18" ht="22.95" customHeight="1">
      <c r="A740" t="s">
        <v>2113</v>
      </c>
      <c r="B740" t="s">
        <v>28</v>
      </c>
      <c r="C740" t="s">
        <v>167</v>
      </c>
      <c r="D740" t="s">
        <v>168</v>
      </c>
      <c r="E740" t="s">
        <v>2187</v>
      </c>
      <c r="F740">
        <v>1</v>
      </c>
      <c r="G740" t="s">
        <v>454</v>
      </c>
      <c r="H740" t="s">
        <v>2188</v>
      </c>
      <c r="I740" t="s">
        <v>2189</v>
      </c>
      <c r="L740" t="s">
        <v>2190</v>
      </c>
      <c r="M740" t="s">
        <v>62</v>
      </c>
      <c r="N740" t="s">
        <v>130</v>
      </c>
      <c r="P740">
        <f t="shared" si="22"/>
        <v>1</v>
      </c>
      <c r="Q740" t="str">
        <f>IF(AND(P740&gt;1,COUNTIF($E$6:E740,E740)=1),MAX($Q$5:Q739)+1,"")</f>
        <v/>
      </c>
      <c r="R740" t="str">
        <f t="shared" si="23"/>
        <v/>
      </c>
    </row>
    <row r="741" spans="1:18" ht="22.95" customHeight="1">
      <c r="A741" t="s">
        <v>2113</v>
      </c>
      <c r="B741" t="s">
        <v>31</v>
      </c>
      <c r="C741" t="s">
        <v>491</v>
      </c>
      <c r="D741" t="s">
        <v>492</v>
      </c>
      <c r="E741" t="s">
        <v>2191</v>
      </c>
      <c r="F741">
        <v>1</v>
      </c>
      <c r="G741" t="s">
        <v>2192</v>
      </c>
      <c r="I741" t="s">
        <v>517</v>
      </c>
      <c r="L741" t="s">
        <v>2193</v>
      </c>
      <c r="M741" t="s">
        <v>62</v>
      </c>
      <c r="N741" t="s">
        <v>951</v>
      </c>
      <c r="P741">
        <f t="shared" si="22"/>
        <v>1</v>
      </c>
      <c r="Q741" t="str">
        <f>IF(AND(P741&gt;1,COUNTIF($E$6:E741,E741)=1),MAX($Q$5:Q740)+1,"")</f>
        <v/>
      </c>
      <c r="R741" t="str">
        <f t="shared" si="23"/>
        <v/>
      </c>
    </row>
    <row r="742" spans="1:18" ht="22.95" customHeight="1">
      <c r="A742" t="s">
        <v>2113</v>
      </c>
      <c r="B742" t="s">
        <v>31</v>
      </c>
      <c r="C742" t="s">
        <v>491</v>
      </c>
      <c r="D742" t="s">
        <v>492</v>
      </c>
      <c r="E742" t="s">
        <v>2194</v>
      </c>
      <c r="F742">
        <v>1</v>
      </c>
      <c r="G742" t="s">
        <v>2192</v>
      </c>
      <c r="I742" t="s">
        <v>517</v>
      </c>
      <c r="L742" t="s">
        <v>2195</v>
      </c>
      <c r="M742" t="s">
        <v>62</v>
      </c>
      <c r="N742" t="s">
        <v>951</v>
      </c>
      <c r="P742">
        <f t="shared" si="22"/>
        <v>1</v>
      </c>
      <c r="Q742" t="str">
        <f>IF(AND(P742&gt;1,COUNTIF($E$6:E742,E742)=1),MAX($Q$5:Q741)+1,"")</f>
        <v/>
      </c>
      <c r="R742" t="str">
        <f t="shared" si="23"/>
        <v/>
      </c>
    </row>
    <row r="743" spans="1:18" ht="22.95" customHeight="1">
      <c r="A743" t="s">
        <v>2196</v>
      </c>
      <c r="B743" t="s">
        <v>20</v>
      </c>
      <c r="C743" t="s">
        <v>55</v>
      </c>
      <c r="D743" t="s">
        <v>56</v>
      </c>
      <c r="E743" t="s">
        <v>2197</v>
      </c>
      <c r="F743">
        <v>1</v>
      </c>
      <c r="G743" t="s">
        <v>139</v>
      </c>
      <c r="I743" t="s">
        <v>112</v>
      </c>
      <c r="K743" t="s">
        <v>2198</v>
      </c>
      <c r="L743" t="s">
        <v>2199</v>
      </c>
      <c r="M743" t="s">
        <v>73</v>
      </c>
      <c r="P743">
        <f t="shared" si="22"/>
        <v>1</v>
      </c>
      <c r="Q743" t="str">
        <f>IF(AND(P743&gt;1,COUNTIF($E$6:E743,E743)=1),MAX($Q$5:Q742)+1,"")</f>
        <v/>
      </c>
      <c r="R743" t="str">
        <f t="shared" si="23"/>
        <v/>
      </c>
    </row>
    <row r="744" spans="1:18" ht="22.95" customHeight="1">
      <c r="A744" t="s">
        <v>2196</v>
      </c>
      <c r="B744" t="s">
        <v>20</v>
      </c>
      <c r="C744" t="s">
        <v>55</v>
      </c>
      <c r="D744" t="s">
        <v>56</v>
      </c>
      <c r="E744" t="s">
        <v>2200</v>
      </c>
      <c r="F744">
        <v>1</v>
      </c>
      <c r="G744" t="s">
        <v>92</v>
      </c>
      <c r="I744" t="s">
        <v>2201</v>
      </c>
      <c r="K744" t="s">
        <v>109</v>
      </c>
      <c r="L744" t="s">
        <v>2202</v>
      </c>
      <c r="M744" t="s">
        <v>73</v>
      </c>
      <c r="P744">
        <f t="shared" si="22"/>
        <v>1</v>
      </c>
      <c r="Q744" t="str">
        <f>IF(AND(P744&gt;1,COUNTIF($E$6:E744,E744)=1),MAX($Q$5:Q743)+1,"")</f>
        <v/>
      </c>
      <c r="R744" t="str">
        <f t="shared" si="23"/>
        <v/>
      </c>
    </row>
    <row r="745" spans="1:18" ht="22.95" customHeight="1">
      <c r="A745" t="s">
        <v>2196</v>
      </c>
      <c r="B745" t="s">
        <v>22</v>
      </c>
      <c r="C745" t="s">
        <v>370</v>
      </c>
      <c r="D745" t="s">
        <v>371</v>
      </c>
      <c r="E745" t="s">
        <v>2203</v>
      </c>
      <c r="F745">
        <v>1</v>
      </c>
      <c r="G745" t="s">
        <v>92</v>
      </c>
      <c r="I745" t="s">
        <v>2204</v>
      </c>
      <c r="J745" t="s">
        <v>582</v>
      </c>
      <c r="K745" t="s">
        <v>2205</v>
      </c>
      <c r="L745" t="s">
        <v>2206</v>
      </c>
      <c r="M745" t="s">
        <v>73</v>
      </c>
      <c r="P745">
        <f t="shared" si="22"/>
        <v>1</v>
      </c>
      <c r="Q745" t="str">
        <f>IF(AND(P745&gt;1,COUNTIF($E$6:E745,E745)=1),MAX($Q$5:Q744)+1,"")</f>
        <v/>
      </c>
      <c r="R745" t="str">
        <f t="shared" si="23"/>
        <v/>
      </c>
    </row>
    <row r="746" spans="1:18" ht="22.95" customHeight="1">
      <c r="A746" t="s">
        <v>2196</v>
      </c>
      <c r="B746" t="s">
        <v>22</v>
      </c>
      <c r="C746" t="s">
        <v>370</v>
      </c>
      <c r="D746" t="s">
        <v>371</v>
      </c>
      <c r="E746" t="s">
        <v>2207</v>
      </c>
      <c r="F746">
        <v>1</v>
      </c>
      <c r="G746" t="s">
        <v>92</v>
      </c>
      <c r="I746" t="s">
        <v>2208</v>
      </c>
      <c r="K746" t="s">
        <v>2209</v>
      </c>
      <c r="L746" t="s">
        <v>2210</v>
      </c>
      <c r="M746" t="s">
        <v>73</v>
      </c>
      <c r="P746">
        <f t="shared" si="22"/>
        <v>1</v>
      </c>
      <c r="Q746" t="str">
        <f>IF(AND(P746&gt;1,COUNTIF($E$6:E746,E746)=1),MAX($Q$5:Q745)+1,"")</f>
        <v/>
      </c>
      <c r="R746" t="str">
        <f t="shared" si="23"/>
        <v/>
      </c>
    </row>
    <row r="747" spans="1:18" ht="22.95" customHeight="1">
      <c r="A747" t="s">
        <v>2196</v>
      </c>
      <c r="B747" t="s">
        <v>22</v>
      </c>
      <c r="C747" t="s">
        <v>370</v>
      </c>
      <c r="D747" t="s">
        <v>371</v>
      </c>
      <c r="E747" t="s">
        <v>2211</v>
      </c>
      <c r="F747">
        <v>1</v>
      </c>
      <c r="G747" t="s">
        <v>92</v>
      </c>
      <c r="I747" t="s">
        <v>2212</v>
      </c>
      <c r="K747" t="s">
        <v>2213</v>
      </c>
      <c r="L747" t="s">
        <v>2214</v>
      </c>
      <c r="M747" t="s">
        <v>73</v>
      </c>
      <c r="P747">
        <f t="shared" si="22"/>
        <v>1</v>
      </c>
      <c r="Q747" t="str">
        <f>IF(AND(P747&gt;1,COUNTIF($E$6:E747,E747)=1),MAX($Q$5:Q746)+1,"")</f>
        <v/>
      </c>
      <c r="R747" t="str">
        <f t="shared" si="23"/>
        <v/>
      </c>
    </row>
    <row r="748" spans="1:18" ht="22.95" customHeight="1">
      <c r="A748" t="s">
        <v>2196</v>
      </c>
      <c r="B748" t="s">
        <v>23</v>
      </c>
      <c r="C748" t="s">
        <v>103</v>
      </c>
      <c r="D748" t="s">
        <v>104</v>
      </c>
      <c r="E748" t="s">
        <v>2215</v>
      </c>
      <c r="F748">
        <v>1</v>
      </c>
      <c r="G748" t="s">
        <v>386</v>
      </c>
      <c r="H748" t="s">
        <v>2216</v>
      </c>
      <c r="I748" t="s">
        <v>406</v>
      </c>
      <c r="K748" t="s">
        <v>406</v>
      </c>
      <c r="L748" t="s">
        <v>2217</v>
      </c>
      <c r="M748" t="s">
        <v>73</v>
      </c>
      <c r="P748">
        <f t="shared" si="22"/>
        <v>1</v>
      </c>
      <c r="Q748" t="str">
        <f>IF(AND(P748&gt;1,COUNTIF($E$6:E748,E748)=1),MAX($Q$5:Q747)+1,"")</f>
        <v/>
      </c>
      <c r="R748" t="str">
        <f t="shared" si="23"/>
        <v/>
      </c>
    </row>
    <row r="749" spans="1:18" ht="22.95" customHeight="1">
      <c r="A749" t="s">
        <v>2196</v>
      </c>
      <c r="B749" t="s">
        <v>25</v>
      </c>
      <c r="C749" t="s">
        <v>115</v>
      </c>
      <c r="D749" t="s">
        <v>116</v>
      </c>
      <c r="E749" t="s">
        <v>2218</v>
      </c>
      <c r="F749">
        <v>1</v>
      </c>
      <c r="G749" t="s">
        <v>2219</v>
      </c>
      <c r="H749" t="s">
        <v>409</v>
      </c>
      <c r="I749" t="s">
        <v>415</v>
      </c>
      <c r="K749" t="s">
        <v>109</v>
      </c>
      <c r="L749" t="s">
        <v>2220</v>
      </c>
      <c r="M749" t="s">
        <v>73</v>
      </c>
      <c r="P749">
        <f t="shared" si="22"/>
        <v>1</v>
      </c>
      <c r="Q749" t="str">
        <f>IF(AND(P749&gt;1,COUNTIF($E$6:E749,E749)=1),MAX($Q$5:Q748)+1,"")</f>
        <v/>
      </c>
      <c r="R749" t="str">
        <f t="shared" si="23"/>
        <v/>
      </c>
    </row>
    <row r="750" spans="1:18" ht="22.95" customHeight="1">
      <c r="A750" t="s">
        <v>2196</v>
      </c>
      <c r="B750" t="s">
        <v>25</v>
      </c>
      <c r="C750" t="s">
        <v>131</v>
      </c>
      <c r="D750" t="s">
        <v>132</v>
      </c>
      <c r="E750" t="s">
        <v>2221</v>
      </c>
      <c r="F750">
        <v>1</v>
      </c>
      <c r="G750" t="s">
        <v>604</v>
      </c>
      <c r="H750" t="s">
        <v>2033</v>
      </c>
      <c r="I750" t="s">
        <v>2222</v>
      </c>
      <c r="K750" t="s">
        <v>109</v>
      </c>
      <c r="L750" t="s">
        <v>2223</v>
      </c>
      <c r="M750" t="s">
        <v>73</v>
      </c>
      <c r="P750">
        <f t="shared" si="22"/>
        <v>1</v>
      </c>
      <c r="Q750" t="str">
        <f>IF(AND(P750&gt;1,COUNTIF($E$6:E750,E750)=1),MAX($Q$5:Q749)+1,"")</f>
        <v/>
      </c>
      <c r="R750" t="str">
        <f t="shared" si="23"/>
        <v/>
      </c>
    </row>
    <row r="751" spans="1:18" ht="22.95" customHeight="1">
      <c r="A751" t="s">
        <v>2196</v>
      </c>
      <c r="B751" t="s">
        <v>25</v>
      </c>
      <c r="C751" t="s">
        <v>131</v>
      </c>
      <c r="D751" t="s">
        <v>132</v>
      </c>
      <c r="E751" t="s">
        <v>2224</v>
      </c>
      <c r="F751">
        <v>1</v>
      </c>
      <c r="G751" t="s">
        <v>604</v>
      </c>
      <c r="H751" t="s">
        <v>2033</v>
      </c>
      <c r="I751" t="s">
        <v>2222</v>
      </c>
      <c r="K751" t="s">
        <v>109</v>
      </c>
      <c r="L751" t="s">
        <v>2225</v>
      </c>
      <c r="M751" t="s">
        <v>73</v>
      </c>
      <c r="P751">
        <f t="shared" si="22"/>
        <v>1</v>
      </c>
      <c r="Q751" t="str">
        <f>IF(AND(P751&gt;1,COUNTIF($E$6:E751,E751)=1),MAX($Q$5:Q750)+1,"")</f>
        <v/>
      </c>
      <c r="R751" t="str">
        <f t="shared" si="23"/>
        <v/>
      </c>
    </row>
    <row r="752" spans="1:18" ht="22.95" customHeight="1">
      <c r="A752" t="s">
        <v>2196</v>
      </c>
      <c r="B752" t="s">
        <v>25</v>
      </c>
      <c r="C752" t="s">
        <v>131</v>
      </c>
      <c r="D752" t="s">
        <v>132</v>
      </c>
      <c r="E752" t="s">
        <v>2226</v>
      </c>
      <c r="F752">
        <v>1</v>
      </c>
      <c r="G752" t="s">
        <v>604</v>
      </c>
      <c r="H752" t="s">
        <v>2033</v>
      </c>
      <c r="I752" t="s">
        <v>2222</v>
      </c>
      <c r="K752" t="s">
        <v>109</v>
      </c>
      <c r="L752" t="s">
        <v>2227</v>
      </c>
      <c r="M752" t="s">
        <v>73</v>
      </c>
      <c r="P752">
        <f t="shared" si="22"/>
        <v>1</v>
      </c>
      <c r="Q752" t="str">
        <f>IF(AND(P752&gt;1,COUNTIF($E$6:E752,E752)=1),MAX($Q$5:Q751)+1,"")</f>
        <v/>
      </c>
      <c r="R752" t="str">
        <f t="shared" si="23"/>
        <v/>
      </c>
    </row>
    <row r="753" spans="1:18" ht="22.95" customHeight="1">
      <c r="A753" t="s">
        <v>2196</v>
      </c>
      <c r="B753" t="s">
        <v>25</v>
      </c>
      <c r="C753" t="s">
        <v>131</v>
      </c>
      <c r="D753" t="s">
        <v>132</v>
      </c>
      <c r="E753" t="s">
        <v>2228</v>
      </c>
      <c r="F753">
        <v>1</v>
      </c>
      <c r="G753" t="s">
        <v>604</v>
      </c>
      <c r="H753" t="s">
        <v>2033</v>
      </c>
      <c r="I753" t="s">
        <v>2222</v>
      </c>
      <c r="K753" t="s">
        <v>109</v>
      </c>
      <c r="L753" t="s">
        <v>2225</v>
      </c>
      <c r="M753" t="s">
        <v>73</v>
      </c>
      <c r="P753">
        <f t="shared" si="22"/>
        <v>1</v>
      </c>
      <c r="Q753" t="str">
        <f>IF(AND(P753&gt;1,COUNTIF($E$6:E753,E753)=1),MAX($Q$5:Q752)+1,"")</f>
        <v/>
      </c>
      <c r="R753" t="str">
        <f t="shared" si="23"/>
        <v/>
      </c>
    </row>
    <row r="754" spans="1:18" ht="22.95" customHeight="1">
      <c r="A754" t="s">
        <v>2196</v>
      </c>
      <c r="B754" t="s">
        <v>25</v>
      </c>
      <c r="C754" t="s">
        <v>131</v>
      </c>
      <c r="D754" t="s">
        <v>132</v>
      </c>
      <c r="E754" t="s">
        <v>2229</v>
      </c>
      <c r="F754">
        <v>1</v>
      </c>
      <c r="G754" t="s">
        <v>139</v>
      </c>
      <c r="I754" t="s">
        <v>2230</v>
      </c>
      <c r="K754" t="s">
        <v>109</v>
      </c>
      <c r="L754" t="s">
        <v>2231</v>
      </c>
      <c r="M754" t="s">
        <v>62</v>
      </c>
      <c r="N754" t="s">
        <v>520</v>
      </c>
      <c r="P754">
        <f t="shared" si="22"/>
        <v>1</v>
      </c>
      <c r="Q754" t="str">
        <f>IF(AND(P754&gt;1,COUNTIF($E$6:E754,E754)=1),MAX($Q$5:Q753)+1,"")</f>
        <v/>
      </c>
      <c r="R754" t="str">
        <f t="shared" si="23"/>
        <v/>
      </c>
    </row>
    <row r="755" spans="1:18" ht="22.95" customHeight="1">
      <c r="A755" t="s">
        <v>2196</v>
      </c>
      <c r="B755" t="s">
        <v>24</v>
      </c>
      <c r="C755" t="s">
        <v>426</v>
      </c>
      <c r="D755" t="s">
        <v>427</v>
      </c>
      <c r="E755" t="s">
        <v>2232</v>
      </c>
      <c r="F755">
        <v>1</v>
      </c>
      <c r="G755" t="s">
        <v>2233</v>
      </c>
      <c r="I755" t="s">
        <v>406</v>
      </c>
      <c r="K755" t="s">
        <v>406</v>
      </c>
      <c r="L755" t="s">
        <v>2234</v>
      </c>
      <c r="M755" t="s">
        <v>62</v>
      </c>
      <c r="N755" t="s">
        <v>63</v>
      </c>
      <c r="P755">
        <f t="shared" si="22"/>
        <v>1</v>
      </c>
      <c r="Q755" t="str">
        <f>IF(AND(P755&gt;1,COUNTIF($E$6:E755,E755)=1),MAX($Q$5:Q754)+1,"")</f>
        <v/>
      </c>
      <c r="R755" t="str">
        <f t="shared" si="23"/>
        <v/>
      </c>
    </row>
    <row r="756" spans="1:18" ht="22.95" customHeight="1">
      <c r="A756" t="s">
        <v>2196</v>
      </c>
      <c r="B756" t="s">
        <v>24</v>
      </c>
      <c r="C756" t="s">
        <v>426</v>
      </c>
      <c r="D756" t="s">
        <v>427</v>
      </c>
      <c r="E756" t="s">
        <v>2235</v>
      </c>
      <c r="F756">
        <v>1</v>
      </c>
      <c r="G756" t="s">
        <v>2233</v>
      </c>
      <c r="I756" t="s">
        <v>406</v>
      </c>
      <c r="K756" t="s">
        <v>406</v>
      </c>
      <c r="L756" t="s">
        <v>2236</v>
      </c>
      <c r="M756" t="s">
        <v>62</v>
      </c>
      <c r="N756" t="s">
        <v>63</v>
      </c>
      <c r="P756">
        <f t="shared" si="22"/>
        <v>1</v>
      </c>
      <c r="Q756" t="str">
        <f>IF(AND(P756&gt;1,COUNTIF($E$6:E756,E756)=1),MAX($Q$5:Q755)+1,"")</f>
        <v/>
      </c>
      <c r="R756" t="str">
        <f t="shared" si="23"/>
        <v/>
      </c>
    </row>
    <row r="757" spans="1:18" ht="22.95" customHeight="1">
      <c r="A757" t="s">
        <v>2196</v>
      </c>
      <c r="B757" t="s">
        <v>24</v>
      </c>
      <c r="C757" t="s">
        <v>426</v>
      </c>
      <c r="D757" t="s">
        <v>427</v>
      </c>
      <c r="E757" t="s">
        <v>2237</v>
      </c>
      <c r="F757">
        <v>1</v>
      </c>
      <c r="G757" t="s">
        <v>2233</v>
      </c>
      <c r="I757" t="s">
        <v>406</v>
      </c>
      <c r="K757" t="s">
        <v>406</v>
      </c>
      <c r="L757" t="s">
        <v>2234</v>
      </c>
      <c r="M757" t="s">
        <v>62</v>
      </c>
      <c r="N757" t="s">
        <v>63</v>
      </c>
      <c r="P757">
        <f t="shared" si="22"/>
        <v>1</v>
      </c>
      <c r="Q757" t="str">
        <f>IF(AND(P757&gt;1,COUNTIF($E$6:E757,E757)=1),MAX($Q$5:Q756)+1,"")</f>
        <v/>
      </c>
      <c r="R757" t="str">
        <f t="shared" si="23"/>
        <v/>
      </c>
    </row>
    <row r="758" spans="1:18" ht="22.95" customHeight="1">
      <c r="A758" t="s">
        <v>2196</v>
      </c>
      <c r="B758" t="s">
        <v>24</v>
      </c>
      <c r="C758" t="s">
        <v>426</v>
      </c>
      <c r="D758" t="s">
        <v>427</v>
      </c>
      <c r="E758" t="s">
        <v>2238</v>
      </c>
      <c r="F758">
        <v>1</v>
      </c>
      <c r="G758" t="s">
        <v>2233</v>
      </c>
      <c r="I758" t="s">
        <v>406</v>
      </c>
      <c r="K758" t="s">
        <v>406</v>
      </c>
      <c r="L758" t="s">
        <v>2234</v>
      </c>
      <c r="M758" t="s">
        <v>62</v>
      </c>
      <c r="N758" t="s">
        <v>63</v>
      </c>
      <c r="P758">
        <f t="shared" si="22"/>
        <v>1</v>
      </c>
      <c r="Q758" t="str">
        <f>IF(AND(P758&gt;1,COUNTIF($E$6:E758,E758)=1),MAX($Q$5:Q757)+1,"")</f>
        <v/>
      </c>
      <c r="R758" t="str">
        <f t="shared" si="23"/>
        <v/>
      </c>
    </row>
    <row r="759" spans="1:18" ht="22.95" customHeight="1">
      <c r="A759" t="s">
        <v>2196</v>
      </c>
      <c r="B759" t="s">
        <v>24</v>
      </c>
      <c r="C759" t="s">
        <v>426</v>
      </c>
      <c r="D759" t="s">
        <v>427</v>
      </c>
      <c r="E759" t="s">
        <v>2239</v>
      </c>
      <c r="F759">
        <v>1</v>
      </c>
      <c r="G759" t="s">
        <v>92</v>
      </c>
      <c r="I759" t="s">
        <v>2240</v>
      </c>
      <c r="K759" t="s">
        <v>109</v>
      </c>
      <c r="L759" t="s">
        <v>2241</v>
      </c>
      <c r="M759" t="s">
        <v>62</v>
      </c>
      <c r="N759" t="s">
        <v>63</v>
      </c>
      <c r="P759">
        <f t="shared" si="22"/>
        <v>1</v>
      </c>
      <c r="Q759" t="str">
        <f>IF(AND(P759&gt;1,COUNTIF($E$6:E759,E759)=1),MAX($Q$5:Q758)+1,"")</f>
        <v/>
      </c>
      <c r="R759" t="str">
        <f t="shared" si="23"/>
        <v/>
      </c>
    </row>
    <row r="760" spans="1:18" ht="22.95" customHeight="1">
      <c r="A760" t="s">
        <v>2196</v>
      </c>
      <c r="B760" t="s">
        <v>24</v>
      </c>
      <c r="C760" t="s">
        <v>431</v>
      </c>
      <c r="D760" t="s">
        <v>216</v>
      </c>
      <c r="E760" t="s">
        <v>2242</v>
      </c>
      <c r="F760">
        <v>1</v>
      </c>
      <c r="G760" t="s">
        <v>92</v>
      </c>
      <c r="I760" t="s">
        <v>406</v>
      </c>
      <c r="K760" t="s">
        <v>109</v>
      </c>
      <c r="L760" t="s">
        <v>2243</v>
      </c>
      <c r="M760" t="s">
        <v>102</v>
      </c>
      <c r="P760">
        <f t="shared" si="22"/>
        <v>1</v>
      </c>
      <c r="Q760" t="str">
        <f>IF(AND(P760&gt;1,COUNTIF($E$6:E760,E760)=1),MAX($Q$5:Q759)+1,"")</f>
        <v/>
      </c>
      <c r="R760" t="str">
        <f t="shared" si="23"/>
        <v/>
      </c>
    </row>
    <row r="761" spans="1:18" ht="22.95" customHeight="1">
      <c r="A761" t="s">
        <v>2196</v>
      </c>
      <c r="B761" t="s">
        <v>24</v>
      </c>
      <c r="C761" t="s">
        <v>136</v>
      </c>
      <c r="D761" t="s">
        <v>137</v>
      </c>
      <c r="E761" t="s">
        <v>2244</v>
      </c>
      <c r="F761">
        <v>1</v>
      </c>
      <c r="G761" t="s">
        <v>604</v>
      </c>
      <c r="H761" t="s">
        <v>2033</v>
      </c>
      <c r="I761" t="s">
        <v>2245</v>
      </c>
      <c r="K761" t="s">
        <v>2246</v>
      </c>
      <c r="L761" t="s">
        <v>2247</v>
      </c>
      <c r="M761" t="s">
        <v>73</v>
      </c>
      <c r="P761">
        <f t="shared" si="22"/>
        <v>1</v>
      </c>
      <c r="Q761" t="str">
        <f>IF(AND(P761&gt;1,COUNTIF($E$6:E761,E761)=1),MAX($Q$5:Q760)+1,"")</f>
        <v/>
      </c>
      <c r="R761" t="str">
        <f t="shared" si="23"/>
        <v/>
      </c>
    </row>
    <row r="762" spans="1:18" ht="22.95" customHeight="1">
      <c r="A762" t="s">
        <v>2196</v>
      </c>
      <c r="B762" t="s">
        <v>28</v>
      </c>
      <c r="C762" t="s">
        <v>146</v>
      </c>
      <c r="D762" t="s">
        <v>147</v>
      </c>
      <c r="E762" t="s">
        <v>2248</v>
      </c>
      <c r="F762">
        <v>1</v>
      </c>
      <c r="G762" t="s">
        <v>2249</v>
      </c>
      <c r="H762" t="s">
        <v>2250</v>
      </c>
      <c r="I762" t="s">
        <v>2251</v>
      </c>
      <c r="K762" t="s">
        <v>109</v>
      </c>
      <c r="L762" t="s">
        <v>2252</v>
      </c>
      <c r="M762" t="s">
        <v>102</v>
      </c>
      <c r="P762">
        <f t="shared" si="22"/>
        <v>1</v>
      </c>
      <c r="Q762" t="str">
        <f>IF(AND(P762&gt;1,COUNTIF($E$6:E762,E762)=1),MAX($Q$5:Q761)+1,"")</f>
        <v/>
      </c>
      <c r="R762" t="str">
        <f t="shared" si="23"/>
        <v/>
      </c>
    </row>
    <row r="763" spans="1:18" ht="22.95" customHeight="1">
      <c r="A763" t="s">
        <v>2196</v>
      </c>
      <c r="B763" t="s">
        <v>28</v>
      </c>
      <c r="C763" t="s">
        <v>146</v>
      </c>
      <c r="D763" t="s">
        <v>147</v>
      </c>
      <c r="E763" t="s">
        <v>2253</v>
      </c>
      <c r="F763">
        <v>1</v>
      </c>
      <c r="G763" t="s">
        <v>2249</v>
      </c>
      <c r="H763" t="s">
        <v>2250</v>
      </c>
      <c r="I763" t="s">
        <v>2254</v>
      </c>
      <c r="K763" t="s">
        <v>109</v>
      </c>
      <c r="L763" t="s">
        <v>2252</v>
      </c>
      <c r="M763" t="s">
        <v>102</v>
      </c>
      <c r="P763">
        <f t="shared" si="22"/>
        <v>1</v>
      </c>
      <c r="Q763" t="str">
        <f>IF(AND(P763&gt;1,COUNTIF($E$6:E763,E763)=1),MAX($Q$5:Q762)+1,"")</f>
        <v/>
      </c>
      <c r="R763" t="str">
        <f t="shared" si="23"/>
        <v/>
      </c>
    </row>
    <row r="764" spans="1:18" ht="22.95" customHeight="1">
      <c r="A764" t="s">
        <v>2196</v>
      </c>
      <c r="B764" t="s">
        <v>28</v>
      </c>
      <c r="C764" t="s">
        <v>146</v>
      </c>
      <c r="D764" t="s">
        <v>147</v>
      </c>
      <c r="E764" t="s">
        <v>2255</v>
      </c>
      <c r="F764">
        <v>1</v>
      </c>
      <c r="G764" t="s">
        <v>2249</v>
      </c>
      <c r="H764" t="s">
        <v>2250</v>
      </c>
      <c r="I764" t="s">
        <v>2256</v>
      </c>
      <c r="K764" t="s">
        <v>109</v>
      </c>
      <c r="L764" t="s">
        <v>2252</v>
      </c>
      <c r="M764" t="s">
        <v>102</v>
      </c>
      <c r="P764">
        <f t="shared" si="22"/>
        <v>1</v>
      </c>
      <c r="Q764" t="str">
        <f>IF(AND(P764&gt;1,COUNTIF($E$6:E764,E764)=1),MAX($Q$5:Q763)+1,"")</f>
        <v/>
      </c>
      <c r="R764" t="str">
        <f t="shared" si="23"/>
        <v/>
      </c>
    </row>
    <row r="765" spans="1:18" ht="22.95" customHeight="1">
      <c r="A765" t="s">
        <v>2196</v>
      </c>
      <c r="B765" t="s">
        <v>28</v>
      </c>
      <c r="C765" t="s">
        <v>146</v>
      </c>
      <c r="D765" t="s">
        <v>147</v>
      </c>
      <c r="E765" t="s">
        <v>2257</v>
      </c>
      <c r="F765">
        <v>1</v>
      </c>
      <c r="G765" t="s">
        <v>92</v>
      </c>
      <c r="I765" t="s">
        <v>2258</v>
      </c>
      <c r="K765" t="s">
        <v>2198</v>
      </c>
      <c r="L765" t="s">
        <v>2259</v>
      </c>
      <c r="M765" t="s">
        <v>62</v>
      </c>
      <c r="N765" t="s">
        <v>63</v>
      </c>
      <c r="P765">
        <f t="shared" si="22"/>
        <v>1</v>
      </c>
      <c r="Q765" t="str">
        <f>IF(AND(P765&gt;1,COUNTIF($E$6:E765,E765)=1),MAX($Q$5:Q764)+1,"")</f>
        <v/>
      </c>
      <c r="R765" t="str">
        <f t="shared" si="23"/>
        <v/>
      </c>
    </row>
    <row r="766" spans="1:18" ht="22.95" customHeight="1">
      <c r="A766" t="s">
        <v>2196</v>
      </c>
      <c r="B766" t="s">
        <v>30</v>
      </c>
      <c r="C766" t="s">
        <v>180</v>
      </c>
      <c r="D766" t="s">
        <v>181</v>
      </c>
      <c r="E766" t="s">
        <v>2260</v>
      </c>
      <c r="F766">
        <v>1</v>
      </c>
      <c r="G766" t="s">
        <v>92</v>
      </c>
      <c r="I766" t="s">
        <v>151</v>
      </c>
      <c r="K766" t="s">
        <v>2261</v>
      </c>
      <c r="L766" t="s">
        <v>2262</v>
      </c>
      <c r="M766" t="s">
        <v>73</v>
      </c>
      <c r="P766">
        <f t="shared" si="22"/>
        <v>1</v>
      </c>
      <c r="Q766" t="str">
        <f>IF(AND(P766&gt;1,COUNTIF($E$6:E766,E766)=1),MAX($Q$5:Q765)+1,"")</f>
        <v/>
      </c>
      <c r="R766" t="str">
        <f t="shared" si="23"/>
        <v/>
      </c>
    </row>
    <row r="767" spans="1:18" ht="22.95" customHeight="1">
      <c r="A767" t="s">
        <v>2196</v>
      </c>
      <c r="B767" t="s">
        <v>30</v>
      </c>
      <c r="C767" t="s">
        <v>180</v>
      </c>
      <c r="D767" t="s">
        <v>181</v>
      </c>
      <c r="E767" t="s">
        <v>2263</v>
      </c>
      <c r="F767">
        <v>1</v>
      </c>
      <c r="G767" t="s">
        <v>92</v>
      </c>
      <c r="I767" t="s">
        <v>2264</v>
      </c>
      <c r="K767" t="s">
        <v>2265</v>
      </c>
      <c r="L767" t="s">
        <v>2266</v>
      </c>
      <c r="M767" t="s">
        <v>102</v>
      </c>
      <c r="P767">
        <f t="shared" si="22"/>
        <v>1</v>
      </c>
      <c r="Q767" t="str">
        <f>IF(AND(P767&gt;1,COUNTIF($E$6:E767,E767)=1),MAX($Q$5:Q766)+1,"")</f>
        <v/>
      </c>
      <c r="R767" t="str">
        <f t="shared" si="23"/>
        <v/>
      </c>
    </row>
    <row r="768" spans="1:18" ht="22.95" customHeight="1">
      <c r="A768" t="s">
        <v>2196</v>
      </c>
      <c r="B768" t="s">
        <v>30</v>
      </c>
      <c r="C768" t="s">
        <v>180</v>
      </c>
      <c r="D768" t="s">
        <v>181</v>
      </c>
      <c r="E768" t="s">
        <v>2267</v>
      </c>
      <c r="F768">
        <v>1</v>
      </c>
      <c r="G768" t="s">
        <v>92</v>
      </c>
      <c r="I768" t="s">
        <v>2264</v>
      </c>
      <c r="K768" t="s">
        <v>2265</v>
      </c>
      <c r="L768" t="s">
        <v>2266</v>
      </c>
      <c r="M768" t="s">
        <v>102</v>
      </c>
      <c r="P768">
        <f t="shared" si="22"/>
        <v>1</v>
      </c>
      <c r="Q768" t="str">
        <f>IF(AND(P768&gt;1,COUNTIF($E$6:E768,E768)=1),MAX($Q$5:Q767)+1,"")</f>
        <v/>
      </c>
      <c r="R768" t="str">
        <f t="shared" si="23"/>
        <v/>
      </c>
    </row>
    <row r="769" spans="1:18" ht="22.95" customHeight="1">
      <c r="A769" t="s">
        <v>2196</v>
      </c>
      <c r="B769" t="s">
        <v>30</v>
      </c>
      <c r="C769" t="s">
        <v>180</v>
      </c>
      <c r="D769" t="s">
        <v>181</v>
      </c>
      <c r="E769" t="s">
        <v>2268</v>
      </c>
      <c r="F769">
        <v>1</v>
      </c>
      <c r="G769" t="s">
        <v>92</v>
      </c>
      <c r="I769" t="s">
        <v>2264</v>
      </c>
      <c r="K769" t="s">
        <v>2265</v>
      </c>
      <c r="L769" t="s">
        <v>2266</v>
      </c>
      <c r="M769" t="s">
        <v>102</v>
      </c>
      <c r="P769">
        <f t="shared" si="22"/>
        <v>1</v>
      </c>
      <c r="Q769" t="str">
        <f>IF(AND(P769&gt;1,COUNTIF($E$6:E769,E769)=1),MAX($Q$5:Q768)+1,"")</f>
        <v/>
      </c>
      <c r="R769" t="str">
        <f t="shared" si="23"/>
        <v/>
      </c>
    </row>
    <row r="770" spans="1:18" ht="22.95" customHeight="1">
      <c r="A770" t="s">
        <v>2196</v>
      </c>
      <c r="B770" t="s">
        <v>30</v>
      </c>
      <c r="C770" t="s">
        <v>180</v>
      </c>
      <c r="D770" t="s">
        <v>181</v>
      </c>
      <c r="E770" t="s">
        <v>2269</v>
      </c>
      <c r="F770">
        <v>1</v>
      </c>
      <c r="G770" t="s">
        <v>92</v>
      </c>
      <c r="I770" t="s">
        <v>2264</v>
      </c>
      <c r="K770" t="s">
        <v>2265</v>
      </c>
      <c r="L770" t="s">
        <v>2266</v>
      </c>
      <c r="M770" t="s">
        <v>102</v>
      </c>
      <c r="P770">
        <f t="shared" si="22"/>
        <v>1</v>
      </c>
      <c r="Q770" t="str">
        <f>IF(AND(P770&gt;1,COUNTIF($E$6:E770,E770)=1),MAX($Q$5:Q769)+1,"")</f>
        <v/>
      </c>
      <c r="R770" t="str">
        <f t="shared" si="23"/>
        <v/>
      </c>
    </row>
    <row r="771" spans="1:18" ht="22.95" customHeight="1">
      <c r="A771" t="s">
        <v>2196</v>
      </c>
      <c r="B771" t="s">
        <v>30</v>
      </c>
      <c r="C771" t="s">
        <v>180</v>
      </c>
      <c r="D771" t="s">
        <v>181</v>
      </c>
      <c r="E771" t="s">
        <v>2270</v>
      </c>
      <c r="F771">
        <v>1</v>
      </c>
      <c r="G771" t="s">
        <v>2271</v>
      </c>
      <c r="H771" t="s">
        <v>2272</v>
      </c>
      <c r="I771" t="s">
        <v>406</v>
      </c>
      <c r="K771" t="s">
        <v>406</v>
      </c>
      <c r="L771" t="s">
        <v>2273</v>
      </c>
      <c r="M771" t="s">
        <v>62</v>
      </c>
      <c r="N771" t="s">
        <v>130</v>
      </c>
      <c r="P771">
        <f t="shared" si="22"/>
        <v>1</v>
      </c>
      <c r="Q771" t="str">
        <f>IF(AND(P771&gt;1,COUNTIF($E$6:E771,E771)=1),MAX($Q$5:Q770)+1,"")</f>
        <v/>
      </c>
      <c r="R771" t="str">
        <f t="shared" si="23"/>
        <v/>
      </c>
    </row>
    <row r="772" spans="1:18" ht="22.95" customHeight="1">
      <c r="A772" t="s">
        <v>2196</v>
      </c>
      <c r="B772" t="s">
        <v>30</v>
      </c>
      <c r="C772" t="s">
        <v>188</v>
      </c>
      <c r="D772" t="s">
        <v>189</v>
      </c>
      <c r="E772" t="s">
        <v>2274</v>
      </c>
      <c r="F772">
        <v>1</v>
      </c>
      <c r="G772" t="s">
        <v>2275</v>
      </c>
      <c r="H772" t="s">
        <v>2276</v>
      </c>
      <c r="I772" t="s">
        <v>140</v>
      </c>
      <c r="L772" t="s">
        <v>2277</v>
      </c>
      <c r="M772" t="s">
        <v>62</v>
      </c>
      <c r="N772" t="s">
        <v>811</v>
      </c>
      <c r="P772">
        <f t="shared" si="22"/>
        <v>1</v>
      </c>
      <c r="Q772" t="str">
        <f>IF(AND(P772&gt;1,COUNTIF($E$6:E772,E772)=1),MAX($Q$5:Q771)+1,"")</f>
        <v/>
      </c>
      <c r="R772" t="str">
        <f t="shared" si="23"/>
        <v/>
      </c>
    </row>
    <row r="773" spans="1:18" ht="22.95" customHeight="1">
      <c r="A773" t="s">
        <v>2196</v>
      </c>
      <c r="B773" t="s">
        <v>30</v>
      </c>
      <c r="C773" t="s">
        <v>188</v>
      </c>
      <c r="D773" t="s">
        <v>189</v>
      </c>
      <c r="E773" t="s">
        <v>2278</v>
      </c>
      <c r="F773">
        <v>1</v>
      </c>
      <c r="G773" t="s">
        <v>2275</v>
      </c>
      <c r="H773" t="s">
        <v>2276</v>
      </c>
      <c r="I773" t="s">
        <v>2279</v>
      </c>
      <c r="K773" t="s">
        <v>2280</v>
      </c>
      <c r="L773" t="s">
        <v>2281</v>
      </c>
      <c r="M773" t="s">
        <v>73</v>
      </c>
      <c r="P773">
        <f t="shared" si="22"/>
        <v>1</v>
      </c>
      <c r="Q773" t="str">
        <f>IF(AND(P773&gt;1,COUNTIF($E$6:E773,E773)=1),MAX($Q$5:Q772)+1,"")</f>
        <v/>
      </c>
      <c r="R773" t="str">
        <f t="shared" si="23"/>
        <v/>
      </c>
    </row>
    <row r="774" spans="1:18" ht="22.95" customHeight="1">
      <c r="A774" t="s">
        <v>2196</v>
      </c>
      <c r="B774" t="s">
        <v>30</v>
      </c>
      <c r="C774" t="s">
        <v>188</v>
      </c>
      <c r="D774" t="s">
        <v>189</v>
      </c>
      <c r="E774" t="s">
        <v>2282</v>
      </c>
      <c r="F774">
        <v>1</v>
      </c>
      <c r="G774" t="s">
        <v>2275</v>
      </c>
      <c r="H774" t="s">
        <v>2276</v>
      </c>
      <c r="I774" t="s">
        <v>2279</v>
      </c>
      <c r="K774" t="s">
        <v>2280</v>
      </c>
      <c r="L774" t="s">
        <v>2281</v>
      </c>
      <c r="M774" t="s">
        <v>73</v>
      </c>
      <c r="P774">
        <f t="shared" ref="P774:P837" si="24">COUNTIF($E$6:$E$1740,E774)</f>
        <v>1</v>
      </c>
      <c r="Q774" t="str">
        <f>IF(AND(P774&gt;1,COUNTIF($E$6:E774,E774)=1),MAX($Q$5:Q773)+1,"")</f>
        <v/>
      </c>
      <c r="R774" t="str">
        <f t="shared" ref="R774:R837" si="25">IF(Q774="","",IF(COUNTIFS($E$6:$E$1740,E774,$A$6:$A$1740,A774,$C$6:$C$1740,C774)&lt;P774,"LÉGITIME",IF(COUNTIFS($E$6:$E$1740,E774,$A$6:$A$1740,A774,$C$6:$C$1740,C774,$M$6:$M$1740,M774)&lt;P774,"STATUT DIFFÉRENT","VRAI DOUBLON")))</f>
        <v/>
      </c>
    </row>
    <row r="775" spans="1:18" ht="22.95" customHeight="1">
      <c r="A775" t="s">
        <v>2196</v>
      </c>
      <c r="B775" t="s">
        <v>30</v>
      </c>
      <c r="C775" t="s">
        <v>188</v>
      </c>
      <c r="D775" t="s">
        <v>255</v>
      </c>
      <c r="E775" t="s">
        <v>2283</v>
      </c>
      <c r="F775">
        <v>1</v>
      </c>
      <c r="G775" t="s">
        <v>2284</v>
      </c>
      <c r="H775" t="s">
        <v>2285</v>
      </c>
      <c r="I775" t="s">
        <v>2286</v>
      </c>
      <c r="K775" t="s">
        <v>2287</v>
      </c>
      <c r="L775" t="s">
        <v>2288</v>
      </c>
      <c r="M775" t="s">
        <v>73</v>
      </c>
      <c r="P775">
        <f t="shared" si="24"/>
        <v>1</v>
      </c>
      <c r="Q775" t="str">
        <f>IF(AND(P775&gt;1,COUNTIF($E$6:E775,E775)=1),MAX($Q$5:Q774)+1,"")</f>
        <v/>
      </c>
      <c r="R775" t="str">
        <f t="shared" si="25"/>
        <v/>
      </c>
    </row>
    <row r="776" spans="1:18" ht="22.95" customHeight="1">
      <c r="A776" t="s">
        <v>2196</v>
      </c>
      <c r="B776" t="s">
        <v>26</v>
      </c>
      <c r="C776" t="s">
        <v>196</v>
      </c>
      <c r="D776" t="s">
        <v>197</v>
      </c>
      <c r="E776" t="s">
        <v>2289</v>
      </c>
      <c r="F776">
        <v>1</v>
      </c>
      <c r="G776" t="s">
        <v>2290</v>
      </c>
      <c r="H776" t="s">
        <v>1421</v>
      </c>
      <c r="I776" t="s">
        <v>406</v>
      </c>
      <c r="K776" t="s">
        <v>406</v>
      </c>
      <c r="L776" t="s">
        <v>2291</v>
      </c>
      <c r="M776" t="s">
        <v>102</v>
      </c>
      <c r="P776">
        <f t="shared" si="24"/>
        <v>1</v>
      </c>
      <c r="Q776" t="str">
        <f>IF(AND(P776&gt;1,COUNTIF($E$6:E776,E776)=1),MAX($Q$5:Q775)+1,"")</f>
        <v/>
      </c>
      <c r="R776" t="str">
        <f t="shared" si="25"/>
        <v/>
      </c>
    </row>
    <row r="777" spans="1:18" ht="22.95" customHeight="1">
      <c r="A777" t="s">
        <v>2196</v>
      </c>
      <c r="B777" t="s">
        <v>26</v>
      </c>
      <c r="C777" t="s">
        <v>196</v>
      </c>
      <c r="D777" t="s">
        <v>197</v>
      </c>
      <c r="E777" t="s">
        <v>2292</v>
      </c>
      <c r="F777">
        <v>1</v>
      </c>
      <c r="G777" t="s">
        <v>2293</v>
      </c>
      <c r="H777" t="s">
        <v>2294</v>
      </c>
      <c r="I777" t="s">
        <v>151</v>
      </c>
      <c r="K777" t="s">
        <v>109</v>
      </c>
      <c r="L777" t="s">
        <v>2295</v>
      </c>
      <c r="M777" t="s">
        <v>73</v>
      </c>
      <c r="P777">
        <f t="shared" si="24"/>
        <v>1</v>
      </c>
      <c r="Q777" t="str">
        <f>IF(AND(P777&gt;1,COUNTIF($E$6:E777,E777)=1),MAX($Q$5:Q776)+1,"")</f>
        <v/>
      </c>
      <c r="R777" t="str">
        <f t="shared" si="25"/>
        <v/>
      </c>
    </row>
    <row r="778" spans="1:18" ht="22.95" customHeight="1">
      <c r="A778" t="s">
        <v>2196</v>
      </c>
      <c r="B778" t="s">
        <v>26</v>
      </c>
      <c r="C778" t="s">
        <v>196</v>
      </c>
      <c r="D778" t="s">
        <v>197</v>
      </c>
      <c r="E778" t="s">
        <v>2296</v>
      </c>
      <c r="F778">
        <v>1</v>
      </c>
      <c r="G778" t="s">
        <v>2297</v>
      </c>
      <c r="H778" t="s">
        <v>2298</v>
      </c>
      <c r="I778" t="s">
        <v>2299</v>
      </c>
      <c r="K778" t="s">
        <v>109</v>
      </c>
      <c r="L778" t="s">
        <v>2300</v>
      </c>
      <c r="M778" t="s">
        <v>73</v>
      </c>
      <c r="P778">
        <f t="shared" si="24"/>
        <v>1</v>
      </c>
      <c r="Q778" t="str">
        <f>IF(AND(P778&gt;1,COUNTIF($E$6:E778,E778)=1),MAX($Q$5:Q777)+1,"")</f>
        <v/>
      </c>
      <c r="R778" t="str">
        <f t="shared" si="25"/>
        <v/>
      </c>
    </row>
    <row r="779" spans="1:18" ht="22.95" customHeight="1">
      <c r="A779" t="s">
        <v>2196</v>
      </c>
      <c r="B779" t="s">
        <v>26</v>
      </c>
      <c r="C779" t="s">
        <v>196</v>
      </c>
      <c r="D779" t="s">
        <v>197</v>
      </c>
      <c r="E779" t="s">
        <v>2301</v>
      </c>
      <c r="F779">
        <v>1</v>
      </c>
      <c r="G779" t="s">
        <v>2302</v>
      </c>
      <c r="H779" t="s">
        <v>2285</v>
      </c>
      <c r="I779" t="s">
        <v>2303</v>
      </c>
      <c r="K779" t="s">
        <v>960</v>
      </c>
      <c r="L779" t="s">
        <v>2304</v>
      </c>
      <c r="M779" t="s">
        <v>73</v>
      </c>
      <c r="P779">
        <f t="shared" si="24"/>
        <v>1</v>
      </c>
      <c r="Q779" t="str">
        <f>IF(AND(P779&gt;1,COUNTIF($E$6:E779,E779)=1),MAX($Q$5:Q778)+1,"")</f>
        <v/>
      </c>
      <c r="R779" t="str">
        <f t="shared" si="25"/>
        <v/>
      </c>
    </row>
    <row r="780" spans="1:18" ht="22.95" customHeight="1">
      <c r="A780" t="s">
        <v>2196</v>
      </c>
      <c r="B780" t="s">
        <v>26</v>
      </c>
      <c r="C780" t="s">
        <v>196</v>
      </c>
      <c r="D780" t="s">
        <v>197</v>
      </c>
      <c r="E780" t="s">
        <v>2305</v>
      </c>
      <c r="F780">
        <v>1</v>
      </c>
      <c r="G780" t="s">
        <v>2302</v>
      </c>
      <c r="H780" t="s">
        <v>2285</v>
      </c>
      <c r="I780" t="s">
        <v>2306</v>
      </c>
      <c r="K780" t="s">
        <v>960</v>
      </c>
      <c r="L780" t="s">
        <v>2304</v>
      </c>
      <c r="M780" t="s">
        <v>73</v>
      </c>
      <c r="P780">
        <f t="shared" si="24"/>
        <v>1</v>
      </c>
      <c r="Q780" t="str">
        <f>IF(AND(P780&gt;1,COUNTIF($E$6:E780,E780)=1),MAX($Q$5:Q779)+1,"")</f>
        <v/>
      </c>
      <c r="R780" t="str">
        <f t="shared" si="25"/>
        <v/>
      </c>
    </row>
    <row r="781" spans="1:18" ht="22.95" customHeight="1">
      <c r="A781" t="s">
        <v>2196</v>
      </c>
      <c r="B781" t="s">
        <v>26</v>
      </c>
      <c r="C781" t="s">
        <v>196</v>
      </c>
      <c r="D781" t="s">
        <v>197</v>
      </c>
      <c r="E781" t="s">
        <v>2307</v>
      </c>
      <c r="F781">
        <v>1</v>
      </c>
      <c r="I781" t="s">
        <v>2308</v>
      </c>
      <c r="K781" t="s">
        <v>109</v>
      </c>
      <c r="L781" t="s">
        <v>2309</v>
      </c>
      <c r="M781" t="s">
        <v>62</v>
      </c>
      <c r="N781" t="s">
        <v>2310</v>
      </c>
      <c r="P781">
        <f t="shared" si="24"/>
        <v>1</v>
      </c>
      <c r="Q781" t="str">
        <f>IF(AND(P781&gt;1,COUNTIF($E$6:E781,E781)=1),MAX($Q$5:Q780)+1,"")</f>
        <v/>
      </c>
      <c r="R781" t="str">
        <f t="shared" si="25"/>
        <v/>
      </c>
    </row>
    <row r="782" spans="1:18" ht="22.95" customHeight="1">
      <c r="A782" t="s">
        <v>2196</v>
      </c>
      <c r="B782" t="s">
        <v>26</v>
      </c>
      <c r="C782" t="s">
        <v>196</v>
      </c>
      <c r="D782" t="s">
        <v>197</v>
      </c>
      <c r="E782" t="s">
        <v>2311</v>
      </c>
      <c r="F782">
        <v>1</v>
      </c>
      <c r="I782" t="s">
        <v>2312</v>
      </c>
      <c r="K782" t="s">
        <v>109</v>
      </c>
      <c r="L782" t="s">
        <v>2313</v>
      </c>
      <c r="M782" t="s">
        <v>62</v>
      </c>
      <c r="N782" t="s">
        <v>2310</v>
      </c>
      <c r="P782">
        <f t="shared" si="24"/>
        <v>1</v>
      </c>
      <c r="Q782" t="str">
        <f>IF(AND(P782&gt;1,COUNTIF($E$6:E782,E782)=1),MAX($Q$5:Q781)+1,"")</f>
        <v/>
      </c>
      <c r="R782" t="str">
        <f t="shared" si="25"/>
        <v/>
      </c>
    </row>
    <row r="783" spans="1:18" ht="22.95" customHeight="1">
      <c r="A783" t="s">
        <v>2196</v>
      </c>
      <c r="B783" t="s">
        <v>33</v>
      </c>
      <c r="C783" t="s">
        <v>2314</v>
      </c>
      <c r="D783" t="s">
        <v>2315</v>
      </c>
      <c r="E783" t="s">
        <v>2316</v>
      </c>
      <c r="F783">
        <v>1</v>
      </c>
      <c r="G783" t="s">
        <v>92</v>
      </c>
      <c r="I783" t="s">
        <v>2317</v>
      </c>
      <c r="K783" t="s">
        <v>109</v>
      </c>
      <c r="L783" t="s">
        <v>2318</v>
      </c>
      <c r="M783" t="s">
        <v>73</v>
      </c>
      <c r="P783">
        <f t="shared" si="24"/>
        <v>1</v>
      </c>
      <c r="Q783" t="str">
        <f>IF(AND(P783&gt;1,COUNTIF($E$6:E783,E783)=1),MAX($Q$5:Q782)+1,"")</f>
        <v/>
      </c>
      <c r="R783" t="str">
        <f t="shared" si="25"/>
        <v/>
      </c>
    </row>
    <row r="784" spans="1:18" ht="22.95" customHeight="1">
      <c r="A784" t="s">
        <v>2196</v>
      </c>
      <c r="B784" t="s">
        <v>33</v>
      </c>
      <c r="C784" t="s">
        <v>2103</v>
      </c>
      <c r="D784" t="s">
        <v>2104</v>
      </c>
      <c r="E784" t="s">
        <v>2319</v>
      </c>
      <c r="F784">
        <v>1</v>
      </c>
      <c r="G784" t="s">
        <v>92</v>
      </c>
      <c r="I784" t="s">
        <v>2320</v>
      </c>
      <c r="K784" t="s">
        <v>2321</v>
      </c>
      <c r="L784" t="s">
        <v>2322</v>
      </c>
      <c r="M784" t="s">
        <v>73</v>
      </c>
      <c r="P784">
        <f t="shared" si="24"/>
        <v>1</v>
      </c>
      <c r="Q784" t="str">
        <f>IF(AND(P784&gt;1,COUNTIF($E$6:E784,E784)=1),MAX($Q$5:Q783)+1,"")</f>
        <v/>
      </c>
      <c r="R784" t="str">
        <f t="shared" si="25"/>
        <v/>
      </c>
    </row>
    <row r="785" spans="1:18" ht="22.95" customHeight="1">
      <c r="A785" t="s">
        <v>2196</v>
      </c>
      <c r="B785" t="s">
        <v>33</v>
      </c>
      <c r="C785" t="s">
        <v>2103</v>
      </c>
      <c r="D785" t="s">
        <v>2104</v>
      </c>
      <c r="E785" t="s">
        <v>2323</v>
      </c>
      <c r="F785">
        <v>1</v>
      </c>
      <c r="G785" t="s">
        <v>92</v>
      </c>
      <c r="I785" t="s">
        <v>2324</v>
      </c>
      <c r="K785" t="s">
        <v>2321</v>
      </c>
      <c r="L785" t="s">
        <v>2325</v>
      </c>
      <c r="M785" t="s">
        <v>102</v>
      </c>
      <c r="P785">
        <f t="shared" si="24"/>
        <v>1</v>
      </c>
      <c r="Q785" t="str">
        <f>IF(AND(P785&gt;1,COUNTIF($E$6:E785,E785)=1),MAX($Q$5:Q784)+1,"")</f>
        <v/>
      </c>
      <c r="R785" t="str">
        <f t="shared" si="25"/>
        <v/>
      </c>
    </row>
    <row r="786" spans="1:18" ht="22.95" customHeight="1">
      <c r="A786" t="s">
        <v>2196</v>
      </c>
      <c r="B786" t="s">
        <v>33</v>
      </c>
      <c r="C786" t="s">
        <v>2103</v>
      </c>
      <c r="D786" t="s">
        <v>2104</v>
      </c>
      <c r="E786" t="s">
        <v>2326</v>
      </c>
      <c r="F786">
        <v>1</v>
      </c>
      <c r="G786" t="s">
        <v>92</v>
      </c>
      <c r="I786" t="s">
        <v>2327</v>
      </c>
      <c r="K786" t="s">
        <v>2321</v>
      </c>
      <c r="L786" t="s">
        <v>2322</v>
      </c>
      <c r="M786" t="s">
        <v>73</v>
      </c>
      <c r="P786">
        <f t="shared" si="24"/>
        <v>1</v>
      </c>
      <c r="Q786" t="str">
        <f>IF(AND(P786&gt;1,COUNTIF($E$6:E786,E786)=1),MAX($Q$5:Q785)+1,"")</f>
        <v/>
      </c>
      <c r="R786" t="str">
        <f t="shared" si="25"/>
        <v/>
      </c>
    </row>
    <row r="787" spans="1:18" ht="22.95" customHeight="1">
      <c r="A787" t="s">
        <v>2196</v>
      </c>
      <c r="B787" t="s">
        <v>31</v>
      </c>
      <c r="C787" t="s">
        <v>491</v>
      </c>
      <c r="D787" t="s">
        <v>492</v>
      </c>
      <c r="E787" t="s">
        <v>2328</v>
      </c>
      <c r="F787">
        <v>1</v>
      </c>
      <c r="G787" t="s">
        <v>2329</v>
      </c>
      <c r="H787" t="s">
        <v>1127</v>
      </c>
      <c r="I787" t="s">
        <v>406</v>
      </c>
      <c r="L787" t="s">
        <v>2330</v>
      </c>
      <c r="M787" t="s">
        <v>73</v>
      </c>
      <c r="P787">
        <f t="shared" si="24"/>
        <v>1</v>
      </c>
      <c r="Q787" t="str">
        <f>IF(AND(P787&gt;1,COUNTIF($E$6:E787,E787)=1),MAX($Q$5:Q786)+1,"")</f>
        <v/>
      </c>
      <c r="R787" t="str">
        <f t="shared" si="25"/>
        <v/>
      </c>
    </row>
    <row r="788" spans="1:18" ht="22.95" customHeight="1">
      <c r="A788" t="s">
        <v>2196</v>
      </c>
      <c r="B788" t="s">
        <v>31</v>
      </c>
      <c r="C788" t="s">
        <v>491</v>
      </c>
      <c r="D788" t="s">
        <v>492</v>
      </c>
      <c r="E788" t="s">
        <v>2331</v>
      </c>
      <c r="F788">
        <v>1</v>
      </c>
      <c r="G788" t="s">
        <v>2329</v>
      </c>
      <c r="H788" t="s">
        <v>1127</v>
      </c>
      <c r="I788" t="s">
        <v>406</v>
      </c>
      <c r="L788" t="s">
        <v>2330</v>
      </c>
      <c r="M788" t="s">
        <v>73</v>
      </c>
      <c r="P788">
        <f t="shared" si="24"/>
        <v>1</v>
      </c>
      <c r="Q788" t="str">
        <f>IF(AND(P788&gt;1,COUNTIF($E$6:E788,E788)=1),MAX($Q$5:Q787)+1,"")</f>
        <v/>
      </c>
      <c r="R788" t="str">
        <f t="shared" si="25"/>
        <v/>
      </c>
    </row>
    <row r="789" spans="1:18" ht="22.95" customHeight="1">
      <c r="A789" t="s">
        <v>2196</v>
      </c>
      <c r="B789" t="s">
        <v>32</v>
      </c>
      <c r="C789" t="s">
        <v>200</v>
      </c>
      <c r="D789" t="s">
        <v>201</v>
      </c>
      <c r="E789" t="s">
        <v>2332</v>
      </c>
      <c r="F789">
        <v>1</v>
      </c>
      <c r="G789" t="s">
        <v>92</v>
      </c>
      <c r="I789" t="s">
        <v>2333</v>
      </c>
      <c r="J789" t="s">
        <v>672</v>
      </c>
      <c r="K789" t="s">
        <v>109</v>
      </c>
      <c r="L789" t="s">
        <v>2334</v>
      </c>
      <c r="M789" t="s">
        <v>102</v>
      </c>
      <c r="P789">
        <f t="shared" si="24"/>
        <v>1</v>
      </c>
      <c r="Q789" t="str">
        <f>IF(AND(P789&gt;1,COUNTIF($E$6:E789,E789)=1),MAX($Q$5:Q788)+1,"")</f>
        <v/>
      </c>
      <c r="R789" t="str">
        <f t="shared" si="25"/>
        <v/>
      </c>
    </row>
    <row r="790" spans="1:18" ht="22.95" customHeight="1">
      <c r="A790" t="s">
        <v>2196</v>
      </c>
      <c r="B790" t="s">
        <v>29</v>
      </c>
      <c r="C790" t="s">
        <v>1084</v>
      </c>
      <c r="D790" t="s">
        <v>1085</v>
      </c>
      <c r="E790" t="s">
        <v>2335</v>
      </c>
      <c r="F790">
        <v>1</v>
      </c>
      <c r="G790" t="s">
        <v>2336</v>
      </c>
      <c r="H790" t="s">
        <v>2337</v>
      </c>
      <c r="K790" t="s">
        <v>2338</v>
      </c>
      <c r="L790" t="s">
        <v>2339</v>
      </c>
      <c r="M790" t="s">
        <v>73</v>
      </c>
      <c r="P790">
        <f t="shared" si="24"/>
        <v>1</v>
      </c>
      <c r="Q790" t="str">
        <f>IF(AND(P790&gt;1,COUNTIF($E$6:E790,E790)=1),MAX($Q$5:Q789)+1,"")</f>
        <v/>
      </c>
      <c r="R790" t="str">
        <f t="shared" si="25"/>
        <v/>
      </c>
    </row>
    <row r="791" spans="1:18" ht="22.95" customHeight="1">
      <c r="A791" t="s">
        <v>2196</v>
      </c>
      <c r="B791" t="s">
        <v>29</v>
      </c>
      <c r="C791" t="s">
        <v>1084</v>
      </c>
      <c r="D791" t="s">
        <v>1085</v>
      </c>
      <c r="E791" t="s">
        <v>2340</v>
      </c>
      <c r="F791">
        <v>1</v>
      </c>
      <c r="G791" t="s">
        <v>2336</v>
      </c>
      <c r="H791" t="s">
        <v>2337</v>
      </c>
      <c r="K791" t="s">
        <v>2338</v>
      </c>
      <c r="L791" t="s">
        <v>2341</v>
      </c>
      <c r="M791" t="s">
        <v>73</v>
      </c>
      <c r="P791">
        <f t="shared" si="24"/>
        <v>1</v>
      </c>
      <c r="Q791" t="str">
        <f>IF(AND(P791&gt;1,COUNTIF($E$6:E791,E791)=1),MAX($Q$5:Q790)+1,"")</f>
        <v/>
      </c>
      <c r="R791" t="str">
        <f t="shared" si="25"/>
        <v/>
      </c>
    </row>
    <row r="792" spans="1:18" ht="22.95" customHeight="1">
      <c r="A792" t="s">
        <v>2196</v>
      </c>
      <c r="B792" t="s">
        <v>29</v>
      </c>
      <c r="C792" t="s">
        <v>1084</v>
      </c>
      <c r="D792" t="s">
        <v>1085</v>
      </c>
      <c r="E792" t="s">
        <v>2342</v>
      </c>
      <c r="F792">
        <v>1</v>
      </c>
      <c r="G792" t="s">
        <v>2343</v>
      </c>
      <c r="I792" t="s">
        <v>2344</v>
      </c>
      <c r="J792" t="s">
        <v>245</v>
      </c>
      <c r="K792" t="s">
        <v>78</v>
      </c>
      <c r="L792" t="s">
        <v>2345</v>
      </c>
      <c r="M792" t="s">
        <v>73</v>
      </c>
      <c r="P792">
        <f t="shared" si="24"/>
        <v>1</v>
      </c>
      <c r="Q792" t="str">
        <f>IF(AND(P792&gt;1,COUNTIF($E$6:E792,E792)=1),MAX($Q$5:Q791)+1,"")</f>
        <v/>
      </c>
      <c r="R792" t="str">
        <f t="shared" si="25"/>
        <v/>
      </c>
    </row>
    <row r="793" spans="1:18" ht="22.95" customHeight="1">
      <c r="A793" t="s">
        <v>2196</v>
      </c>
      <c r="B793" t="s">
        <v>29</v>
      </c>
      <c r="C793" t="s">
        <v>1084</v>
      </c>
      <c r="D793" t="s">
        <v>1085</v>
      </c>
      <c r="E793" t="s">
        <v>2346</v>
      </c>
      <c r="F793">
        <v>1</v>
      </c>
      <c r="G793" t="s">
        <v>2343</v>
      </c>
      <c r="I793" t="s">
        <v>2347</v>
      </c>
      <c r="K793" t="s">
        <v>2348</v>
      </c>
      <c r="L793" t="s">
        <v>2349</v>
      </c>
      <c r="M793" t="s">
        <v>73</v>
      </c>
      <c r="P793">
        <f t="shared" si="24"/>
        <v>1</v>
      </c>
      <c r="Q793" t="str">
        <f>IF(AND(P793&gt;1,COUNTIF($E$6:E793,E793)=1),MAX($Q$5:Q792)+1,"")</f>
        <v/>
      </c>
      <c r="R793" t="str">
        <f t="shared" si="25"/>
        <v/>
      </c>
    </row>
    <row r="794" spans="1:18" ht="22.95" customHeight="1">
      <c r="A794" t="s">
        <v>2196</v>
      </c>
      <c r="B794" t="s">
        <v>29</v>
      </c>
      <c r="C794" t="s">
        <v>1084</v>
      </c>
      <c r="D794" t="s">
        <v>1085</v>
      </c>
      <c r="E794" t="s">
        <v>2350</v>
      </c>
      <c r="F794">
        <v>1</v>
      </c>
      <c r="G794" t="s">
        <v>2343</v>
      </c>
      <c r="I794" t="s">
        <v>2347</v>
      </c>
      <c r="K794" t="s">
        <v>2348</v>
      </c>
      <c r="L794" t="s">
        <v>2349</v>
      </c>
      <c r="M794" t="s">
        <v>73</v>
      </c>
      <c r="P794">
        <f t="shared" si="24"/>
        <v>1</v>
      </c>
      <c r="Q794" t="str">
        <f>IF(AND(P794&gt;1,COUNTIF($E$6:E794,E794)=1),MAX($Q$5:Q793)+1,"")</f>
        <v/>
      </c>
      <c r="R794" t="str">
        <f t="shared" si="25"/>
        <v/>
      </c>
    </row>
    <row r="795" spans="1:18" ht="22.95" customHeight="1">
      <c r="A795" t="s">
        <v>2196</v>
      </c>
      <c r="B795" t="s">
        <v>29</v>
      </c>
      <c r="C795" t="s">
        <v>1084</v>
      </c>
      <c r="D795" t="s">
        <v>1085</v>
      </c>
      <c r="E795" t="s">
        <v>2351</v>
      </c>
      <c r="F795">
        <v>1</v>
      </c>
      <c r="G795" t="s">
        <v>2343</v>
      </c>
      <c r="I795" t="s">
        <v>2347</v>
      </c>
      <c r="K795" t="s">
        <v>2348</v>
      </c>
      <c r="L795" t="s">
        <v>2349</v>
      </c>
      <c r="M795" t="s">
        <v>73</v>
      </c>
      <c r="P795">
        <f t="shared" si="24"/>
        <v>1</v>
      </c>
      <c r="Q795" t="str">
        <f>IF(AND(P795&gt;1,COUNTIF($E$6:E795,E795)=1),MAX($Q$5:Q794)+1,"")</f>
        <v/>
      </c>
      <c r="R795" t="str">
        <f t="shared" si="25"/>
        <v/>
      </c>
    </row>
    <row r="796" spans="1:18" ht="22.95" customHeight="1">
      <c r="A796" t="s">
        <v>2196</v>
      </c>
      <c r="B796" t="s">
        <v>29</v>
      </c>
      <c r="C796" t="s">
        <v>1084</v>
      </c>
      <c r="D796" t="s">
        <v>1085</v>
      </c>
      <c r="E796" t="s">
        <v>2352</v>
      </c>
      <c r="F796">
        <v>1</v>
      </c>
      <c r="G796" t="s">
        <v>2343</v>
      </c>
      <c r="I796" t="s">
        <v>2347</v>
      </c>
      <c r="K796" t="s">
        <v>2348</v>
      </c>
      <c r="L796" t="s">
        <v>2349</v>
      </c>
      <c r="M796" t="s">
        <v>73</v>
      </c>
      <c r="P796">
        <f t="shared" si="24"/>
        <v>1</v>
      </c>
      <c r="Q796" t="str">
        <f>IF(AND(P796&gt;1,COUNTIF($E$6:E796,E796)=1),MAX($Q$5:Q795)+1,"")</f>
        <v/>
      </c>
      <c r="R796" t="str">
        <f t="shared" si="25"/>
        <v/>
      </c>
    </row>
    <row r="797" spans="1:18" ht="22.95" customHeight="1">
      <c r="A797" t="s">
        <v>2196</v>
      </c>
      <c r="B797" t="s">
        <v>29</v>
      </c>
      <c r="C797" t="s">
        <v>1084</v>
      </c>
      <c r="D797" t="s">
        <v>1085</v>
      </c>
      <c r="E797" t="s">
        <v>2353</v>
      </c>
      <c r="F797">
        <v>1</v>
      </c>
      <c r="G797" t="s">
        <v>2343</v>
      </c>
      <c r="I797" t="s">
        <v>2347</v>
      </c>
      <c r="K797" t="s">
        <v>2348</v>
      </c>
      <c r="L797" t="s">
        <v>2349</v>
      </c>
      <c r="M797" t="s">
        <v>73</v>
      </c>
      <c r="P797">
        <f t="shared" si="24"/>
        <v>1</v>
      </c>
      <c r="Q797" t="str">
        <f>IF(AND(P797&gt;1,COUNTIF($E$6:E797,E797)=1),MAX($Q$5:Q796)+1,"")</f>
        <v/>
      </c>
      <c r="R797" t="str">
        <f t="shared" si="25"/>
        <v/>
      </c>
    </row>
    <row r="798" spans="1:18" ht="22.95" customHeight="1">
      <c r="A798" t="s">
        <v>2196</v>
      </c>
      <c r="B798" t="s">
        <v>29</v>
      </c>
      <c r="C798" t="s">
        <v>1084</v>
      </c>
      <c r="D798" t="s">
        <v>1085</v>
      </c>
      <c r="E798" t="s">
        <v>2354</v>
      </c>
      <c r="F798">
        <v>1</v>
      </c>
      <c r="G798" t="s">
        <v>2343</v>
      </c>
      <c r="I798" t="s">
        <v>2347</v>
      </c>
      <c r="K798" t="s">
        <v>2348</v>
      </c>
      <c r="L798" t="s">
        <v>2349</v>
      </c>
      <c r="M798" t="s">
        <v>73</v>
      </c>
      <c r="P798">
        <f t="shared" si="24"/>
        <v>1</v>
      </c>
      <c r="Q798" t="str">
        <f>IF(AND(P798&gt;1,COUNTIF($E$6:E798,E798)=1),MAX($Q$5:Q797)+1,"")</f>
        <v/>
      </c>
      <c r="R798" t="str">
        <f t="shared" si="25"/>
        <v/>
      </c>
    </row>
    <row r="799" spans="1:18" ht="22.95" customHeight="1">
      <c r="A799" t="s">
        <v>2196</v>
      </c>
      <c r="B799" t="s">
        <v>29</v>
      </c>
      <c r="C799" t="s">
        <v>1084</v>
      </c>
      <c r="D799" t="s">
        <v>1085</v>
      </c>
      <c r="E799" t="s">
        <v>2355</v>
      </c>
      <c r="F799">
        <v>1</v>
      </c>
      <c r="G799" t="s">
        <v>2343</v>
      </c>
      <c r="I799" t="s">
        <v>2347</v>
      </c>
      <c r="K799" t="s">
        <v>2348</v>
      </c>
      <c r="L799" t="s">
        <v>2349</v>
      </c>
      <c r="M799" t="s">
        <v>73</v>
      </c>
      <c r="P799">
        <f t="shared" si="24"/>
        <v>1</v>
      </c>
      <c r="Q799" t="str">
        <f>IF(AND(P799&gt;1,COUNTIF($E$6:E799,E799)=1),MAX($Q$5:Q798)+1,"")</f>
        <v/>
      </c>
      <c r="R799" t="str">
        <f t="shared" si="25"/>
        <v/>
      </c>
    </row>
    <row r="800" spans="1:18" ht="22.95" customHeight="1">
      <c r="A800" t="s">
        <v>2196</v>
      </c>
      <c r="B800" t="s">
        <v>29</v>
      </c>
      <c r="C800" t="s">
        <v>1084</v>
      </c>
      <c r="D800" t="s">
        <v>1085</v>
      </c>
      <c r="E800" t="s">
        <v>2356</v>
      </c>
      <c r="F800">
        <v>1</v>
      </c>
      <c r="G800" t="s">
        <v>2343</v>
      </c>
      <c r="I800" t="s">
        <v>2347</v>
      </c>
      <c r="K800" t="s">
        <v>2348</v>
      </c>
      <c r="L800" t="s">
        <v>2349</v>
      </c>
      <c r="M800" t="s">
        <v>73</v>
      </c>
      <c r="P800">
        <f t="shared" si="24"/>
        <v>1</v>
      </c>
      <c r="Q800" t="str">
        <f>IF(AND(P800&gt;1,COUNTIF($E$6:E800,E800)=1),MAX($Q$5:Q799)+1,"")</f>
        <v/>
      </c>
      <c r="R800" t="str">
        <f t="shared" si="25"/>
        <v/>
      </c>
    </row>
    <row r="801" spans="1:18" ht="22.95" customHeight="1">
      <c r="A801" t="s">
        <v>2196</v>
      </c>
      <c r="B801" t="s">
        <v>29</v>
      </c>
      <c r="C801" t="s">
        <v>1084</v>
      </c>
      <c r="D801" t="s">
        <v>1085</v>
      </c>
      <c r="E801" t="s">
        <v>2357</v>
      </c>
      <c r="F801">
        <v>1</v>
      </c>
      <c r="G801" t="s">
        <v>2343</v>
      </c>
      <c r="I801" t="s">
        <v>2347</v>
      </c>
      <c r="K801" t="s">
        <v>2348</v>
      </c>
      <c r="L801" t="s">
        <v>2349</v>
      </c>
      <c r="M801" t="s">
        <v>73</v>
      </c>
      <c r="P801">
        <f t="shared" si="24"/>
        <v>1</v>
      </c>
      <c r="Q801" t="str">
        <f>IF(AND(P801&gt;1,COUNTIF($E$6:E801,E801)=1),MAX($Q$5:Q800)+1,"")</f>
        <v/>
      </c>
      <c r="R801" t="str">
        <f t="shared" si="25"/>
        <v/>
      </c>
    </row>
    <row r="802" spans="1:18" ht="22.95" customHeight="1">
      <c r="A802" t="s">
        <v>2196</v>
      </c>
      <c r="B802" t="s">
        <v>29</v>
      </c>
      <c r="C802" t="s">
        <v>1084</v>
      </c>
      <c r="D802" t="s">
        <v>1085</v>
      </c>
      <c r="E802" t="s">
        <v>2358</v>
      </c>
      <c r="F802">
        <v>1</v>
      </c>
      <c r="G802" t="s">
        <v>2343</v>
      </c>
      <c r="I802" t="s">
        <v>2347</v>
      </c>
      <c r="K802" t="s">
        <v>2348</v>
      </c>
      <c r="L802" t="s">
        <v>2349</v>
      </c>
      <c r="M802" t="s">
        <v>73</v>
      </c>
      <c r="P802">
        <f t="shared" si="24"/>
        <v>1</v>
      </c>
      <c r="Q802" t="str">
        <f>IF(AND(P802&gt;1,COUNTIF($E$6:E802,E802)=1),MAX($Q$5:Q801)+1,"")</f>
        <v/>
      </c>
      <c r="R802" t="str">
        <f t="shared" si="25"/>
        <v/>
      </c>
    </row>
    <row r="803" spans="1:18" ht="22.95" customHeight="1">
      <c r="A803" t="s">
        <v>2196</v>
      </c>
      <c r="B803" t="s">
        <v>29</v>
      </c>
      <c r="C803" t="s">
        <v>1084</v>
      </c>
      <c r="D803" t="s">
        <v>1085</v>
      </c>
      <c r="E803" t="s">
        <v>2359</v>
      </c>
      <c r="F803">
        <v>1</v>
      </c>
      <c r="G803" t="s">
        <v>2343</v>
      </c>
      <c r="I803" t="s">
        <v>2347</v>
      </c>
      <c r="K803" t="s">
        <v>2348</v>
      </c>
      <c r="L803" t="s">
        <v>2349</v>
      </c>
      <c r="M803" t="s">
        <v>73</v>
      </c>
      <c r="P803">
        <f t="shared" si="24"/>
        <v>1</v>
      </c>
      <c r="Q803" t="str">
        <f>IF(AND(P803&gt;1,COUNTIF($E$6:E803,E803)=1),MAX($Q$5:Q802)+1,"")</f>
        <v/>
      </c>
      <c r="R803" t="str">
        <f t="shared" si="25"/>
        <v/>
      </c>
    </row>
    <row r="804" spans="1:18" ht="22.95" customHeight="1">
      <c r="A804" t="s">
        <v>2196</v>
      </c>
      <c r="B804" t="s">
        <v>29</v>
      </c>
      <c r="C804" t="s">
        <v>1084</v>
      </c>
      <c r="D804" t="s">
        <v>1085</v>
      </c>
      <c r="E804" t="s">
        <v>2360</v>
      </c>
      <c r="F804">
        <v>1</v>
      </c>
      <c r="G804" t="s">
        <v>2343</v>
      </c>
      <c r="I804" t="s">
        <v>2347</v>
      </c>
      <c r="K804" t="s">
        <v>2348</v>
      </c>
      <c r="L804" t="s">
        <v>2349</v>
      </c>
      <c r="M804" t="s">
        <v>73</v>
      </c>
      <c r="P804">
        <f t="shared" si="24"/>
        <v>1</v>
      </c>
      <c r="Q804" t="str">
        <f>IF(AND(P804&gt;1,COUNTIF($E$6:E804,E804)=1),MAX($Q$5:Q803)+1,"")</f>
        <v/>
      </c>
      <c r="R804" t="str">
        <f t="shared" si="25"/>
        <v/>
      </c>
    </row>
    <row r="805" spans="1:18" ht="22.95" customHeight="1">
      <c r="A805" t="s">
        <v>2196</v>
      </c>
      <c r="B805" t="s">
        <v>29</v>
      </c>
      <c r="C805" t="s">
        <v>1084</v>
      </c>
      <c r="D805" t="s">
        <v>1085</v>
      </c>
      <c r="E805" t="s">
        <v>2361</v>
      </c>
      <c r="F805">
        <v>1</v>
      </c>
      <c r="G805" t="s">
        <v>92</v>
      </c>
      <c r="I805" t="s">
        <v>2362</v>
      </c>
      <c r="K805" t="s">
        <v>2363</v>
      </c>
      <c r="L805" t="s">
        <v>2364</v>
      </c>
      <c r="M805" t="s">
        <v>102</v>
      </c>
      <c r="P805">
        <f t="shared" si="24"/>
        <v>1</v>
      </c>
      <c r="Q805" t="str">
        <f>IF(AND(P805&gt;1,COUNTIF($E$6:E805,E805)=1),MAX($Q$5:Q804)+1,"")</f>
        <v/>
      </c>
      <c r="R805" t="str">
        <f t="shared" si="25"/>
        <v/>
      </c>
    </row>
    <row r="806" spans="1:18" ht="22.95" customHeight="1">
      <c r="A806" t="s">
        <v>2365</v>
      </c>
      <c r="B806" t="s">
        <v>20</v>
      </c>
      <c r="C806" t="s">
        <v>55</v>
      </c>
      <c r="D806" t="s">
        <v>56</v>
      </c>
      <c r="E806" t="s">
        <v>2366</v>
      </c>
      <c r="F806">
        <v>1</v>
      </c>
      <c r="G806" t="s">
        <v>58</v>
      </c>
      <c r="H806" t="s">
        <v>1110</v>
      </c>
      <c r="I806" t="s">
        <v>112</v>
      </c>
      <c r="K806" t="s">
        <v>109</v>
      </c>
      <c r="L806" t="s">
        <v>2367</v>
      </c>
      <c r="M806" t="s">
        <v>73</v>
      </c>
      <c r="P806">
        <f t="shared" si="24"/>
        <v>1</v>
      </c>
      <c r="Q806" t="str">
        <f>IF(AND(P806&gt;1,COUNTIF($E$6:E806,E806)=1),MAX($Q$5:Q805)+1,"")</f>
        <v/>
      </c>
      <c r="R806" t="str">
        <f t="shared" si="25"/>
        <v/>
      </c>
    </row>
    <row r="807" spans="1:18" ht="22.95" customHeight="1">
      <c r="A807" t="s">
        <v>2365</v>
      </c>
      <c r="B807" t="s">
        <v>20</v>
      </c>
      <c r="C807" t="s">
        <v>55</v>
      </c>
      <c r="D807" t="s">
        <v>56</v>
      </c>
      <c r="E807" t="s">
        <v>2368</v>
      </c>
      <c r="F807">
        <v>1</v>
      </c>
      <c r="G807" t="s">
        <v>58</v>
      </c>
      <c r="H807" t="s">
        <v>1110</v>
      </c>
      <c r="I807" t="s">
        <v>112</v>
      </c>
      <c r="K807" t="s">
        <v>109</v>
      </c>
      <c r="L807" t="s">
        <v>2367</v>
      </c>
      <c r="M807" t="s">
        <v>73</v>
      </c>
      <c r="P807">
        <f t="shared" si="24"/>
        <v>1</v>
      </c>
      <c r="Q807" t="str">
        <f>IF(AND(P807&gt;1,COUNTIF($E$6:E807,E807)=1),MAX($Q$5:Q806)+1,"")</f>
        <v/>
      </c>
      <c r="R807" t="str">
        <f t="shared" si="25"/>
        <v/>
      </c>
    </row>
    <row r="808" spans="1:18" ht="22.95" customHeight="1">
      <c r="A808" t="s">
        <v>2365</v>
      </c>
      <c r="B808" t="s">
        <v>20</v>
      </c>
      <c r="C808" t="s">
        <v>65</v>
      </c>
      <c r="D808" t="s">
        <v>66</v>
      </c>
      <c r="E808" t="s">
        <v>2369</v>
      </c>
      <c r="F808">
        <v>1</v>
      </c>
      <c r="G808" t="s">
        <v>92</v>
      </c>
      <c r="I808" t="s">
        <v>2370</v>
      </c>
      <c r="K808" t="s">
        <v>2371</v>
      </c>
      <c r="L808" t="s">
        <v>2372</v>
      </c>
      <c r="M808" t="s">
        <v>73</v>
      </c>
      <c r="P808">
        <f t="shared" si="24"/>
        <v>2</v>
      </c>
      <c r="Q808">
        <f>IF(AND(P808&gt;1,COUNTIF($E$6:E808,E808)=1),MAX($Q$5:Q807)+1,"")</f>
        <v>11</v>
      </c>
      <c r="R808" t="str">
        <f t="shared" si="25"/>
        <v>VRAI DOUBLON</v>
      </c>
    </row>
    <row r="809" spans="1:18" ht="22.95" customHeight="1">
      <c r="A809" t="s">
        <v>2365</v>
      </c>
      <c r="B809" t="s">
        <v>20</v>
      </c>
      <c r="C809" t="s">
        <v>65</v>
      </c>
      <c r="D809" t="s">
        <v>66</v>
      </c>
      <c r="E809" t="s">
        <v>2373</v>
      </c>
      <c r="F809">
        <v>1</v>
      </c>
      <c r="G809" t="s">
        <v>1887</v>
      </c>
      <c r="I809" t="s">
        <v>140</v>
      </c>
      <c r="K809" t="s">
        <v>2347</v>
      </c>
      <c r="L809" t="s">
        <v>2374</v>
      </c>
      <c r="M809" t="s">
        <v>73</v>
      </c>
      <c r="P809">
        <f t="shared" si="24"/>
        <v>2</v>
      </c>
      <c r="Q809">
        <f>IF(AND(P809&gt;1,COUNTIF($E$6:E809,E809)=1),MAX($Q$5:Q808)+1,"")</f>
        <v>12</v>
      </c>
      <c r="R809" t="str">
        <f t="shared" si="25"/>
        <v>VRAI DOUBLON</v>
      </c>
    </row>
    <row r="810" spans="1:18" ht="22.95" customHeight="1">
      <c r="A810" t="s">
        <v>2365</v>
      </c>
      <c r="B810" t="s">
        <v>20</v>
      </c>
      <c r="C810" t="s">
        <v>65</v>
      </c>
      <c r="D810" t="s">
        <v>66</v>
      </c>
      <c r="E810" t="s">
        <v>2375</v>
      </c>
      <c r="F810">
        <v>1</v>
      </c>
      <c r="G810" t="s">
        <v>1887</v>
      </c>
      <c r="I810" t="s">
        <v>140</v>
      </c>
      <c r="K810" t="s">
        <v>2347</v>
      </c>
      <c r="L810" t="s">
        <v>2374</v>
      </c>
      <c r="M810" t="s">
        <v>73</v>
      </c>
      <c r="P810">
        <f t="shared" si="24"/>
        <v>2</v>
      </c>
      <c r="Q810">
        <f>IF(AND(P810&gt;1,COUNTIF($E$6:E810,E810)=1),MAX($Q$5:Q809)+1,"")</f>
        <v>13</v>
      </c>
      <c r="R810" t="str">
        <f t="shared" si="25"/>
        <v>VRAI DOUBLON</v>
      </c>
    </row>
    <row r="811" spans="1:18" ht="22.95" customHeight="1">
      <c r="A811" t="s">
        <v>2365</v>
      </c>
      <c r="B811" t="s">
        <v>22</v>
      </c>
      <c r="C811" t="s">
        <v>779</v>
      </c>
      <c r="D811" t="s">
        <v>780</v>
      </c>
      <c r="E811" t="s">
        <v>2376</v>
      </c>
      <c r="F811">
        <v>1</v>
      </c>
      <c r="G811" t="s">
        <v>2377</v>
      </c>
      <c r="H811" t="s">
        <v>1085</v>
      </c>
      <c r="I811" t="s">
        <v>2378</v>
      </c>
      <c r="K811" t="s">
        <v>109</v>
      </c>
      <c r="L811" t="s">
        <v>2379</v>
      </c>
      <c r="M811" t="s">
        <v>62</v>
      </c>
      <c r="N811" t="s">
        <v>712</v>
      </c>
      <c r="P811">
        <f t="shared" si="24"/>
        <v>1</v>
      </c>
      <c r="Q811" t="str">
        <f>IF(AND(P811&gt;1,COUNTIF($E$6:E811,E811)=1),MAX($Q$5:Q810)+1,"")</f>
        <v/>
      </c>
      <c r="R811" t="str">
        <f t="shared" si="25"/>
        <v/>
      </c>
    </row>
    <row r="812" spans="1:18" ht="22.95" customHeight="1">
      <c r="A812" t="s">
        <v>2365</v>
      </c>
      <c r="B812" t="s">
        <v>22</v>
      </c>
      <c r="C812" t="s">
        <v>779</v>
      </c>
      <c r="D812" t="s">
        <v>780</v>
      </c>
      <c r="E812" t="s">
        <v>2380</v>
      </c>
      <c r="F812">
        <v>1</v>
      </c>
      <c r="G812" t="s">
        <v>2377</v>
      </c>
      <c r="H812" t="s">
        <v>1085</v>
      </c>
      <c r="I812" t="s">
        <v>2378</v>
      </c>
      <c r="K812" t="s">
        <v>109</v>
      </c>
      <c r="L812" t="s">
        <v>2379</v>
      </c>
      <c r="M812" t="s">
        <v>62</v>
      </c>
      <c r="N812" t="s">
        <v>712</v>
      </c>
      <c r="P812">
        <f t="shared" si="24"/>
        <v>1</v>
      </c>
      <c r="Q812" t="str">
        <f>IF(AND(P812&gt;1,COUNTIF($E$6:E812,E812)=1),MAX($Q$5:Q811)+1,"")</f>
        <v/>
      </c>
      <c r="R812" t="str">
        <f t="shared" si="25"/>
        <v/>
      </c>
    </row>
    <row r="813" spans="1:18" ht="22.95" customHeight="1">
      <c r="A813" t="s">
        <v>2365</v>
      </c>
      <c r="B813" t="s">
        <v>22</v>
      </c>
      <c r="C813" t="s">
        <v>779</v>
      </c>
      <c r="D813" t="s">
        <v>780</v>
      </c>
      <c r="E813" t="s">
        <v>2381</v>
      </c>
      <c r="F813">
        <v>1</v>
      </c>
      <c r="G813" t="s">
        <v>2377</v>
      </c>
      <c r="H813" t="s">
        <v>1085</v>
      </c>
      <c r="I813" t="s">
        <v>2378</v>
      </c>
      <c r="K813" t="s">
        <v>109</v>
      </c>
      <c r="L813" t="s">
        <v>2379</v>
      </c>
      <c r="M813" t="s">
        <v>62</v>
      </c>
      <c r="N813" t="s">
        <v>712</v>
      </c>
      <c r="P813">
        <f t="shared" si="24"/>
        <v>1</v>
      </c>
      <c r="Q813" t="str">
        <f>IF(AND(P813&gt;1,COUNTIF($E$6:E813,E813)=1),MAX($Q$5:Q812)+1,"")</f>
        <v/>
      </c>
      <c r="R813" t="str">
        <f t="shared" si="25"/>
        <v/>
      </c>
    </row>
    <row r="814" spans="1:18" ht="22.95" customHeight="1">
      <c r="A814" t="s">
        <v>2365</v>
      </c>
      <c r="B814" t="s">
        <v>22</v>
      </c>
      <c r="C814" t="s">
        <v>779</v>
      </c>
      <c r="D814" t="s">
        <v>780</v>
      </c>
      <c r="E814" t="s">
        <v>2382</v>
      </c>
      <c r="F814">
        <v>1</v>
      </c>
      <c r="G814" t="s">
        <v>2377</v>
      </c>
      <c r="H814" t="s">
        <v>1085</v>
      </c>
      <c r="I814" t="s">
        <v>2378</v>
      </c>
      <c r="K814" t="s">
        <v>109</v>
      </c>
      <c r="L814" t="s">
        <v>2379</v>
      </c>
      <c r="M814" t="s">
        <v>62</v>
      </c>
      <c r="N814" t="s">
        <v>712</v>
      </c>
      <c r="P814">
        <f t="shared" si="24"/>
        <v>1</v>
      </c>
      <c r="Q814" t="str">
        <f>IF(AND(P814&gt;1,COUNTIF($E$6:E814,E814)=1),MAX($Q$5:Q813)+1,"")</f>
        <v/>
      </c>
      <c r="R814" t="str">
        <f t="shared" si="25"/>
        <v/>
      </c>
    </row>
    <row r="815" spans="1:18" ht="22.95" customHeight="1">
      <c r="A815" t="s">
        <v>2365</v>
      </c>
      <c r="B815" t="s">
        <v>22</v>
      </c>
      <c r="C815" t="s">
        <v>779</v>
      </c>
      <c r="D815" t="s">
        <v>780</v>
      </c>
      <c r="E815" t="s">
        <v>2383</v>
      </c>
      <c r="F815">
        <v>1</v>
      </c>
      <c r="G815" t="s">
        <v>2377</v>
      </c>
      <c r="H815" t="s">
        <v>1085</v>
      </c>
      <c r="I815" t="s">
        <v>2378</v>
      </c>
      <c r="K815" t="s">
        <v>109</v>
      </c>
      <c r="L815" t="s">
        <v>2379</v>
      </c>
      <c r="M815" t="s">
        <v>62</v>
      </c>
      <c r="N815" t="s">
        <v>712</v>
      </c>
      <c r="P815">
        <f t="shared" si="24"/>
        <v>1</v>
      </c>
      <c r="Q815" t="str">
        <f>IF(AND(P815&gt;1,COUNTIF($E$6:E815,E815)=1),MAX($Q$5:Q814)+1,"")</f>
        <v/>
      </c>
      <c r="R815" t="str">
        <f t="shared" si="25"/>
        <v/>
      </c>
    </row>
    <row r="816" spans="1:18" ht="22.95" customHeight="1">
      <c r="A816" t="s">
        <v>2365</v>
      </c>
      <c r="B816" t="s">
        <v>22</v>
      </c>
      <c r="C816" t="s">
        <v>779</v>
      </c>
      <c r="D816" t="s">
        <v>780</v>
      </c>
      <c r="E816" t="s">
        <v>2384</v>
      </c>
      <c r="F816">
        <v>1</v>
      </c>
      <c r="G816" t="s">
        <v>2377</v>
      </c>
      <c r="H816" t="s">
        <v>1085</v>
      </c>
      <c r="I816" t="s">
        <v>2378</v>
      </c>
      <c r="K816" t="s">
        <v>109</v>
      </c>
      <c r="L816" t="s">
        <v>2379</v>
      </c>
      <c r="M816" t="s">
        <v>62</v>
      </c>
      <c r="N816" t="s">
        <v>712</v>
      </c>
      <c r="P816">
        <f t="shared" si="24"/>
        <v>1</v>
      </c>
      <c r="Q816" t="str">
        <f>IF(AND(P816&gt;1,COUNTIF($E$6:E816,E816)=1),MAX($Q$5:Q815)+1,"")</f>
        <v/>
      </c>
      <c r="R816" t="str">
        <f t="shared" si="25"/>
        <v/>
      </c>
    </row>
    <row r="817" spans="1:18" ht="22.95" customHeight="1">
      <c r="A817" t="s">
        <v>2365</v>
      </c>
      <c r="B817" t="s">
        <v>22</v>
      </c>
      <c r="C817" t="s">
        <v>779</v>
      </c>
      <c r="D817" t="s">
        <v>780</v>
      </c>
      <c r="E817" t="s">
        <v>2385</v>
      </c>
      <c r="F817">
        <v>1</v>
      </c>
      <c r="G817" t="s">
        <v>2377</v>
      </c>
      <c r="H817" t="s">
        <v>1085</v>
      </c>
      <c r="I817" t="s">
        <v>406</v>
      </c>
      <c r="K817" t="s">
        <v>406</v>
      </c>
      <c r="L817" t="s">
        <v>2386</v>
      </c>
      <c r="M817" t="s">
        <v>62</v>
      </c>
      <c r="N817" t="s">
        <v>712</v>
      </c>
      <c r="P817">
        <f t="shared" si="24"/>
        <v>1</v>
      </c>
      <c r="Q817" t="str">
        <f>IF(AND(P817&gt;1,COUNTIF($E$6:E817,E817)=1),MAX($Q$5:Q816)+1,"")</f>
        <v/>
      </c>
      <c r="R817" t="str">
        <f t="shared" si="25"/>
        <v/>
      </c>
    </row>
    <row r="818" spans="1:18" ht="22.95" customHeight="1">
      <c r="A818" t="s">
        <v>2365</v>
      </c>
      <c r="B818" t="s">
        <v>22</v>
      </c>
      <c r="C818" t="s">
        <v>779</v>
      </c>
      <c r="D818" t="s">
        <v>780</v>
      </c>
      <c r="E818" t="s">
        <v>2387</v>
      </c>
      <c r="F818">
        <v>1</v>
      </c>
      <c r="G818" t="s">
        <v>2377</v>
      </c>
      <c r="H818" t="s">
        <v>1085</v>
      </c>
      <c r="I818" t="s">
        <v>406</v>
      </c>
      <c r="K818" t="s">
        <v>406</v>
      </c>
      <c r="L818" t="s">
        <v>2388</v>
      </c>
      <c r="M818" t="s">
        <v>62</v>
      </c>
      <c r="N818" t="s">
        <v>712</v>
      </c>
      <c r="P818">
        <f t="shared" si="24"/>
        <v>1</v>
      </c>
      <c r="Q818" t="str">
        <f>IF(AND(P818&gt;1,COUNTIF($E$6:E818,E818)=1),MAX($Q$5:Q817)+1,"")</f>
        <v/>
      </c>
      <c r="R818" t="str">
        <f t="shared" si="25"/>
        <v/>
      </c>
    </row>
    <row r="819" spans="1:18" ht="22.95" customHeight="1">
      <c r="A819" t="s">
        <v>2365</v>
      </c>
      <c r="B819" t="s">
        <v>22</v>
      </c>
      <c r="C819" t="s">
        <v>779</v>
      </c>
      <c r="D819" t="s">
        <v>780</v>
      </c>
      <c r="E819" t="s">
        <v>2389</v>
      </c>
      <c r="F819">
        <v>1</v>
      </c>
      <c r="G819" t="s">
        <v>2377</v>
      </c>
      <c r="H819" t="s">
        <v>1085</v>
      </c>
      <c r="I819" t="s">
        <v>406</v>
      </c>
      <c r="K819" t="s">
        <v>406</v>
      </c>
      <c r="L819" t="s">
        <v>2388</v>
      </c>
      <c r="M819" t="s">
        <v>62</v>
      </c>
      <c r="N819" t="s">
        <v>712</v>
      </c>
      <c r="P819">
        <f t="shared" si="24"/>
        <v>1</v>
      </c>
      <c r="Q819" t="str">
        <f>IF(AND(P819&gt;1,COUNTIF($E$6:E819,E819)=1),MAX($Q$5:Q818)+1,"")</f>
        <v/>
      </c>
      <c r="R819" t="str">
        <f t="shared" si="25"/>
        <v/>
      </c>
    </row>
    <row r="820" spans="1:18" ht="22.95" customHeight="1">
      <c r="A820" t="s">
        <v>2365</v>
      </c>
      <c r="B820" t="s">
        <v>22</v>
      </c>
      <c r="C820" t="s">
        <v>779</v>
      </c>
      <c r="D820" t="s">
        <v>780</v>
      </c>
      <c r="E820" t="s">
        <v>2390</v>
      </c>
      <c r="F820">
        <v>1</v>
      </c>
      <c r="G820" t="s">
        <v>2377</v>
      </c>
      <c r="H820" t="s">
        <v>1085</v>
      </c>
      <c r="I820" t="s">
        <v>406</v>
      </c>
      <c r="K820" t="s">
        <v>406</v>
      </c>
      <c r="L820" t="s">
        <v>2388</v>
      </c>
      <c r="M820" t="s">
        <v>62</v>
      </c>
      <c r="N820" t="s">
        <v>712</v>
      </c>
      <c r="P820">
        <f t="shared" si="24"/>
        <v>1</v>
      </c>
      <c r="Q820" t="str">
        <f>IF(AND(P820&gt;1,COUNTIF($E$6:E820,E820)=1),MAX($Q$5:Q819)+1,"")</f>
        <v/>
      </c>
      <c r="R820" t="str">
        <f t="shared" si="25"/>
        <v/>
      </c>
    </row>
    <row r="821" spans="1:18" ht="22.95" customHeight="1">
      <c r="A821" t="s">
        <v>2365</v>
      </c>
      <c r="B821" t="s">
        <v>22</v>
      </c>
      <c r="C821" t="s">
        <v>1149</v>
      </c>
      <c r="D821" t="s">
        <v>1150</v>
      </c>
      <c r="E821" t="s">
        <v>2391</v>
      </c>
      <c r="F821">
        <v>1</v>
      </c>
      <c r="G821" t="s">
        <v>589</v>
      </c>
      <c r="H821" t="s">
        <v>2145</v>
      </c>
      <c r="I821" t="s">
        <v>2392</v>
      </c>
      <c r="K821" t="s">
        <v>109</v>
      </c>
      <c r="L821" t="s">
        <v>2393</v>
      </c>
      <c r="M821" t="s">
        <v>73</v>
      </c>
      <c r="P821">
        <f t="shared" si="24"/>
        <v>1</v>
      </c>
      <c r="Q821" t="str">
        <f>IF(AND(P821&gt;1,COUNTIF($E$6:E821,E821)=1),MAX($Q$5:Q820)+1,"")</f>
        <v/>
      </c>
      <c r="R821" t="str">
        <f t="shared" si="25"/>
        <v/>
      </c>
    </row>
    <row r="822" spans="1:18" ht="22.95" customHeight="1">
      <c r="A822" t="s">
        <v>2365</v>
      </c>
      <c r="B822" t="s">
        <v>22</v>
      </c>
      <c r="C822" t="s">
        <v>1149</v>
      </c>
      <c r="D822" t="s">
        <v>1150</v>
      </c>
      <c r="E822" t="s">
        <v>2394</v>
      </c>
      <c r="F822">
        <v>1</v>
      </c>
      <c r="G822" t="s">
        <v>589</v>
      </c>
      <c r="H822" t="s">
        <v>2145</v>
      </c>
      <c r="I822" t="s">
        <v>2392</v>
      </c>
      <c r="K822" t="s">
        <v>109</v>
      </c>
      <c r="L822" t="s">
        <v>2393</v>
      </c>
      <c r="M822" t="s">
        <v>73</v>
      </c>
      <c r="P822">
        <f t="shared" si="24"/>
        <v>1</v>
      </c>
      <c r="Q822" t="str">
        <f>IF(AND(P822&gt;1,COUNTIF($E$6:E822,E822)=1),MAX($Q$5:Q821)+1,"")</f>
        <v/>
      </c>
      <c r="R822" t="str">
        <f t="shared" si="25"/>
        <v/>
      </c>
    </row>
    <row r="823" spans="1:18" ht="22.95" customHeight="1">
      <c r="A823" t="s">
        <v>2365</v>
      </c>
      <c r="B823" t="s">
        <v>23</v>
      </c>
      <c r="C823" t="s">
        <v>103</v>
      </c>
      <c r="D823" t="s">
        <v>104</v>
      </c>
      <c r="E823" t="s">
        <v>2395</v>
      </c>
      <c r="F823">
        <v>1</v>
      </c>
      <c r="G823" t="s">
        <v>2396</v>
      </c>
      <c r="H823" t="s">
        <v>2397</v>
      </c>
      <c r="I823" t="s">
        <v>2398</v>
      </c>
      <c r="K823" t="s">
        <v>1371</v>
      </c>
      <c r="L823" t="s">
        <v>2399</v>
      </c>
      <c r="M823" t="s">
        <v>62</v>
      </c>
      <c r="N823" t="s">
        <v>130</v>
      </c>
      <c r="P823">
        <f t="shared" si="24"/>
        <v>1</v>
      </c>
      <c r="Q823" t="str">
        <f>IF(AND(P823&gt;1,COUNTIF($E$6:E823,E823)=1),MAX($Q$5:Q822)+1,"")</f>
        <v/>
      </c>
      <c r="R823" t="str">
        <f t="shared" si="25"/>
        <v/>
      </c>
    </row>
    <row r="824" spans="1:18" ht="22.95" customHeight="1">
      <c r="A824" t="s">
        <v>2365</v>
      </c>
      <c r="B824" t="s">
        <v>23</v>
      </c>
      <c r="C824" t="s">
        <v>103</v>
      </c>
      <c r="D824" t="s">
        <v>104</v>
      </c>
      <c r="E824" t="s">
        <v>2400</v>
      </c>
      <c r="F824">
        <v>1</v>
      </c>
      <c r="G824" t="s">
        <v>2396</v>
      </c>
      <c r="H824" t="s">
        <v>2397</v>
      </c>
      <c r="I824" t="s">
        <v>2398</v>
      </c>
      <c r="K824" t="s">
        <v>1371</v>
      </c>
      <c r="L824" t="s">
        <v>2401</v>
      </c>
      <c r="M824" t="s">
        <v>62</v>
      </c>
      <c r="N824" t="s">
        <v>130</v>
      </c>
      <c r="P824">
        <f t="shared" si="24"/>
        <v>1</v>
      </c>
      <c r="Q824" t="str">
        <f>IF(AND(P824&gt;1,COUNTIF($E$6:E824,E824)=1),MAX($Q$5:Q823)+1,"")</f>
        <v/>
      </c>
      <c r="R824" t="str">
        <f t="shared" si="25"/>
        <v/>
      </c>
    </row>
    <row r="825" spans="1:18" ht="22.95" customHeight="1">
      <c r="A825" t="s">
        <v>2365</v>
      </c>
      <c r="B825" t="s">
        <v>23</v>
      </c>
      <c r="C825" t="s">
        <v>103</v>
      </c>
      <c r="D825" t="s">
        <v>104</v>
      </c>
      <c r="E825" t="s">
        <v>2402</v>
      </c>
      <c r="F825">
        <v>1</v>
      </c>
      <c r="G825" t="s">
        <v>2403</v>
      </c>
      <c r="H825" t="s">
        <v>2404</v>
      </c>
      <c r="I825" t="s">
        <v>406</v>
      </c>
      <c r="K825" t="s">
        <v>406</v>
      </c>
      <c r="L825" t="s">
        <v>2405</v>
      </c>
      <c r="M825" t="s">
        <v>62</v>
      </c>
      <c r="N825" t="s">
        <v>130</v>
      </c>
      <c r="P825">
        <f t="shared" si="24"/>
        <v>1</v>
      </c>
      <c r="Q825" t="str">
        <f>IF(AND(P825&gt;1,COUNTIF($E$6:E825,E825)=1),MAX($Q$5:Q824)+1,"")</f>
        <v/>
      </c>
      <c r="R825" t="str">
        <f t="shared" si="25"/>
        <v/>
      </c>
    </row>
    <row r="826" spans="1:18" ht="22.95" customHeight="1">
      <c r="A826" t="s">
        <v>2365</v>
      </c>
      <c r="B826" t="s">
        <v>23</v>
      </c>
      <c r="C826" t="s">
        <v>103</v>
      </c>
      <c r="D826" t="s">
        <v>104</v>
      </c>
      <c r="E826" t="s">
        <v>2406</v>
      </c>
      <c r="F826">
        <v>1</v>
      </c>
      <c r="G826" t="s">
        <v>2396</v>
      </c>
      <c r="H826" t="s">
        <v>2397</v>
      </c>
      <c r="I826" t="s">
        <v>2407</v>
      </c>
      <c r="K826" t="s">
        <v>109</v>
      </c>
      <c r="L826" t="s">
        <v>2401</v>
      </c>
      <c r="M826" t="s">
        <v>62</v>
      </c>
      <c r="N826" t="s">
        <v>130</v>
      </c>
      <c r="P826">
        <f t="shared" si="24"/>
        <v>1</v>
      </c>
      <c r="Q826" t="str">
        <f>IF(AND(P826&gt;1,COUNTIF($E$6:E826,E826)=1),MAX($Q$5:Q825)+1,"")</f>
        <v/>
      </c>
      <c r="R826" t="str">
        <f t="shared" si="25"/>
        <v/>
      </c>
    </row>
    <row r="827" spans="1:18" ht="22.95" customHeight="1">
      <c r="A827" t="s">
        <v>2365</v>
      </c>
      <c r="B827" t="s">
        <v>23</v>
      </c>
      <c r="C827" t="s">
        <v>103</v>
      </c>
      <c r="D827" t="s">
        <v>104</v>
      </c>
      <c r="E827" t="s">
        <v>2408</v>
      </c>
      <c r="F827">
        <v>1</v>
      </c>
      <c r="G827" t="s">
        <v>2396</v>
      </c>
      <c r="H827" t="s">
        <v>2397</v>
      </c>
      <c r="I827" t="s">
        <v>2407</v>
      </c>
      <c r="K827" t="s">
        <v>109</v>
      </c>
      <c r="L827" t="s">
        <v>2401</v>
      </c>
      <c r="M827" t="s">
        <v>62</v>
      </c>
      <c r="N827" t="s">
        <v>130</v>
      </c>
      <c r="P827">
        <f t="shared" si="24"/>
        <v>1</v>
      </c>
      <c r="Q827" t="str">
        <f>IF(AND(P827&gt;1,COUNTIF($E$6:E827,E827)=1),MAX($Q$5:Q826)+1,"")</f>
        <v/>
      </c>
      <c r="R827" t="str">
        <f t="shared" si="25"/>
        <v/>
      </c>
    </row>
    <row r="828" spans="1:18" ht="22.95" customHeight="1">
      <c r="A828" t="s">
        <v>2365</v>
      </c>
      <c r="B828" t="s">
        <v>23</v>
      </c>
      <c r="C828" t="s">
        <v>103</v>
      </c>
      <c r="D828" t="s">
        <v>104</v>
      </c>
      <c r="E828" t="s">
        <v>2409</v>
      </c>
      <c r="F828">
        <v>1</v>
      </c>
      <c r="G828" t="s">
        <v>2249</v>
      </c>
      <c r="H828" t="s">
        <v>1606</v>
      </c>
      <c r="I828" t="s">
        <v>2410</v>
      </c>
      <c r="K828" t="s">
        <v>2411</v>
      </c>
      <c r="L828" t="s">
        <v>2412</v>
      </c>
      <c r="M828" t="s">
        <v>62</v>
      </c>
      <c r="N828" t="s">
        <v>2126</v>
      </c>
      <c r="P828">
        <f t="shared" si="24"/>
        <v>1</v>
      </c>
      <c r="Q828" t="str">
        <f>IF(AND(P828&gt;1,COUNTIF($E$6:E828,E828)=1),MAX($Q$5:Q827)+1,"")</f>
        <v/>
      </c>
      <c r="R828" t="str">
        <f t="shared" si="25"/>
        <v/>
      </c>
    </row>
    <row r="829" spans="1:18" ht="22.95" customHeight="1">
      <c r="A829" t="s">
        <v>2365</v>
      </c>
      <c r="B829" t="s">
        <v>23</v>
      </c>
      <c r="C829" t="s">
        <v>103</v>
      </c>
      <c r="D829" t="s">
        <v>104</v>
      </c>
      <c r="E829" t="s">
        <v>2413</v>
      </c>
      <c r="F829">
        <v>1</v>
      </c>
      <c r="G829" t="s">
        <v>92</v>
      </c>
      <c r="I829" t="s">
        <v>2414</v>
      </c>
      <c r="J829" t="s">
        <v>446</v>
      </c>
      <c r="K829" t="s">
        <v>109</v>
      </c>
      <c r="L829" t="s">
        <v>2415</v>
      </c>
      <c r="M829" t="s">
        <v>102</v>
      </c>
      <c r="P829">
        <f t="shared" si="24"/>
        <v>1</v>
      </c>
      <c r="Q829" t="str">
        <f>IF(AND(P829&gt;1,COUNTIF($E$6:E829,E829)=1),MAX($Q$5:Q828)+1,"")</f>
        <v/>
      </c>
      <c r="R829" t="str">
        <f t="shared" si="25"/>
        <v/>
      </c>
    </row>
    <row r="830" spans="1:18" ht="22.95" customHeight="1">
      <c r="A830" t="s">
        <v>2365</v>
      </c>
      <c r="B830" t="s">
        <v>25</v>
      </c>
      <c r="C830" t="s">
        <v>115</v>
      </c>
      <c r="D830" t="s">
        <v>116</v>
      </c>
      <c r="E830" t="s">
        <v>2416</v>
      </c>
      <c r="F830">
        <v>1</v>
      </c>
      <c r="G830" t="s">
        <v>2219</v>
      </c>
      <c r="H830" t="s">
        <v>409</v>
      </c>
      <c r="I830" t="s">
        <v>415</v>
      </c>
      <c r="K830" t="s">
        <v>109</v>
      </c>
      <c r="L830" t="s">
        <v>2417</v>
      </c>
      <c r="M830" t="s">
        <v>73</v>
      </c>
      <c r="P830">
        <f t="shared" si="24"/>
        <v>1</v>
      </c>
      <c r="Q830" t="str">
        <f>IF(AND(P830&gt;1,COUNTIF($E$6:E830,E830)=1),MAX($Q$5:Q829)+1,"")</f>
        <v/>
      </c>
      <c r="R830" t="str">
        <f t="shared" si="25"/>
        <v/>
      </c>
    </row>
    <row r="831" spans="1:18" ht="22.95" customHeight="1">
      <c r="A831" t="s">
        <v>2365</v>
      </c>
      <c r="B831" t="s">
        <v>25</v>
      </c>
      <c r="C831" t="s">
        <v>115</v>
      </c>
      <c r="D831" t="s">
        <v>116</v>
      </c>
      <c r="E831" t="s">
        <v>2418</v>
      </c>
      <c r="F831">
        <v>1</v>
      </c>
      <c r="G831" t="s">
        <v>2219</v>
      </c>
      <c r="H831" t="s">
        <v>409</v>
      </c>
      <c r="I831" t="s">
        <v>415</v>
      </c>
      <c r="K831" t="s">
        <v>109</v>
      </c>
      <c r="L831" t="s">
        <v>2419</v>
      </c>
      <c r="M831" t="s">
        <v>73</v>
      </c>
      <c r="P831">
        <f t="shared" si="24"/>
        <v>1</v>
      </c>
      <c r="Q831" t="str">
        <f>IF(AND(P831&gt;1,COUNTIF($E$6:E831,E831)=1),MAX($Q$5:Q830)+1,"")</f>
        <v/>
      </c>
      <c r="R831" t="str">
        <f t="shared" si="25"/>
        <v/>
      </c>
    </row>
    <row r="832" spans="1:18" ht="22.95" customHeight="1">
      <c r="A832" t="s">
        <v>2365</v>
      </c>
      <c r="B832" t="s">
        <v>25</v>
      </c>
      <c r="C832" t="s">
        <v>131</v>
      </c>
      <c r="D832" t="s">
        <v>132</v>
      </c>
      <c r="E832" t="s">
        <v>2420</v>
      </c>
      <c r="F832">
        <v>1</v>
      </c>
      <c r="G832" t="s">
        <v>139</v>
      </c>
      <c r="I832" t="s">
        <v>2421</v>
      </c>
      <c r="K832" t="s">
        <v>109</v>
      </c>
      <c r="L832" t="s">
        <v>2422</v>
      </c>
      <c r="M832" t="s">
        <v>62</v>
      </c>
      <c r="N832" t="s">
        <v>63</v>
      </c>
      <c r="P832">
        <f t="shared" si="24"/>
        <v>1</v>
      </c>
      <c r="Q832" t="str">
        <f>IF(AND(P832&gt;1,COUNTIF($E$6:E832,E832)=1),MAX($Q$5:Q831)+1,"")</f>
        <v/>
      </c>
      <c r="R832" t="str">
        <f t="shared" si="25"/>
        <v/>
      </c>
    </row>
    <row r="833" spans="1:18" ht="22.95" customHeight="1">
      <c r="A833" t="s">
        <v>2365</v>
      </c>
      <c r="B833" t="s">
        <v>25</v>
      </c>
      <c r="C833" t="s">
        <v>131</v>
      </c>
      <c r="D833" t="s">
        <v>132</v>
      </c>
      <c r="E833" t="s">
        <v>2423</v>
      </c>
      <c r="F833">
        <v>1</v>
      </c>
      <c r="G833" t="s">
        <v>92</v>
      </c>
      <c r="I833" t="s">
        <v>140</v>
      </c>
      <c r="J833" t="s">
        <v>99</v>
      </c>
      <c r="K833" t="s">
        <v>140</v>
      </c>
      <c r="L833" t="s">
        <v>2424</v>
      </c>
      <c r="M833" t="s">
        <v>102</v>
      </c>
      <c r="P833">
        <f t="shared" si="24"/>
        <v>1</v>
      </c>
      <c r="Q833" t="str">
        <f>IF(AND(P833&gt;1,COUNTIF($E$6:E833,E833)=1),MAX($Q$5:Q832)+1,"")</f>
        <v/>
      </c>
      <c r="R833" t="str">
        <f t="shared" si="25"/>
        <v/>
      </c>
    </row>
    <row r="834" spans="1:18" ht="22.95" customHeight="1">
      <c r="A834" t="s">
        <v>2365</v>
      </c>
      <c r="B834" t="s">
        <v>24</v>
      </c>
      <c r="C834" t="s">
        <v>426</v>
      </c>
      <c r="D834" t="s">
        <v>427</v>
      </c>
      <c r="E834" t="s">
        <v>2425</v>
      </c>
      <c r="F834">
        <v>1</v>
      </c>
      <c r="G834" t="s">
        <v>2426</v>
      </c>
      <c r="H834" t="s">
        <v>2427</v>
      </c>
      <c r="I834" t="s">
        <v>140</v>
      </c>
      <c r="K834" t="s">
        <v>109</v>
      </c>
      <c r="L834" t="s">
        <v>2428</v>
      </c>
      <c r="M834" t="s">
        <v>62</v>
      </c>
      <c r="N834" t="s">
        <v>2310</v>
      </c>
      <c r="P834">
        <f t="shared" si="24"/>
        <v>1</v>
      </c>
      <c r="Q834" t="str">
        <f>IF(AND(P834&gt;1,COUNTIF($E$6:E834,E834)=1),MAX($Q$5:Q833)+1,"")</f>
        <v/>
      </c>
      <c r="R834" t="str">
        <f t="shared" si="25"/>
        <v/>
      </c>
    </row>
    <row r="835" spans="1:18" ht="22.95" customHeight="1">
      <c r="A835" t="s">
        <v>2365</v>
      </c>
      <c r="B835" t="s">
        <v>24</v>
      </c>
      <c r="C835" t="s">
        <v>426</v>
      </c>
      <c r="D835" t="s">
        <v>427</v>
      </c>
      <c r="E835" t="s">
        <v>2429</v>
      </c>
      <c r="F835">
        <v>1</v>
      </c>
      <c r="G835" t="s">
        <v>92</v>
      </c>
      <c r="I835" t="s">
        <v>406</v>
      </c>
      <c r="L835" t="s">
        <v>2430</v>
      </c>
      <c r="M835" t="s">
        <v>102</v>
      </c>
      <c r="P835">
        <f t="shared" si="24"/>
        <v>1</v>
      </c>
      <c r="Q835" t="str">
        <f>IF(AND(P835&gt;1,COUNTIF($E$6:E835,E835)=1),MAX($Q$5:Q834)+1,"")</f>
        <v/>
      </c>
      <c r="R835" t="str">
        <f t="shared" si="25"/>
        <v/>
      </c>
    </row>
    <row r="836" spans="1:18" ht="22.95" customHeight="1">
      <c r="A836" t="s">
        <v>2365</v>
      </c>
      <c r="B836" t="s">
        <v>24</v>
      </c>
      <c r="C836" t="s">
        <v>436</v>
      </c>
      <c r="D836" t="s">
        <v>437</v>
      </c>
      <c r="E836" t="s">
        <v>2431</v>
      </c>
      <c r="F836">
        <v>1</v>
      </c>
      <c r="G836" t="s">
        <v>2432</v>
      </c>
      <c r="H836" t="s">
        <v>492</v>
      </c>
      <c r="I836" t="s">
        <v>2433</v>
      </c>
      <c r="K836" t="s">
        <v>78</v>
      </c>
      <c r="L836" t="s">
        <v>2434</v>
      </c>
      <c r="M836" t="s">
        <v>62</v>
      </c>
      <c r="N836" t="s">
        <v>130</v>
      </c>
      <c r="P836">
        <f t="shared" si="24"/>
        <v>1</v>
      </c>
      <c r="Q836" t="str">
        <f>IF(AND(P836&gt;1,COUNTIF($E$6:E836,E836)=1),MAX($Q$5:Q835)+1,"")</f>
        <v/>
      </c>
      <c r="R836" t="str">
        <f t="shared" si="25"/>
        <v/>
      </c>
    </row>
    <row r="837" spans="1:18" ht="22.95" customHeight="1">
      <c r="A837" t="s">
        <v>2365</v>
      </c>
      <c r="B837" t="s">
        <v>24</v>
      </c>
      <c r="C837" t="s">
        <v>436</v>
      </c>
      <c r="D837" t="s">
        <v>437</v>
      </c>
      <c r="E837" t="s">
        <v>2435</v>
      </c>
      <c r="F837">
        <v>1</v>
      </c>
      <c r="G837" t="s">
        <v>2432</v>
      </c>
      <c r="H837" t="s">
        <v>492</v>
      </c>
      <c r="I837" t="s">
        <v>2433</v>
      </c>
      <c r="K837" t="s">
        <v>78</v>
      </c>
      <c r="L837" t="s">
        <v>2434</v>
      </c>
      <c r="M837" t="s">
        <v>62</v>
      </c>
      <c r="N837" t="s">
        <v>130</v>
      </c>
      <c r="P837">
        <f t="shared" si="24"/>
        <v>1</v>
      </c>
      <c r="Q837" t="str">
        <f>IF(AND(P837&gt;1,COUNTIF($E$6:E837,E837)=1),MAX($Q$5:Q836)+1,"")</f>
        <v/>
      </c>
      <c r="R837" t="str">
        <f t="shared" si="25"/>
        <v/>
      </c>
    </row>
    <row r="838" spans="1:18" ht="22.95" customHeight="1">
      <c r="A838" t="s">
        <v>2365</v>
      </c>
      <c r="B838" t="s">
        <v>24</v>
      </c>
      <c r="C838" t="s">
        <v>436</v>
      </c>
      <c r="D838" t="s">
        <v>437</v>
      </c>
      <c r="E838" t="s">
        <v>2436</v>
      </c>
      <c r="F838">
        <v>1</v>
      </c>
      <c r="G838" t="s">
        <v>589</v>
      </c>
      <c r="H838" t="s">
        <v>2437</v>
      </c>
      <c r="I838" t="s">
        <v>2438</v>
      </c>
      <c r="K838" t="s">
        <v>109</v>
      </c>
      <c r="L838" t="s">
        <v>2439</v>
      </c>
      <c r="M838" t="s">
        <v>62</v>
      </c>
      <c r="N838" t="s">
        <v>63</v>
      </c>
      <c r="P838">
        <f t="shared" ref="P838:P901" si="26">COUNTIF($E$6:$E$1740,E838)</f>
        <v>1</v>
      </c>
      <c r="Q838" t="str">
        <f>IF(AND(P838&gt;1,COUNTIF($E$6:E838,E838)=1),MAX($Q$5:Q837)+1,"")</f>
        <v/>
      </c>
      <c r="R838" t="str">
        <f t="shared" ref="R838:R901" si="27">IF(Q838="","",IF(COUNTIFS($E$6:$E$1740,E838,$A$6:$A$1740,A838,$C$6:$C$1740,C838)&lt;P838,"LÉGITIME",IF(COUNTIFS($E$6:$E$1740,E838,$A$6:$A$1740,A838,$C$6:$C$1740,C838,$M$6:$M$1740,M838)&lt;P838,"STATUT DIFFÉRENT","VRAI DOUBLON")))</f>
        <v/>
      </c>
    </row>
    <row r="839" spans="1:18" ht="22.95" customHeight="1">
      <c r="A839" t="s">
        <v>2365</v>
      </c>
      <c r="B839" t="s">
        <v>24</v>
      </c>
      <c r="C839" t="s">
        <v>436</v>
      </c>
      <c r="D839" t="s">
        <v>437</v>
      </c>
      <c r="E839" t="s">
        <v>2440</v>
      </c>
      <c r="F839">
        <v>1</v>
      </c>
      <c r="G839" t="s">
        <v>589</v>
      </c>
      <c r="H839" t="s">
        <v>2437</v>
      </c>
      <c r="I839" t="s">
        <v>2438</v>
      </c>
      <c r="K839" t="s">
        <v>109</v>
      </c>
      <c r="L839" t="s">
        <v>2441</v>
      </c>
      <c r="M839" t="s">
        <v>62</v>
      </c>
      <c r="N839" t="s">
        <v>63</v>
      </c>
      <c r="P839">
        <f t="shared" si="26"/>
        <v>1</v>
      </c>
      <c r="Q839" t="str">
        <f>IF(AND(P839&gt;1,COUNTIF($E$6:E839,E839)=1),MAX($Q$5:Q838)+1,"")</f>
        <v/>
      </c>
      <c r="R839" t="str">
        <f t="shared" si="27"/>
        <v/>
      </c>
    </row>
    <row r="840" spans="1:18" ht="22.95" customHeight="1">
      <c r="A840" t="s">
        <v>2365</v>
      </c>
      <c r="B840" t="s">
        <v>24</v>
      </c>
      <c r="C840" t="s">
        <v>436</v>
      </c>
      <c r="D840" t="s">
        <v>437</v>
      </c>
      <c r="E840" t="s">
        <v>2442</v>
      </c>
      <c r="F840">
        <v>1</v>
      </c>
      <c r="G840" t="s">
        <v>589</v>
      </c>
      <c r="H840" t="s">
        <v>2437</v>
      </c>
      <c r="I840" t="s">
        <v>2443</v>
      </c>
      <c r="K840" t="s">
        <v>109</v>
      </c>
      <c r="L840" t="s">
        <v>2439</v>
      </c>
      <c r="M840" t="s">
        <v>62</v>
      </c>
      <c r="N840" t="s">
        <v>63</v>
      </c>
      <c r="P840">
        <f t="shared" si="26"/>
        <v>1</v>
      </c>
      <c r="Q840" t="str">
        <f>IF(AND(P840&gt;1,COUNTIF($E$6:E840,E840)=1),MAX($Q$5:Q839)+1,"")</f>
        <v/>
      </c>
      <c r="R840" t="str">
        <f t="shared" si="27"/>
        <v/>
      </c>
    </row>
    <row r="841" spans="1:18" ht="22.95" customHeight="1">
      <c r="A841" t="s">
        <v>2365</v>
      </c>
      <c r="B841" t="s">
        <v>24</v>
      </c>
      <c r="C841" t="s">
        <v>136</v>
      </c>
      <c r="D841" t="s">
        <v>674</v>
      </c>
      <c r="E841" t="s">
        <v>2444</v>
      </c>
      <c r="F841">
        <v>1</v>
      </c>
      <c r="G841" t="s">
        <v>139</v>
      </c>
      <c r="I841" t="s">
        <v>2445</v>
      </c>
      <c r="J841" t="s">
        <v>446</v>
      </c>
      <c r="K841" t="s">
        <v>109</v>
      </c>
      <c r="L841" t="s">
        <v>2446</v>
      </c>
      <c r="M841" t="s">
        <v>102</v>
      </c>
      <c r="P841">
        <f t="shared" si="26"/>
        <v>1</v>
      </c>
      <c r="Q841" t="str">
        <f>IF(AND(P841&gt;1,COUNTIF($E$6:E841,E841)=1),MAX($Q$5:Q840)+1,"")</f>
        <v/>
      </c>
      <c r="R841" t="str">
        <f t="shared" si="27"/>
        <v/>
      </c>
    </row>
    <row r="842" spans="1:18" ht="22.95" customHeight="1">
      <c r="A842" t="s">
        <v>2365</v>
      </c>
      <c r="B842" t="s">
        <v>24</v>
      </c>
      <c r="C842" t="s">
        <v>443</v>
      </c>
      <c r="D842" t="s">
        <v>444</v>
      </c>
      <c r="E842" t="s">
        <v>2447</v>
      </c>
      <c r="F842">
        <v>1</v>
      </c>
      <c r="G842" t="s">
        <v>139</v>
      </c>
      <c r="I842" t="s">
        <v>2448</v>
      </c>
      <c r="K842" t="s">
        <v>2449</v>
      </c>
      <c r="L842" t="s">
        <v>2450</v>
      </c>
      <c r="M842" t="s">
        <v>73</v>
      </c>
      <c r="P842">
        <f t="shared" si="26"/>
        <v>1</v>
      </c>
      <c r="Q842" t="str">
        <f>IF(AND(P842&gt;1,COUNTIF($E$6:E842,E842)=1),MAX($Q$5:Q841)+1,"")</f>
        <v/>
      </c>
      <c r="R842" t="str">
        <f t="shared" si="27"/>
        <v/>
      </c>
    </row>
    <row r="843" spans="1:18" ht="22.95" customHeight="1">
      <c r="A843" t="s">
        <v>2365</v>
      </c>
      <c r="B843" t="s">
        <v>24</v>
      </c>
      <c r="C843" t="s">
        <v>443</v>
      </c>
      <c r="D843" t="s">
        <v>444</v>
      </c>
      <c r="E843" t="s">
        <v>2451</v>
      </c>
      <c r="F843">
        <v>1</v>
      </c>
      <c r="G843" t="s">
        <v>92</v>
      </c>
      <c r="I843" t="s">
        <v>2452</v>
      </c>
      <c r="K843" t="s">
        <v>2453</v>
      </c>
      <c r="L843" t="s">
        <v>2454</v>
      </c>
      <c r="M843" t="s">
        <v>73</v>
      </c>
      <c r="P843">
        <f t="shared" si="26"/>
        <v>1</v>
      </c>
      <c r="Q843" t="str">
        <f>IF(AND(P843&gt;1,COUNTIF($E$6:E843,E843)=1),MAX($Q$5:Q842)+1,"")</f>
        <v/>
      </c>
      <c r="R843" t="str">
        <f t="shared" si="27"/>
        <v/>
      </c>
    </row>
    <row r="844" spans="1:18" ht="22.95" customHeight="1">
      <c r="A844" t="s">
        <v>2365</v>
      </c>
      <c r="B844" t="s">
        <v>24</v>
      </c>
      <c r="C844" t="s">
        <v>443</v>
      </c>
      <c r="D844" t="s">
        <v>444</v>
      </c>
      <c r="E844" t="s">
        <v>2455</v>
      </c>
      <c r="F844">
        <v>1</v>
      </c>
      <c r="G844" t="s">
        <v>92</v>
      </c>
      <c r="I844" t="s">
        <v>2456</v>
      </c>
      <c r="K844" t="s">
        <v>2453</v>
      </c>
      <c r="L844" t="s">
        <v>2454</v>
      </c>
      <c r="M844" t="s">
        <v>73</v>
      </c>
      <c r="P844">
        <f t="shared" si="26"/>
        <v>1</v>
      </c>
      <c r="Q844" t="str">
        <f>IF(AND(P844&gt;1,COUNTIF($E$6:E844,E844)=1),MAX($Q$5:Q843)+1,"")</f>
        <v/>
      </c>
      <c r="R844" t="str">
        <f t="shared" si="27"/>
        <v/>
      </c>
    </row>
    <row r="845" spans="1:18" ht="22.95" customHeight="1">
      <c r="A845" t="s">
        <v>2365</v>
      </c>
      <c r="B845" t="s">
        <v>24</v>
      </c>
      <c r="C845" t="s">
        <v>443</v>
      </c>
      <c r="D845" t="s">
        <v>444</v>
      </c>
      <c r="E845" t="s">
        <v>2457</v>
      </c>
      <c r="F845">
        <v>1</v>
      </c>
      <c r="G845" t="s">
        <v>92</v>
      </c>
      <c r="I845" t="s">
        <v>2458</v>
      </c>
      <c r="K845" t="s">
        <v>2453</v>
      </c>
      <c r="L845" t="s">
        <v>2454</v>
      </c>
      <c r="M845" t="s">
        <v>73</v>
      </c>
      <c r="P845">
        <f t="shared" si="26"/>
        <v>1</v>
      </c>
      <c r="Q845" t="str">
        <f>IF(AND(P845&gt;1,COUNTIF($E$6:E845,E845)=1),MAX($Q$5:Q844)+1,"")</f>
        <v/>
      </c>
      <c r="R845" t="str">
        <f t="shared" si="27"/>
        <v/>
      </c>
    </row>
    <row r="846" spans="1:18" ht="22.95" customHeight="1">
      <c r="A846" t="s">
        <v>2365</v>
      </c>
      <c r="B846" t="s">
        <v>28</v>
      </c>
      <c r="C846" t="s">
        <v>448</v>
      </c>
      <c r="D846" t="s">
        <v>449</v>
      </c>
      <c r="E846" t="s">
        <v>2459</v>
      </c>
      <c r="F846">
        <v>1</v>
      </c>
      <c r="I846" t="s">
        <v>2240</v>
      </c>
      <c r="J846" t="s">
        <v>446</v>
      </c>
      <c r="K846" t="s">
        <v>109</v>
      </c>
      <c r="L846" t="s">
        <v>2460</v>
      </c>
      <c r="M846" t="s">
        <v>102</v>
      </c>
      <c r="P846">
        <f t="shared" si="26"/>
        <v>1</v>
      </c>
      <c r="Q846" t="str">
        <f>IF(AND(P846&gt;1,COUNTIF($E$6:E846,E846)=1),MAX($Q$5:Q845)+1,"")</f>
        <v/>
      </c>
      <c r="R846" t="str">
        <f t="shared" si="27"/>
        <v/>
      </c>
    </row>
    <row r="847" spans="1:18" ht="22.95" customHeight="1">
      <c r="A847" t="s">
        <v>2365</v>
      </c>
      <c r="B847" t="s">
        <v>27</v>
      </c>
      <c r="C847" t="s">
        <v>1069</v>
      </c>
      <c r="D847" t="s">
        <v>1070</v>
      </c>
      <c r="E847" t="s">
        <v>2461</v>
      </c>
      <c r="F847">
        <v>1</v>
      </c>
      <c r="G847" t="s">
        <v>2462</v>
      </c>
      <c r="I847" t="s">
        <v>2463</v>
      </c>
      <c r="K847" t="s">
        <v>1778</v>
      </c>
      <c r="L847" t="s">
        <v>2464</v>
      </c>
      <c r="M847" t="s">
        <v>62</v>
      </c>
      <c r="N847" t="s">
        <v>1435</v>
      </c>
      <c r="P847">
        <f t="shared" si="26"/>
        <v>1</v>
      </c>
      <c r="Q847" t="str">
        <f>IF(AND(P847&gt;1,COUNTIF($E$6:E847,E847)=1),MAX($Q$5:Q846)+1,"")</f>
        <v/>
      </c>
      <c r="R847" t="str">
        <f t="shared" si="27"/>
        <v/>
      </c>
    </row>
    <row r="848" spans="1:18" ht="22.95" customHeight="1">
      <c r="A848" t="s">
        <v>2365</v>
      </c>
      <c r="B848" t="s">
        <v>27</v>
      </c>
      <c r="C848" t="s">
        <v>1069</v>
      </c>
      <c r="D848" t="s">
        <v>1070</v>
      </c>
      <c r="E848" t="s">
        <v>2465</v>
      </c>
      <c r="F848">
        <v>1</v>
      </c>
      <c r="G848" t="s">
        <v>2462</v>
      </c>
      <c r="I848" t="s">
        <v>2463</v>
      </c>
      <c r="K848" t="s">
        <v>1371</v>
      </c>
      <c r="L848" t="s">
        <v>2464</v>
      </c>
      <c r="M848" t="s">
        <v>62</v>
      </c>
      <c r="N848" t="s">
        <v>1435</v>
      </c>
      <c r="P848">
        <f t="shared" si="26"/>
        <v>1</v>
      </c>
      <c r="Q848" t="str">
        <f>IF(AND(P848&gt;1,COUNTIF($E$6:E848,E848)=1),MAX($Q$5:Q847)+1,"")</f>
        <v/>
      </c>
      <c r="R848" t="str">
        <f t="shared" si="27"/>
        <v/>
      </c>
    </row>
    <row r="849" spans="1:18" ht="22.95" customHeight="1">
      <c r="A849" t="s">
        <v>2365</v>
      </c>
      <c r="B849" t="s">
        <v>27</v>
      </c>
      <c r="C849" t="s">
        <v>1069</v>
      </c>
      <c r="D849" t="s">
        <v>1070</v>
      </c>
      <c r="E849" t="s">
        <v>2466</v>
      </c>
      <c r="F849">
        <v>1</v>
      </c>
      <c r="G849" t="s">
        <v>92</v>
      </c>
      <c r="I849" t="s">
        <v>2467</v>
      </c>
      <c r="J849" t="s">
        <v>446</v>
      </c>
      <c r="K849" t="s">
        <v>1371</v>
      </c>
      <c r="L849" t="s">
        <v>2468</v>
      </c>
      <c r="M849" t="s">
        <v>102</v>
      </c>
      <c r="P849">
        <f t="shared" si="26"/>
        <v>1</v>
      </c>
      <c r="Q849" t="str">
        <f>IF(AND(P849&gt;1,COUNTIF($E$6:E849,E849)=1),MAX($Q$5:Q848)+1,"")</f>
        <v/>
      </c>
      <c r="R849" t="str">
        <f t="shared" si="27"/>
        <v/>
      </c>
    </row>
    <row r="850" spans="1:18" ht="22.95" customHeight="1">
      <c r="A850" t="s">
        <v>2365</v>
      </c>
      <c r="B850" t="s">
        <v>26</v>
      </c>
      <c r="C850" t="s">
        <v>196</v>
      </c>
      <c r="D850" t="s">
        <v>197</v>
      </c>
      <c r="E850" t="s">
        <v>2469</v>
      </c>
      <c r="F850">
        <v>1</v>
      </c>
      <c r="G850" t="s">
        <v>2470</v>
      </c>
      <c r="H850" t="s">
        <v>104</v>
      </c>
      <c r="I850" t="s">
        <v>112</v>
      </c>
      <c r="J850" t="s">
        <v>99</v>
      </c>
      <c r="K850" t="s">
        <v>109</v>
      </c>
      <c r="L850" t="s">
        <v>2471</v>
      </c>
      <c r="M850" t="s">
        <v>102</v>
      </c>
      <c r="P850">
        <f t="shared" si="26"/>
        <v>1</v>
      </c>
      <c r="Q850" t="str">
        <f>IF(AND(P850&gt;1,COUNTIF($E$6:E850,E850)=1),MAX($Q$5:Q849)+1,"")</f>
        <v/>
      </c>
      <c r="R850" t="str">
        <f t="shared" si="27"/>
        <v/>
      </c>
    </row>
    <row r="851" spans="1:18" ht="22.95" customHeight="1">
      <c r="A851" t="s">
        <v>2365</v>
      </c>
      <c r="B851" t="s">
        <v>26</v>
      </c>
      <c r="C851" t="s">
        <v>196</v>
      </c>
      <c r="D851" t="s">
        <v>197</v>
      </c>
      <c r="E851" t="s">
        <v>2472</v>
      </c>
      <c r="F851">
        <v>1</v>
      </c>
      <c r="G851" t="s">
        <v>2470</v>
      </c>
      <c r="H851" t="s">
        <v>104</v>
      </c>
      <c r="I851" t="s">
        <v>112</v>
      </c>
      <c r="J851" t="s">
        <v>99</v>
      </c>
      <c r="K851" t="s">
        <v>109</v>
      </c>
      <c r="L851" t="s">
        <v>2473</v>
      </c>
      <c r="M851" t="s">
        <v>102</v>
      </c>
      <c r="P851">
        <f t="shared" si="26"/>
        <v>1</v>
      </c>
      <c r="Q851" t="str">
        <f>IF(AND(P851&gt;1,COUNTIF($E$6:E851,E851)=1),MAX($Q$5:Q850)+1,"")</f>
        <v/>
      </c>
      <c r="R851" t="str">
        <f t="shared" si="27"/>
        <v/>
      </c>
    </row>
    <row r="852" spans="1:18" ht="22.95" customHeight="1">
      <c r="A852" t="s">
        <v>2365</v>
      </c>
      <c r="B852" t="s">
        <v>26</v>
      </c>
      <c r="C852" t="s">
        <v>196</v>
      </c>
      <c r="D852" t="s">
        <v>197</v>
      </c>
      <c r="E852" t="s">
        <v>2474</v>
      </c>
      <c r="F852">
        <v>1</v>
      </c>
      <c r="G852" t="s">
        <v>92</v>
      </c>
      <c r="I852" t="s">
        <v>733</v>
      </c>
      <c r="J852" t="s">
        <v>446</v>
      </c>
      <c r="K852" t="s">
        <v>2475</v>
      </c>
      <c r="L852" t="s">
        <v>2476</v>
      </c>
      <c r="M852" t="s">
        <v>102</v>
      </c>
      <c r="P852">
        <f t="shared" si="26"/>
        <v>1</v>
      </c>
      <c r="Q852" t="str">
        <f>IF(AND(P852&gt;1,COUNTIF($E$6:E852,E852)=1),MAX($Q$5:Q851)+1,"")</f>
        <v/>
      </c>
      <c r="R852" t="str">
        <f t="shared" si="27"/>
        <v/>
      </c>
    </row>
    <row r="853" spans="1:18" ht="22.95" customHeight="1">
      <c r="A853" t="s">
        <v>2365</v>
      </c>
      <c r="B853" t="s">
        <v>26</v>
      </c>
      <c r="C853" t="s">
        <v>196</v>
      </c>
      <c r="D853" t="s">
        <v>197</v>
      </c>
      <c r="E853" t="s">
        <v>2477</v>
      </c>
      <c r="F853">
        <v>1</v>
      </c>
      <c r="G853" t="s">
        <v>92</v>
      </c>
      <c r="I853" t="s">
        <v>733</v>
      </c>
      <c r="J853" t="s">
        <v>446</v>
      </c>
      <c r="K853" t="s">
        <v>2475</v>
      </c>
      <c r="L853" t="s">
        <v>2478</v>
      </c>
      <c r="M853" t="s">
        <v>102</v>
      </c>
      <c r="P853">
        <f t="shared" si="26"/>
        <v>1</v>
      </c>
      <c r="Q853" t="str">
        <f>IF(AND(P853&gt;1,COUNTIF($E$6:E853,E853)=1),MAX($Q$5:Q852)+1,"")</f>
        <v/>
      </c>
      <c r="R853" t="str">
        <f t="shared" si="27"/>
        <v/>
      </c>
    </row>
    <row r="854" spans="1:18" ht="22.95" customHeight="1">
      <c r="A854" t="s">
        <v>2365</v>
      </c>
      <c r="B854" t="s">
        <v>26</v>
      </c>
      <c r="C854" t="s">
        <v>196</v>
      </c>
      <c r="D854" t="s">
        <v>197</v>
      </c>
      <c r="E854" t="s">
        <v>2479</v>
      </c>
      <c r="F854">
        <v>1</v>
      </c>
      <c r="G854" t="s">
        <v>92</v>
      </c>
      <c r="I854" t="s">
        <v>2480</v>
      </c>
      <c r="J854" t="s">
        <v>446</v>
      </c>
      <c r="K854" t="s">
        <v>622</v>
      </c>
      <c r="L854" t="s">
        <v>2481</v>
      </c>
      <c r="M854" t="s">
        <v>102</v>
      </c>
      <c r="P854">
        <f t="shared" si="26"/>
        <v>1</v>
      </c>
      <c r="Q854" t="str">
        <f>IF(AND(P854&gt;1,COUNTIF($E$6:E854,E854)=1),MAX($Q$5:Q853)+1,"")</f>
        <v/>
      </c>
      <c r="R854" t="str">
        <f t="shared" si="27"/>
        <v/>
      </c>
    </row>
    <row r="855" spans="1:18" ht="22.95" customHeight="1">
      <c r="A855" t="s">
        <v>2365</v>
      </c>
      <c r="B855" t="s">
        <v>31</v>
      </c>
      <c r="C855" t="s">
        <v>491</v>
      </c>
      <c r="D855" t="s">
        <v>492</v>
      </c>
      <c r="E855" t="s">
        <v>2482</v>
      </c>
      <c r="F855">
        <v>1</v>
      </c>
      <c r="G855" t="s">
        <v>715</v>
      </c>
      <c r="H855" t="s">
        <v>2483</v>
      </c>
      <c r="I855" t="s">
        <v>2484</v>
      </c>
      <c r="K855" t="s">
        <v>78</v>
      </c>
      <c r="L855" t="s">
        <v>2485</v>
      </c>
      <c r="M855" t="s">
        <v>62</v>
      </c>
      <c r="N855" t="s">
        <v>811</v>
      </c>
      <c r="P855">
        <f t="shared" si="26"/>
        <v>1</v>
      </c>
      <c r="Q855" t="str">
        <f>IF(AND(P855&gt;1,COUNTIF($E$6:E855,E855)=1),MAX($Q$5:Q854)+1,"")</f>
        <v/>
      </c>
      <c r="R855" t="str">
        <f t="shared" si="27"/>
        <v/>
      </c>
    </row>
    <row r="856" spans="1:18" ht="22.95" customHeight="1">
      <c r="A856" t="s">
        <v>2365</v>
      </c>
      <c r="B856" t="s">
        <v>31</v>
      </c>
      <c r="C856" t="s">
        <v>491</v>
      </c>
      <c r="D856" t="s">
        <v>492</v>
      </c>
      <c r="E856" t="s">
        <v>2486</v>
      </c>
      <c r="F856">
        <v>1</v>
      </c>
      <c r="G856" t="s">
        <v>715</v>
      </c>
      <c r="H856" t="s">
        <v>2483</v>
      </c>
      <c r="I856" t="s">
        <v>2484</v>
      </c>
      <c r="K856" t="s">
        <v>78</v>
      </c>
      <c r="L856" t="s">
        <v>2485</v>
      </c>
      <c r="M856" t="s">
        <v>62</v>
      </c>
      <c r="N856" t="s">
        <v>811</v>
      </c>
      <c r="P856">
        <f t="shared" si="26"/>
        <v>1</v>
      </c>
      <c r="Q856" t="str">
        <f>IF(AND(P856&gt;1,COUNTIF($E$6:E856,E856)=1),MAX($Q$5:Q855)+1,"")</f>
        <v/>
      </c>
      <c r="R856" t="str">
        <f t="shared" si="27"/>
        <v/>
      </c>
    </row>
    <row r="857" spans="1:18" ht="22.95" customHeight="1">
      <c r="A857" t="s">
        <v>2365</v>
      </c>
      <c r="B857" t="s">
        <v>32</v>
      </c>
      <c r="C857" t="s">
        <v>200</v>
      </c>
      <c r="D857" t="s">
        <v>201</v>
      </c>
      <c r="E857" t="s">
        <v>2487</v>
      </c>
      <c r="F857">
        <v>1</v>
      </c>
      <c r="G857" t="s">
        <v>2488</v>
      </c>
      <c r="H857" t="s">
        <v>2489</v>
      </c>
      <c r="I857" t="s">
        <v>2490</v>
      </c>
      <c r="K857" t="s">
        <v>109</v>
      </c>
      <c r="L857" t="s">
        <v>2491</v>
      </c>
      <c r="M857" t="s">
        <v>62</v>
      </c>
      <c r="N857" t="s">
        <v>1435</v>
      </c>
      <c r="P857">
        <f t="shared" si="26"/>
        <v>1</v>
      </c>
      <c r="Q857" t="str">
        <f>IF(AND(P857&gt;1,COUNTIF($E$6:E857,E857)=1),MAX($Q$5:Q856)+1,"")</f>
        <v/>
      </c>
      <c r="R857" t="str">
        <f t="shared" si="27"/>
        <v/>
      </c>
    </row>
    <row r="858" spans="1:18" ht="22.95" customHeight="1">
      <c r="A858" t="s">
        <v>2365</v>
      </c>
      <c r="B858" t="s">
        <v>32</v>
      </c>
      <c r="C858" t="s">
        <v>200</v>
      </c>
      <c r="D858" t="s">
        <v>201</v>
      </c>
      <c r="E858" t="s">
        <v>2492</v>
      </c>
      <c r="F858">
        <v>1</v>
      </c>
      <c r="G858" t="s">
        <v>2493</v>
      </c>
      <c r="H858" t="s">
        <v>2494</v>
      </c>
      <c r="I858" t="s">
        <v>2495</v>
      </c>
      <c r="K858" t="s">
        <v>109</v>
      </c>
      <c r="L858" t="s">
        <v>2496</v>
      </c>
      <c r="M858" t="s">
        <v>73</v>
      </c>
      <c r="P858">
        <f t="shared" si="26"/>
        <v>1</v>
      </c>
      <c r="Q858" t="str">
        <f>IF(AND(P858&gt;1,COUNTIF($E$6:E858,E858)=1),MAX($Q$5:Q857)+1,"")</f>
        <v/>
      </c>
      <c r="R858" t="str">
        <f t="shared" si="27"/>
        <v/>
      </c>
    </row>
    <row r="859" spans="1:18" ht="22.95" customHeight="1">
      <c r="A859" t="s">
        <v>2365</v>
      </c>
      <c r="B859" t="s">
        <v>32</v>
      </c>
      <c r="C859" t="s">
        <v>200</v>
      </c>
      <c r="D859" t="s">
        <v>201</v>
      </c>
      <c r="E859" t="s">
        <v>2497</v>
      </c>
      <c r="F859">
        <v>1</v>
      </c>
      <c r="G859" t="s">
        <v>2488</v>
      </c>
      <c r="H859" t="s">
        <v>2489</v>
      </c>
      <c r="I859" t="s">
        <v>733</v>
      </c>
      <c r="K859" t="s">
        <v>2498</v>
      </c>
      <c r="L859" t="s">
        <v>2499</v>
      </c>
      <c r="M859" t="s">
        <v>62</v>
      </c>
      <c r="N859" t="s">
        <v>712</v>
      </c>
      <c r="P859">
        <f t="shared" si="26"/>
        <v>1</v>
      </c>
      <c r="Q859" t="str">
        <f>IF(AND(P859&gt;1,COUNTIF($E$6:E859,E859)=1),MAX($Q$5:Q858)+1,"")</f>
        <v/>
      </c>
      <c r="R859" t="str">
        <f t="shared" si="27"/>
        <v/>
      </c>
    </row>
    <row r="860" spans="1:18" ht="22.95" customHeight="1">
      <c r="A860" t="s">
        <v>2365</v>
      </c>
      <c r="B860" t="s">
        <v>32</v>
      </c>
      <c r="C860" t="s">
        <v>200</v>
      </c>
      <c r="D860" t="s">
        <v>201</v>
      </c>
      <c r="E860" t="s">
        <v>2500</v>
      </c>
      <c r="F860">
        <v>1</v>
      </c>
      <c r="G860" t="s">
        <v>92</v>
      </c>
      <c r="I860" t="s">
        <v>2501</v>
      </c>
      <c r="J860" t="s">
        <v>672</v>
      </c>
      <c r="K860" t="s">
        <v>109</v>
      </c>
      <c r="L860" t="s">
        <v>2502</v>
      </c>
      <c r="M860" t="s">
        <v>102</v>
      </c>
      <c r="P860">
        <f t="shared" si="26"/>
        <v>1</v>
      </c>
      <c r="Q860" t="str">
        <f>IF(AND(P860&gt;1,COUNTIF($E$6:E860,E860)=1),MAX($Q$5:Q859)+1,"")</f>
        <v/>
      </c>
      <c r="R860" t="str">
        <f t="shared" si="27"/>
        <v/>
      </c>
    </row>
    <row r="861" spans="1:18" ht="22.95" customHeight="1">
      <c r="A861" t="s">
        <v>2365</v>
      </c>
      <c r="B861" t="s">
        <v>20</v>
      </c>
      <c r="C861" t="s">
        <v>65</v>
      </c>
      <c r="D861" t="s">
        <v>66</v>
      </c>
      <c r="E861" t="s">
        <v>2369</v>
      </c>
      <c r="F861">
        <v>1</v>
      </c>
      <c r="G861" t="s">
        <v>92</v>
      </c>
      <c r="I861" t="s">
        <v>2370</v>
      </c>
      <c r="K861" t="s">
        <v>2371</v>
      </c>
      <c r="L861" t="s">
        <v>2372</v>
      </c>
      <c r="M861" t="s">
        <v>73</v>
      </c>
      <c r="P861">
        <f t="shared" si="26"/>
        <v>2</v>
      </c>
      <c r="Q861" t="str">
        <f>IF(AND(P861&gt;1,COUNTIF($E$6:E861,E861)=1),MAX($Q$5:Q860)+1,"")</f>
        <v/>
      </c>
      <c r="R861" t="str">
        <f t="shared" si="27"/>
        <v/>
      </c>
    </row>
    <row r="862" spans="1:18" ht="22.95" customHeight="1">
      <c r="A862" t="s">
        <v>2365</v>
      </c>
      <c r="B862" t="s">
        <v>20</v>
      </c>
      <c r="C862" t="s">
        <v>65</v>
      </c>
      <c r="D862" t="s">
        <v>66</v>
      </c>
      <c r="E862" t="s">
        <v>2373</v>
      </c>
      <c r="F862">
        <v>1</v>
      </c>
      <c r="G862" t="s">
        <v>1887</v>
      </c>
      <c r="I862" t="s">
        <v>140</v>
      </c>
      <c r="K862" t="s">
        <v>2347</v>
      </c>
      <c r="L862" t="s">
        <v>2374</v>
      </c>
      <c r="M862" t="s">
        <v>73</v>
      </c>
      <c r="P862">
        <f t="shared" si="26"/>
        <v>2</v>
      </c>
      <c r="Q862" t="str">
        <f>IF(AND(P862&gt;1,COUNTIF($E$6:E862,E862)=1),MAX($Q$5:Q861)+1,"")</f>
        <v/>
      </c>
      <c r="R862" t="str">
        <f t="shared" si="27"/>
        <v/>
      </c>
    </row>
    <row r="863" spans="1:18" ht="22.95" customHeight="1">
      <c r="A863" t="s">
        <v>2365</v>
      </c>
      <c r="B863" t="s">
        <v>20</v>
      </c>
      <c r="C863" t="s">
        <v>65</v>
      </c>
      <c r="D863" t="s">
        <v>66</v>
      </c>
      <c r="E863" t="s">
        <v>2375</v>
      </c>
      <c r="F863">
        <v>1</v>
      </c>
      <c r="G863" t="s">
        <v>1887</v>
      </c>
      <c r="I863" t="s">
        <v>140</v>
      </c>
      <c r="K863" t="s">
        <v>2347</v>
      </c>
      <c r="L863" t="s">
        <v>2374</v>
      </c>
      <c r="M863" t="s">
        <v>73</v>
      </c>
      <c r="P863">
        <f t="shared" si="26"/>
        <v>2</v>
      </c>
      <c r="Q863" t="str">
        <f>IF(AND(P863&gt;1,COUNTIF($E$6:E863,E863)=1),MAX($Q$5:Q862)+1,"")</f>
        <v/>
      </c>
      <c r="R863" t="str">
        <f t="shared" si="27"/>
        <v/>
      </c>
    </row>
    <row r="864" spans="1:18" ht="22.95" customHeight="1">
      <c r="A864" t="s">
        <v>2503</v>
      </c>
      <c r="B864" t="s">
        <v>22</v>
      </c>
      <c r="C864" t="s">
        <v>89</v>
      </c>
      <c r="D864" t="s">
        <v>2504</v>
      </c>
      <c r="E864" t="s">
        <v>2505</v>
      </c>
      <c r="F864">
        <v>1</v>
      </c>
      <c r="G864" t="s">
        <v>92</v>
      </c>
      <c r="I864" t="s">
        <v>2506</v>
      </c>
      <c r="K864" t="s">
        <v>406</v>
      </c>
      <c r="L864" t="s">
        <v>2507</v>
      </c>
      <c r="M864" t="s">
        <v>102</v>
      </c>
      <c r="P864">
        <f t="shared" si="26"/>
        <v>1</v>
      </c>
      <c r="Q864" t="str">
        <f>IF(AND(P864&gt;1,COUNTIF($E$6:E864,E864)=1),MAX($Q$5:Q863)+1,"")</f>
        <v/>
      </c>
      <c r="R864" t="str">
        <f t="shared" si="27"/>
        <v/>
      </c>
    </row>
    <row r="865" spans="1:18" ht="22.95" customHeight="1">
      <c r="A865" t="s">
        <v>2503</v>
      </c>
      <c r="B865" t="s">
        <v>22</v>
      </c>
      <c r="C865" t="s">
        <v>370</v>
      </c>
      <c r="D865" t="s">
        <v>371</v>
      </c>
      <c r="E865" t="s">
        <v>2508</v>
      </c>
      <c r="F865">
        <v>1</v>
      </c>
      <c r="G865" t="s">
        <v>92</v>
      </c>
      <c r="I865" t="s">
        <v>2509</v>
      </c>
      <c r="K865" t="s">
        <v>274</v>
      </c>
      <c r="L865" t="s">
        <v>2510</v>
      </c>
      <c r="M865" t="s">
        <v>73</v>
      </c>
      <c r="P865">
        <f t="shared" si="26"/>
        <v>1</v>
      </c>
      <c r="Q865" t="str">
        <f>IF(AND(P865&gt;1,COUNTIF($E$6:E865,E865)=1),MAX($Q$5:Q864)+1,"")</f>
        <v/>
      </c>
      <c r="R865" t="str">
        <f t="shared" si="27"/>
        <v/>
      </c>
    </row>
    <row r="866" spans="1:18" ht="22.95" customHeight="1">
      <c r="A866" t="s">
        <v>2503</v>
      </c>
      <c r="B866" t="s">
        <v>22</v>
      </c>
      <c r="C866" t="s">
        <v>370</v>
      </c>
      <c r="D866" t="s">
        <v>371</v>
      </c>
      <c r="E866" t="s">
        <v>2511</v>
      </c>
      <c r="F866">
        <v>1</v>
      </c>
      <c r="G866" t="s">
        <v>1345</v>
      </c>
      <c r="H866" t="s">
        <v>2512</v>
      </c>
      <c r="I866" t="s">
        <v>2513</v>
      </c>
      <c r="K866" t="s">
        <v>109</v>
      </c>
      <c r="L866" t="s">
        <v>2514</v>
      </c>
      <c r="M866" t="s">
        <v>73</v>
      </c>
      <c r="P866">
        <f t="shared" si="26"/>
        <v>1</v>
      </c>
      <c r="Q866" t="str">
        <f>IF(AND(P866&gt;1,COUNTIF($E$6:E866,E866)=1),MAX($Q$5:Q865)+1,"")</f>
        <v/>
      </c>
      <c r="R866" t="str">
        <f t="shared" si="27"/>
        <v/>
      </c>
    </row>
    <row r="867" spans="1:18" ht="22.95" customHeight="1">
      <c r="A867" t="s">
        <v>2503</v>
      </c>
      <c r="B867" t="s">
        <v>22</v>
      </c>
      <c r="C867" t="s">
        <v>370</v>
      </c>
      <c r="D867" t="s">
        <v>371</v>
      </c>
      <c r="E867" t="s">
        <v>2515</v>
      </c>
      <c r="F867">
        <v>1</v>
      </c>
      <c r="G867" t="s">
        <v>1345</v>
      </c>
      <c r="H867" t="s">
        <v>2512</v>
      </c>
      <c r="I867" t="s">
        <v>2513</v>
      </c>
      <c r="K867" t="s">
        <v>109</v>
      </c>
      <c r="L867" t="s">
        <v>2516</v>
      </c>
      <c r="M867" t="s">
        <v>73</v>
      </c>
      <c r="P867">
        <f t="shared" si="26"/>
        <v>1</v>
      </c>
      <c r="Q867" t="str">
        <f>IF(AND(P867&gt;1,COUNTIF($E$6:E867,E867)=1),MAX($Q$5:Q866)+1,"")</f>
        <v/>
      </c>
      <c r="R867" t="str">
        <f t="shared" si="27"/>
        <v/>
      </c>
    </row>
    <row r="868" spans="1:18" ht="22.95" customHeight="1">
      <c r="A868" t="s">
        <v>2503</v>
      </c>
      <c r="B868" t="s">
        <v>22</v>
      </c>
      <c r="C868" t="s">
        <v>370</v>
      </c>
      <c r="D868" t="s">
        <v>371</v>
      </c>
      <c r="E868" t="s">
        <v>2517</v>
      </c>
      <c r="F868">
        <v>1</v>
      </c>
      <c r="G868" t="s">
        <v>92</v>
      </c>
      <c r="I868" t="s">
        <v>140</v>
      </c>
      <c r="J868" t="s">
        <v>672</v>
      </c>
      <c r="K868" t="s">
        <v>2518</v>
      </c>
      <c r="L868" t="s">
        <v>2519</v>
      </c>
      <c r="M868" t="s">
        <v>73</v>
      </c>
      <c r="P868">
        <f t="shared" si="26"/>
        <v>1</v>
      </c>
      <c r="Q868" t="str">
        <f>IF(AND(P868&gt;1,COUNTIF($E$6:E868,E868)=1),MAX($Q$5:Q867)+1,"")</f>
        <v/>
      </c>
      <c r="R868" t="str">
        <f t="shared" si="27"/>
        <v/>
      </c>
    </row>
    <row r="869" spans="1:18" ht="22.95" customHeight="1">
      <c r="A869" t="s">
        <v>2503</v>
      </c>
      <c r="B869" t="s">
        <v>22</v>
      </c>
      <c r="C869" t="s">
        <v>370</v>
      </c>
      <c r="D869" t="s">
        <v>371</v>
      </c>
      <c r="E869" t="s">
        <v>2520</v>
      </c>
      <c r="F869">
        <v>1</v>
      </c>
      <c r="G869" t="s">
        <v>92</v>
      </c>
      <c r="I869" t="s">
        <v>140</v>
      </c>
      <c r="J869" t="s">
        <v>672</v>
      </c>
      <c r="K869" t="s">
        <v>2521</v>
      </c>
      <c r="L869" t="s">
        <v>2519</v>
      </c>
      <c r="M869" t="s">
        <v>73</v>
      </c>
      <c r="P869">
        <f t="shared" si="26"/>
        <v>1</v>
      </c>
      <c r="Q869" t="str">
        <f>IF(AND(P869&gt;1,COUNTIF($E$6:E869,E869)=1),MAX($Q$5:Q868)+1,"")</f>
        <v/>
      </c>
      <c r="R869" t="str">
        <f t="shared" si="27"/>
        <v/>
      </c>
    </row>
    <row r="870" spans="1:18" ht="22.95" customHeight="1">
      <c r="A870" t="s">
        <v>2503</v>
      </c>
      <c r="B870" t="s">
        <v>25</v>
      </c>
      <c r="C870" t="s">
        <v>115</v>
      </c>
      <c r="D870" t="s">
        <v>116</v>
      </c>
      <c r="E870" t="s">
        <v>2522</v>
      </c>
      <c r="F870">
        <v>1</v>
      </c>
      <c r="G870" t="s">
        <v>2523</v>
      </c>
      <c r="H870" t="s">
        <v>2524</v>
      </c>
      <c r="I870" t="s">
        <v>141</v>
      </c>
      <c r="J870" t="s">
        <v>99</v>
      </c>
      <c r="K870" t="s">
        <v>406</v>
      </c>
      <c r="L870" t="s">
        <v>2525</v>
      </c>
      <c r="M870" t="s">
        <v>102</v>
      </c>
      <c r="P870">
        <f t="shared" si="26"/>
        <v>1</v>
      </c>
      <c r="Q870" t="str">
        <f>IF(AND(P870&gt;1,COUNTIF($E$6:E870,E870)=1),MAX($Q$5:Q869)+1,"")</f>
        <v/>
      </c>
      <c r="R870" t="str">
        <f t="shared" si="27"/>
        <v/>
      </c>
    </row>
    <row r="871" spans="1:18" ht="22.95" customHeight="1">
      <c r="A871" t="s">
        <v>2503</v>
      </c>
      <c r="B871" t="s">
        <v>25</v>
      </c>
      <c r="C871" t="s">
        <v>115</v>
      </c>
      <c r="D871" t="s">
        <v>116</v>
      </c>
      <c r="E871" t="s">
        <v>2526</v>
      </c>
      <c r="F871">
        <v>1</v>
      </c>
      <c r="G871" t="s">
        <v>92</v>
      </c>
      <c r="I871" t="s">
        <v>2527</v>
      </c>
      <c r="J871" t="s">
        <v>99</v>
      </c>
      <c r="K871" t="s">
        <v>406</v>
      </c>
      <c r="L871" t="s">
        <v>2528</v>
      </c>
      <c r="M871" t="s">
        <v>102</v>
      </c>
      <c r="P871">
        <f t="shared" si="26"/>
        <v>1</v>
      </c>
      <c r="Q871" t="str">
        <f>IF(AND(P871&gt;1,COUNTIF($E$6:E871,E871)=1),MAX($Q$5:Q870)+1,"")</f>
        <v/>
      </c>
      <c r="R871" t="str">
        <f t="shared" si="27"/>
        <v/>
      </c>
    </row>
    <row r="872" spans="1:18" ht="22.95" customHeight="1">
      <c r="A872" t="s">
        <v>2503</v>
      </c>
      <c r="B872" t="s">
        <v>24</v>
      </c>
      <c r="C872" t="s">
        <v>426</v>
      </c>
      <c r="D872" t="s">
        <v>427</v>
      </c>
      <c r="E872" t="s">
        <v>2529</v>
      </c>
      <c r="F872">
        <v>1</v>
      </c>
      <c r="G872" t="s">
        <v>210</v>
      </c>
      <c r="H872" t="s">
        <v>2530</v>
      </c>
      <c r="I872" t="s">
        <v>2531</v>
      </c>
      <c r="K872" t="s">
        <v>1417</v>
      </c>
      <c r="L872" t="s">
        <v>2532</v>
      </c>
      <c r="M872" t="s">
        <v>62</v>
      </c>
      <c r="N872" t="s">
        <v>2126</v>
      </c>
      <c r="P872">
        <f t="shared" si="26"/>
        <v>1</v>
      </c>
      <c r="Q872" t="str">
        <f>IF(AND(P872&gt;1,COUNTIF($E$6:E872,E872)=1),MAX($Q$5:Q871)+1,"")</f>
        <v/>
      </c>
      <c r="R872" t="str">
        <f t="shared" si="27"/>
        <v/>
      </c>
    </row>
    <row r="873" spans="1:18" ht="22.95" customHeight="1">
      <c r="A873" t="s">
        <v>2503</v>
      </c>
      <c r="B873" t="s">
        <v>24</v>
      </c>
      <c r="C873" t="s">
        <v>426</v>
      </c>
      <c r="D873" t="s">
        <v>427</v>
      </c>
      <c r="E873" t="s">
        <v>2533</v>
      </c>
      <c r="F873">
        <v>1</v>
      </c>
      <c r="G873" t="s">
        <v>210</v>
      </c>
      <c r="H873" t="s">
        <v>2530</v>
      </c>
      <c r="I873" t="s">
        <v>2534</v>
      </c>
      <c r="K873" t="s">
        <v>1417</v>
      </c>
      <c r="L873" t="s">
        <v>2535</v>
      </c>
      <c r="M873" t="s">
        <v>62</v>
      </c>
      <c r="N873" t="s">
        <v>130</v>
      </c>
      <c r="P873">
        <f t="shared" si="26"/>
        <v>1</v>
      </c>
      <c r="Q873" t="str">
        <f>IF(AND(P873&gt;1,COUNTIF($E$6:E873,E873)=1),MAX($Q$5:Q872)+1,"")</f>
        <v/>
      </c>
      <c r="R873" t="str">
        <f t="shared" si="27"/>
        <v/>
      </c>
    </row>
    <row r="874" spans="1:18" ht="22.95" customHeight="1">
      <c r="A874" t="s">
        <v>2503</v>
      </c>
      <c r="B874" t="s">
        <v>24</v>
      </c>
      <c r="C874" t="s">
        <v>426</v>
      </c>
      <c r="D874" t="s">
        <v>427</v>
      </c>
      <c r="E874" t="s">
        <v>2536</v>
      </c>
      <c r="F874">
        <v>1</v>
      </c>
      <c r="G874" t="s">
        <v>901</v>
      </c>
      <c r="H874" t="s">
        <v>698</v>
      </c>
      <c r="I874" t="s">
        <v>2537</v>
      </c>
      <c r="K874" t="s">
        <v>78</v>
      </c>
      <c r="L874" t="s">
        <v>2538</v>
      </c>
      <c r="M874" t="s">
        <v>62</v>
      </c>
      <c r="N874" t="s">
        <v>811</v>
      </c>
      <c r="P874">
        <f t="shared" si="26"/>
        <v>1</v>
      </c>
      <c r="Q874" t="str">
        <f>IF(AND(P874&gt;1,COUNTIF($E$6:E874,E874)=1),MAX($Q$5:Q873)+1,"")</f>
        <v/>
      </c>
      <c r="R874" t="str">
        <f t="shared" si="27"/>
        <v/>
      </c>
    </row>
    <row r="875" spans="1:18" ht="22.95" customHeight="1">
      <c r="A875" t="s">
        <v>2503</v>
      </c>
      <c r="B875" t="s">
        <v>24</v>
      </c>
      <c r="C875" t="s">
        <v>426</v>
      </c>
      <c r="D875" t="s">
        <v>427</v>
      </c>
      <c r="E875" t="s">
        <v>2539</v>
      </c>
      <c r="F875">
        <v>1</v>
      </c>
      <c r="G875" t="s">
        <v>901</v>
      </c>
      <c r="H875" t="s">
        <v>698</v>
      </c>
      <c r="I875" t="s">
        <v>2540</v>
      </c>
      <c r="K875" t="s">
        <v>78</v>
      </c>
      <c r="L875" t="s">
        <v>2538</v>
      </c>
      <c r="M875" t="s">
        <v>62</v>
      </c>
      <c r="N875" t="s">
        <v>811</v>
      </c>
      <c r="P875">
        <f t="shared" si="26"/>
        <v>1</v>
      </c>
      <c r="Q875" t="str">
        <f>IF(AND(P875&gt;1,COUNTIF($E$6:E875,E875)=1),MAX($Q$5:Q874)+1,"")</f>
        <v/>
      </c>
      <c r="R875" t="str">
        <f t="shared" si="27"/>
        <v/>
      </c>
    </row>
    <row r="876" spans="1:18" ht="22.95" customHeight="1">
      <c r="A876" t="s">
        <v>2503</v>
      </c>
      <c r="B876" t="s">
        <v>24</v>
      </c>
      <c r="C876" t="s">
        <v>426</v>
      </c>
      <c r="D876" t="s">
        <v>427</v>
      </c>
      <c r="E876" t="s">
        <v>2541</v>
      </c>
      <c r="F876">
        <v>1</v>
      </c>
      <c r="G876" t="s">
        <v>901</v>
      </c>
      <c r="H876" t="s">
        <v>698</v>
      </c>
      <c r="I876" t="s">
        <v>2542</v>
      </c>
      <c r="K876" t="s">
        <v>78</v>
      </c>
      <c r="L876" t="s">
        <v>2538</v>
      </c>
      <c r="M876" t="s">
        <v>62</v>
      </c>
      <c r="N876" t="s">
        <v>811</v>
      </c>
      <c r="P876">
        <f t="shared" si="26"/>
        <v>1</v>
      </c>
      <c r="Q876" t="str">
        <f>IF(AND(P876&gt;1,COUNTIF($E$6:E876,E876)=1),MAX($Q$5:Q875)+1,"")</f>
        <v/>
      </c>
      <c r="R876" t="str">
        <f t="shared" si="27"/>
        <v/>
      </c>
    </row>
    <row r="877" spans="1:18" ht="22.95" customHeight="1">
      <c r="A877" t="s">
        <v>2503</v>
      </c>
      <c r="B877" t="s">
        <v>24</v>
      </c>
      <c r="C877" t="s">
        <v>431</v>
      </c>
      <c r="D877" t="s">
        <v>216</v>
      </c>
      <c r="E877" t="s">
        <v>2543</v>
      </c>
      <c r="F877">
        <v>1</v>
      </c>
      <c r="G877" t="s">
        <v>2544</v>
      </c>
      <c r="H877" t="s">
        <v>2545</v>
      </c>
      <c r="I877" t="s">
        <v>2546</v>
      </c>
      <c r="K877" t="s">
        <v>78</v>
      </c>
      <c r="L877" t="s">
        <v>2547</v>
      </c>
      <c r="M877" t="s">
        <v>73</v>
      </c>
      <c r="P877">
        <f t="shared" si="26"/>
        <v>1</v>
      </c>
      <c r="Q877" t="str">
        <f>IF(AND(P877&gt;1,COUNTIF($E$6:E877,E877)=1),MAX($Q$5:Q876)+1,"")</f>
        <v/>
      </c>
      <c r="R877" t="str">
        <f t="shared" si="27"/>
        <v/>
      </c>
    </row>
    <row r="878" spans="1:18" ht="22.95" customHeight="1">
      <c r="A878" t="s">
        <v>2503</v>
      </c>
      <c r="B878" t="s">
        <v>24</v>
      </c>
      <c r="C878" t="s">
        <v>431</v>
      </c>
      <c r="D878" t="s">
        <v>216</v>
      </c>
      <c r="E878" t="s">
        <v>2548</v>
      </c>
      <c r="F878">
        <v>1</v>
      </c>
      <c r="G878" t="s">
        <v>92</v>
      </c>
      <c r="I878" t="s">
        <v>2549</v>
      </c>
      <c r="J878" t="s">
        <v>99</v>
      </c>
      <c r="K878" t="s">
        <v>140</v>
      </c>
      <c r="L878" t="s">
        <v>2550</v>
      </c>
      <c r="M878" t="s">
        <v>102</v>
      </c>
      <c r="P878">
        <f t="shared" si="26"/>
        <v>1</v>
      </c>
      <c r="Q878" t="str">
        <f>IF(AND(P878&gt;1,COUNTIF($E$6:E878,E878)=1),MAX($Q$5:Q877)+1,"")</f>
        <v/>
      </c>
      <c r="R878" t="str">
        <f t="shared" si="27"/>
        <v/>
      </c>
    </row>
    <row r="879" spans="1:18" ht="22.95" customHeight="1">
      <c r="A879" t="s">
        <v>2503</v>
      </c>
      <c r="B879" t="s">
        <v>24</v>
      </c>
      <c r="C879" t="s">
        <v>431</v>
      </c>
      <c r="D879" t="s">
        <v>216</v>
      </c>
      <c r="E879" t="s">
        <v>2551</v>
      </c>
      <c r="F879">
        <v>1</v>
      </c>
      <c r="G879" t="s">
        <v>92</v>
      </c>
      <c r="I879" t="s">
        <v>2552</v>
      </c>
      <c r="J879" t="s">
        <v>99</v>
      </c>
      <c r="K879" t="s">
        <v>140</v>
      </c>
      <c r="L879" t="s">
        <v>2553</v>
      </c>
      <c r="M879" t="s">
        <v>102</v>
      </c>
      <c r="P879">
        <f t="shared" si="26"/>
        <v>1</v>
      </c>
      <c r="Q879" t="str">
        <f>IF(AND(P879&gt;1,COUNTIF($E$6:E879,E879)=1),MAX($Q$5:Q878)+1,"")</f>
        <v/>
      </c>
      <c r="R879" t="str">
        <f t="shared" si="27"/>
        <v/>
      </c>
    </row>
    <row r="880" spans="1:18" ht="22.95" customHeight="1">
      <c r="A880" t="s">
        <v>2503</v>
      </c>
      <c r="B880" t="s">
        <v>24</v>
      </c>
      <c r="C880" t="s">
        <v>436</v>
      </c>
      <c r="D880" t="s">
        <v>437</v>
      </c>
      <c r="E880" t="s">
        <v>2554</v>
      </c>
      <c r="F880">
        <v>1</v>
      </c>
      <c r="G880" t="s">
        <v>2555</v>
      </c>
      <c r="I880" t="s">
        <v>2556</v>
      </c>
      <c r="K880" t="s">
        <v>2556</v>
      </c>
      <c r="L880" t="s">
        <v>2557</v>
      </c>
      <c r="M880" t="s">
        <v>62</v>
      </c>
      <c r="N880" t="s">
        <v>1435</v>
      </c>
      <c r="P880">
        <f t="shared" si="26"/>
        <v>1</v>
      </c>
      <c r="Q880" t="str">
        <f>IF(AND(P880&gt;1,COUNTIF($E$6:E880,E880)=1),MAX($Q$5:Q879)+1,"")</f>
        <v/>
      </c>
      <c r="R880" t="str">
        <f t="shared" si="27"/>
        <v/>
      </c>
    </row>
    <row r="881" spans="1:18" ht="22.95" customHeight="1">
      <c r="A881" t="s">
        <v>2503</v>
      </c>
      <c r="B881" t="s">
        <v>24</v>
      </c>
      <c r="C881" t="s">
        <v>436</v>
      </c>
      <c r="D881" t="s">
        <v>437</v>
      </c>
      <c r="E881" t="s">
        <v>2558</v>
      </c>
      <c r="F881">
        <v>1</v>
      </c>
      <c r="G881" t="s">
        <v>92</v>
      </c>
      <c r="I881" t="s">
        <v>2559</v>
      </c>
      <c r="J881" t="s">
        <v>446</v>
      </c>
      <c r="K881" t="s">
        <v>2560</v>
      </c>
      <c r="L881" t="s">
        <v>2561</v>
      </c>
      <c r="M881" t="s">
        <v>102</v>
      </c>
      <c r="P881">
        <f t="shared" si="26"/>
        <v>1</v>
      </c>
      <c r="Q881" t="str">
        <f>IF(AND(P881&gt;1,COUNTIF($E$6:E881,E881)=1),MAX($Q$5:Q880)+1,"")</f>
        <v/>
      </c>
      <c r="R881" t="str">
        <f t="shared" si="27"/>
        <v/>
      </c>
    </row>
    <row r="882" spans="1:18" ht="22.95" customHeight="1">
      <c r="A882" t="s">
        <v>2503</v>
      </c>
      <c r="B882" t="s">
        <v>24</v>
      </c>
      <c r="C882" t="s">
        <v>436</v>
      </c>
      <c r="D882" t="s">
        <v>437</v>
      </c>
      <c r="E882" t="s">
        <v>2562</v>
      </c>
      <c r="F882">
        <v>1</v>
      </c>
      <c r="G882" t="s">
        <v>92</v>
      </c>
      <c r="I882" t="s">
        <v>2563</v>
      </c>
      <c r="K882" t="s">
        <v>2564</v>
      </c>
      <c r="L882" t="s">
        <v>2565</v>
      </c>
      <c r="M882" t="s">
        <v>62</v>
      </c>
      <c r="N882" t="s">
        <v>187</v>
      </c>
      <c r="P882">
        <f t="shared" si="26"/>
        <v>1</v>
      </c>
      <c r="Q882" t="str">
        <f>IF(AND(P882&gt;1,COUNTIF($E$6:E882,E882)=1),MAX($Q$5:Q881)+1,"")</f>
        <v/>
      </c>
      <c r="R882" t="str">
        <f t="shared" si="27"/>
        <v/>
      </c>
    </row>
    <row r="883" spans="1:18" ht="22.95" customHeight="1">
      <c r="A883" t="s">
        <v>2503</v>
      </c>
      <c r="B883" t="s">
        <v>24</v>
      </c>
      <c r="C883" t="s">
        <v>136</v>
      </c>
      <c r="D883" t="s">
        <v>674</v>
      </c>
      <c r="E883" t="s">
        <v>2566</v>
      </c>
      <c r="F883">
        <v>1</v>
      </c>
      <c r="G883" t="s">
        <v>429</v>
      </c>
      <c r="I883" t="s">
        <v>2567</v>
      </c>
      <c r="J883" t="s">
        <v>245</v>
      </c>
      <c r="K883" t="s">
        <v>1371</v>
      </c>
      <c r="L883" t="s">
        <v>2568</v>
      </c>
      <c r="M883" t="s">
        <v>62</v>
      </c>
      <c r="N883" t="s">
        <v>187</v>
      </c>
      <c r="P883">
        <f t="shared" si="26"/>
        <v>1</v>
      </c>
      <c r="Q883" t="str">
        <f>IF(AND(P883&gt;1,COUNTIF($E$6:E883,E883)=1),MAX($Q$5:Q882)+1,"")</f>
        <v/>
      </c>
      <c r="R883" t="str">
        <f t="shared" si="27"/>
        <v/>
      </c>
    </row>
    <row r="884" spans="1:18" ht="22.95" customHeight="1">
      <c r="A884" t="s">
        <v>2503</v>
      </c>
      <c r="B884" t="s">
        <v>24</v>
      </c>
      <c r="C884" t="s">
        <v>136</v>
      </c>
      <c r="D884" t="s">
        <v>674</v>
      </c>
      <c r="E884" t="s">
        <v>2569</v>
      </c>
      <c r="F884">
        <v>1</v>
      </c>
      <c r="G884" t="s">
        <v>92</v>
      </c>
      <c r="I884" t="s">
        <v>2556</v>
      </c>
      <c r="K884" t="s">
        <v>2570</v>
      </c>
      <c r="L884" t="s">
        <v>2571</v>
      </c>
      <c r="M884" t="s">
        <v>102</v>
      </c>
      <c r="P884">
        <f t="shared" si="26"/>
        <v>1</v>
      </c>
      <c r="Q884" t="str">
        <f>IF(AND(P884&gt;1,COUNTIF($E$6:E884,E884)=1),MAX($Q$5:Q883)+1,"")</f>
        <v/>
      </c>
      <c r="R884" t="str">
        <f t="shared" si="27"/>
        <v/>
      </c>
    </row>
    <row r="885" spans="1:18" ht="22.95" customHeight="1">
      <c r="A885" t="s">
        <v>2503</v>
      </c>
      <c r="B885" t="s">
        <v>28</v>
      </c>
      <c r="C885" t="s">
        <v>146</v>
      </c>
      <c r="D885" t="s">
        <v>147</v>
      </c>
      <c r="E885" t="s">
        <v>2572</v>
      </c>
      <c r="F885">
        <v>1</v>
      </c>
      <c r="G885" t="s">
        <v>2573</v>
      </c>
      <c r="H885" t="s">
        <v>2574</v>
      </c>
      <c r="I885" t="s">
        <v>2575</v>
      </c>
      <c r="K885" t="s">
        <v>109</v>
      </c>
      <c r="L885" t="s">
        <v>2576</v>
      </c>
      <c r="M885" t="s">
        <v>73</v>
      </c>
      <c r="P885">
        <f t="shared" si="26"/>
        <v>1</v>
      </c>
      <c r="Q885" t="str">
        <f>IF(AND(P885&gt;1,COUNTIF($E$6:E885,E885)=1),MAX($Q$5:Q884)+1,"")</f>
        <v/>
      </c>
      <c r="R885" t="str">
        <f t="shared" si="27"/>
        <v/>
      </c>
    </row>
    <row r="886" spans="1:18" ht="22.95" customHeight="1">
      <c r="A886" t="s">
        <v>2503</v>
      </c>
      <c r="B886" t="s">
        <v>28</v>
      </c>
      <c r="C886" t="s">
        <v>146</v>
      </c>
      <c r="D886" t="s">
        <v>147</v>
      </c>
      <c r="E886" t="s">
        <v>2577</v>
      </c>
      <c r="F886">
        <v>1</v>
      </c>
      <c r="G886" t="s">
        <v>2573</v>
      </c>
      <c r="H886" t="s">
        <v>2574</v>
      </c>
      <c r="I886" t="s">
        <v>2575</v>
      </c>
      <c r="K886" t="s">
        <v>109</v>
      </c>
      <c r="L886" t="s">
        <v>2576</v>
      </c>
      <c r="M886" t="s">
        <v>73</v>
      </c>
      <c r="P886">
        <f t="shared" si="26"/>
        <v>1</v>
      </c>
      <c r="Q886" t="str">
        <f>IF(AND(P886&gt;1,COUNTIF($E$6:E886,E886)=1),MAX($Q$5:Q885)+1,"")</f>
        <v/>
      </c>
      <c r="R886" t="str">
        <f t="shared" si="27"/>
        <v/>
      </c>
    </row>
    <row r="887" spans="1:18" ht="22.95" customHeight="1">
      <c r="A887" t="s">
        <v>2503</v>
      </c>
      <c r="B887" t="s">
        <v>28</v>
      </c>
      <c r="C887" t="s">
        <v>146</v>
      </c>
      <c r="D887" t="s">
        <v>147</v>
      </c>
      <c r="E887" t="s">
        <v>2578</v>
      </c>
      <c r="F887">
        <v>1</v>
      </c>
      <c r="G887" t="s">
        <v>92</v>
      </c>
      <c r="I887" t="s">
        <v>2567</v>
      </c>
      <c r="J887" t="s">
        <v>446</v>
      </c>
      <c r="K887" t="s">
        <v>2579</v>
      </c>
      <c r="L887" t="s">
        <v>2580</v>
      </c>
      <c r="M887" t="s">
        <v>102</v>
      </c>
      <c r="P887">
        <f t="shared" si="26"/>
        <v>1</v>
      </c>
      <c r="Q887" t="str">
        <f>IF(AND(P887&gt;1,COUNTIF($E$6:E887,E887)=1),MAX($Q$5:Q886)+1,"")</f>
        <v/>
      </c>
      <c r="R887" t="str">
        <f t="shared" si="27"/>
        <v/>
      </c>
    </row>
    <row r="888" spans="1:18" ht="22.95" customHeight="1">
      <c r="A888" t="s">
        <v>2503</v>
      </c>
      <c r="B888" t="s">
        <v>27</v>
      </c>
      <c r="C888" t="s">
        <v>475</v>
      </c>
      <c r="D888" t="s">
        <v>476</v>
      </c>
      <c r="E888" t="s">
        <v>2581</v>
      </c>
      <c r="F888">
        <v>1</v>
      </c>
      <c r="G888" t="s">
        <v>92</v>
      </c>
      <c r="I888" t="s">
        <v>2582</v>
      </c>
      <c r="J888" t="s">
        <v>446</v>
      </c>
      <c r="K888" t="s">
        <v>599</v>
      </c>
      <c r="L888" t="s">
        <v>2583</v>
      </c>
      <c r="M888" t="s">
        <v>102</v>
      </c>
      <c r="P888">
        <f t="shared" si="26"/>
        <v>1</v>
      </c>
      <c r="Q888" t="str">
        <f>IF(AND(P888&gt;1,COUNTIF($E$6:E888,E888)=1),MAX($Q$5:Q887)+1,"")</f>
        <v/>
      </c>
      <c r="R888" t="str">
        <f t="shared" si="27"/>
        <v/>
      </c>
    </row>
    <row r="889" spans="1:18" ht="22.95" customHeight="1">
      <c r="A889" t="s">
        <v>2503</v>
      </c>
      <c r="B889" t="s">
        <v>30</v>
      </c>
      <c r="C889" t="s">
        <v>180</v>
      </c>
      <c r="D889" t="s">
        <v>181</v>
      </c>
      <c r="E889" t="s">
        <v>2584</v>
      </c>
      <c r="F889">
        <v>1</v>
      </c>
      <c r="G889" t="s">
        <v>2585</v>
      </c>
      <c r="H889" t="s">
        <v>1788</v>
      </c>
      <c r="I889" t="s">
        <v>2586</v>
      </c>
      <c r="K889" t="s">
        <v>78</v>
      </c>
      <c r="L889" t="s">
        <v>2587</v>
      </c>
      <c r="M889" t="s">
        <v>73</v>
      </c>
      <c r="P889">
        <f t="shared" si="26"/>
        <v>1</v>
      </c>
      <c r="Q889" t="str">
        <f>IF(AND(P889&gt;1,COUNTIF($E$6:E889,E889)=1),MAX($Q$5:Q888)+1,"")</f>
        <v/>
      </c>
      <c r="R889" t="str">
        <f t="shared" si="27"/>
        <v/>
      </c>
    </row>
    <row r="890" spans="1:18" ht="22.95" customHeight="1">
      <c r="A890" t="s">
        <v>2503</v>
      </c>
      <c r="B890" t="s">
        <v>30</v>
      </c>
      <c r="C890" t="s">
        <v>180</v>
      </c>
      <c r="D890" t="s">
        <v>181</v>
      </c>
      <c r="E890" t="s">
        <v>2588</v>
      </c>
      <c r="F890">
        <v>1</v>
      </c>
      <c r="G890" t="s">
        <v>2589</v>
      </c>
      <c r="H890" t="s">
        <v>2590</v>
      </c>
      <c r="I890" t="s">
        <v>2591</v>
      </c>
      <c r="K890" t="s">
        <v>78</v>
      </c>
      <c r="L890" t="s">
        <v>2587</v>
      </c>
      <c r="M890" t="s">
        <v>73</v>
      </c>
      <c r="P890">
        <f t="shared" si="26"/>
        <v>2</v>
      </c>
      <c r="Q890">
        <f>IF(AND(P890&gt;1,COUNTIF($E$6:E890,E890)=1),MAX($Q$5:Q889)+1,"")</f>
        <v>14</v>
      </c>
      <c r="R890" t="str">
        <f t="shared" si="27"/>
        <v>VRAI DOUBLON</v>
      </c>
    </row>
    <row r="891" spans="1:18" ht="22.95" customHeight="1">
      <c r="A891" t="s">
        <v>2503</v>
      </c>
      <c r="B891" t="s">
        <v>30</v>
      </c>
      <c r="C891" t="s">
        <v>180</v>
      </c>
      <c r="D891" t="s">
        <v>181</v>
      </c>
      <c r="E891" t="s">
        <v>2592</v>
      </c>
      <c r="F891">
        <v>1</v>
      </c>
      <c r="G891" t="s">
        <v>2589</v>
      </c>
      <c r="H891" t="s">
        <v>2590</v>
      </c>
      <c r="I891" t="s">
        <v>2593</v>
      </c>
      <c r="K891" t="s">
        <v>78</v>
      </c>
      <c r="L891" t="s">
        <v>2587</v>
      </c>
      <c r="M891" t="s">
        <v>73</v>
      </c>
      <c r="P891">
        <f t="shared" si="26"/>
        <v>1</v>
      </c>
      <c r="Q891" t="str">
        <f>IF(AND(P891&gt;1,COUNTIF($E$6:E891,E891)=1),MAX($Q$5:Q890)+1,"")</f>
        <v/>
      </c>
      <c r="R891" t="str">
        <f t="shared" si="27"/>
        <v/>
      </c>
    </row>
    <row r="892" spans="1:18" ht="22.95" customHeight="1">
      <c r="A892" t="s">
        <v>2503</v>
      </c>
      <c r="B892" t="s">
        <v>30</v>
      </c>
      <c r="C892" t="s">
        <v>180</v>
      </c>
      <c r="D892" t="s">
        <v>181</v>
      </c>
      <c r="E892" t="s">
        <v>2594</v>
      </c>
      <c r="F892">
        <v>1</v>
      </c>
      <c r="G892" t="s">
        <v>2589</v>
      </c>
      <c r="H892" t="s">
        <v>2590</v>
      </c>
      <c r="I892" t="s">
        <v>2593</v>
      </c>
      <c r="K892" t="s">
        <v>78</v>
      </c>
      <c r="L892" t="s">
        <v>2587</v>
      </c>
      <c r="M892" t="s">
        <v>73</v>
      </c>
      <c r="P892">
        <f t="shared" si="26"/>
        <v>1</v>
      </c>
      <c r="Q892" t="str">
        <f>IF(AND(P892&gt;1,COUNTIF($E$6:E892,E892)=1),MAX($Q$5:Q891)+1,"")</f>
        <v/>
      </c>
      <c r="R892" t="str">
        <f t="shared" si="27"/>
        <v/>
      </c>
    </row>
    <row r="893" spans="1:18" ht="22.95" customHeight="1">
      <c r="A893" t="s">
        <v>2503</v>
      </c>
      <c r="B893" t="s">
        <v>30</v>
      </c>
      <c r="C893" t="s">
        <v>180</v>
      </c>
      <c r="D893" t="s">
        <v>181</v>
      </c>
      <c r="E893" t="s">
        <v>2595</v>
      </c>
      <c r="F893">
        <v>1</v>
      </c>
      <c r="G893" t="s">
        <v>901</v>
      </c>
      <c r="H893" t="s">
        <v>698</v>
      </c>
      <c r="I893" t="s">
        <v>2596</v>
      </c>
      <c r="K893" t="s">
        <v>78</v>
      </c>
      <c r="L893" t="s">
        <v>2587</v>
      </c>
      <c r="M893" t="s">
        <v>73</v>
      </c>
      <c r="P893">
        <f t="shared" si="26"/>
        <v>1</v>
      </c>
      <c r="Q893" t="str">
        <f>IF(AND(P893&gt;1,COUNTIF($E$6:E893,E893)=1),MAX($Q$5:Q892)+1,"")</f>
        <v/>
      </c>
      <c r="R893" t="str">
        <f t="shared" si="27"/>
        <v/>
      </c>
    </row>
    <row r="894" spans="1:18" ht="22.95" customHeight="1">
      <c r="A894" t="s">
        <v>2503</v>
      </c>
      <c r="B894" t="s">
        <v>30</v>
      </c>
      <c r="C894" t="s">
        <v>180</v>
      </c>
      <c r="D894" t="s">
        <v>181</v>
      </c>
      <c r="E894" t="s">
        <v>2597</v>
      </c>
      <c r="F894">
        <v>1</v>
      </c>
      <c r="G894" t="s">
        <v>901</v>
      </c>
      <c r="H894" t="s">
        <v>698</v>
      </c>
      <c r="I894" t="s">
        <v>2598</v>
      </c>
      <c r="K894" t="s">
        <v>78</v>
      </c>
      <c r="L894" t="s">
        <v>2587</v>
      </c>
      <c r="M894" t="s">
        <v>73</v>
      </c>
      <c r="P894">
        <f t="shared" si="26"/>
        <v>1</v>
      </c>
      <c r="Q894" t="str">
        <f>IF(AND(P894&gt;1,COUNTIF($E$6:E894,E894)=1),MAX($Q$5:Q893)+1,"")</f>
        <v/>
      </c>
      <c r="R894" t="str">
        <f t="shared" si="27"/>
        <v/>
      </c>
    </row>
    <row r="895" spans="1:18" ht="22.95" customHeight="1">
      <c r="A895" t="s">
        <v>2503</v>
      </c>
      <c r="B895" t="s">
        <v>30</v>
      </c>
      <c r="C895" t="s">
        <v>180</v>
      </c>
      <c r="D895" t="s">
        <v>181</v>
      </c>
      <c r="E895" t="s">
        <v>2599</v>
      </c>
      <c r="F895">
        <v>1</v>
      </c>
      <c r="G895" t="s">
        <v>2600</v>
      </c>
      <c r="H895" t="s">
        <v>1671</v>
      </c>
      <c r="I895" t="s">
        <v>141</v>
      </c>
      <c r="K895" t="s">
        <v>112</v>
      </c>
      <c r="L895" t="s">
        <v>2601</v>
      </c>
      <c r="M895" t="s">
        <v>62</v>
      </c>
      <c r="N895" t="s">
        <v>130</v>
      </c>
      <c r="P895">
        <f t="shared" si="26"/>
        <v>1</v>
      </c>
      <c r="Q895" t="str">
        <f>IF(AND(P895&gt;1,COUNTIF($E$6:E895,E895)=1),MAX($Q$5:Q894)+1,"")</f>
        <v/>
      </c>
      <c r="R895" t="str">
        <f t="shared" si="27"/>
        <v/>
      </c>
    </row>
    <row r="896" spans="1:18" ht="22.95" customHeight="1">
      <c r="A896" t="s">
        <v>2503</v>
      </c>
      <c r="B896" t="s">
        <v>30</v>
      </c>
      <c r="C896" t="s">
        <v>180</v>
      </c>
      <c r="D896" t="s">
        <v>181</v>
      </c>
      <c r="E896" t="s">
        <v>2602</v>
      </c>
      <c r="F896">
        <v>1</v>
      </c>
      <c r="G896" t="s">
        <v>2603</v>
      </c>
      <c r="H896" t="s">
        <v>2604</v>
      </c>
      <c r="I896" t="s">
        <v>2605</v>
      </c>
      <c r="K896" t="s">
        <v>112</v>
      </c>
      <c r="L896" t="s">
        <v>2606</v>
      </c>
      <c r="M896" t="s">
        <v>62</v>
      </c>
      <c r="N896" t="s">
        <v>712</v>
      </c>
      <c r="P896">
        <f t="shared" si="26"/>
        <v>1</v>
      </c>
      <c r="Q896" t="str">
        <f>IF(AND(P896&gt;1,COUNTIF($E$6:E896,E896)=1),MAX($Q$5:Q895)+1,"")</f>
        <v/>
      </c>
      <c r="R896" t="str">
        <f t="shared" si="27"/>
        <v/>
      </c>
    </row>
    <row r="897" spans="1:18" ht="22.95" customHeight="1">
      <c r="A897" t="s">
        <v>2503</v>
      </c>
      <c r="B897" t="s">
        <v>30</v>
      </c>
      <c r="C897" t="s">
        <v>180</v>
      </c>
      <c r="D897" t="s">
        <v>181</v>
      </c>
      <c r="E897" t="s">
        <v>2607</v>
      </c>
      <c r="F897">
        <v>1</v>
      </c>
      <c r="G897" t="s">
        <v>2603</v>
      </c>
      <c r="H897" t="s">
        <v>2604</v>
      </c>
      <c r="I897" t="s">
        <v>2605</v>
      </c>
      <c r="K897" t="s">
        <v>112</v>
      </c>
      <c r="L897" t="s">
        <v>2606</v>
      </c>
      <c r="M897" t="s">
        <v>62</v>
      </c>
      <c r="N897" t="s">
        <v>712</v>
      </c>
      <c r="P897">
        <f t="shared" si="26"/>
        <v>1</v>
      </c>
      <c r="Q897" t="str">
        <f>IF(AND(P897&gt;1,COUNTIF($E$6:E897,E897)=1),MAX($Q$5:Q896)+1,"")</f>
        <v/>
      </c>
      <c r="R897" t="str">
        <f t="shared" si="27"/>
        <v/>
      </c>
    </row>
    <row r="898" spans="1:18" ht="22.95" customHeight="1">
      <c r="A898" t="s">
        <v>2503</v>
      </c>
      <c r="B898" t="s">
        <v>30</v>
      </c>
      <c r="C898" t="s">
        <v>180</v>
      </c>
      <c r="D898" t="s">
        <v>181</v>
      </c>
      <c r="E898" t="s">
        <v>2608</v>
      </c>
      <c r="F898">
        <v>1</v>
      </c>
      <c r="G898" t="s">
        <v>2603</v>
      </c>
      <c r="H898" t="s">
        <v>2604</v>
      </c>
      <c r="I898" t="s">
        <v>2605</v>
      </c>
      <c r="K898" t="s">
        <v>112</v>
      </c>
      <c r="L898" t="s">
        <v>2606</v>
      </c>
      <c r="M898" t="s">
        <v>62</v>
      </c>
      <c r="N898" t="s">
        <v>712</v>
      </c>
      <c r="P898">
        <f t="shared" si="26"/>
        <v>1</v>
      </c>
      <c r="Q898" t="str">
        <f>IF(AND(P898&gt;1,COUNTIF($E$6:E898,E898)=1),MAX($Q$5:Q897)+1,"")</f>
        <v/>
      </c>
      <c r="R898" t="str">
        <f t="shared" si="27"/>
        <v/>
      </c>
    </row>
    <row r="899" spans="1:18" ht="22.95" customHeight="1">
      <c r="A899" t="s">
        <v>2503</v>
      </c>
      <c r="B899" t="s">
        <v>30</v>
      </c>
      <c r="C899" t="s">
        <v>180</v>
      </c>
      <c r="D899" t="s">
        <v>181</v>
      </c>
      <c r="E899" t="s">
        <v>2609</v>
      </c>
      <c r="F899">
        <v>1</v>
      </c>
      <c r="G899" t="s">
        <v>659</v>
      </c>
      <c r="H899" t="s">
        <v>2610</v>
      </c>
      <c r="I899" t="s">
        <v>141</v>
      </c>
      <c r="K899" t="s">
        <v>112</v>
      </c>
      <c r="L899" t="s">
        <v>2611</v>
      </c>
      <c r="M899" t="s">
        <v>62</v>
      </c>
      <c r="N899" t="s">
        <v>712</v>
      </c>
      <c r="P899">
        <f t="shared" si="26"/>
        <v>1</v>
      </c>
      <c r="Q899" t="str">
        <f>IF(AND(P899&gt;1,COUNTIF($E$6:E899,E899)=1),MAX($Q$5:Q898)+1,"")</f>
        <v/>
      </c>
      <c r="R899" t="str">
        <f t="shared" si="27"/>
        <v/>
      </c>
    </row>
    <row r="900" spans="1:18" ht="22.95" customHeight="1">
      <c r="A900" t="s">
        <v>2503</v>
      </c>
      <c r="B900" t="s">
        <v>30</v>
      </c>
      <c r="C900" t="s">
        <v>180</v>
      </c>
      <c r="D900" t="s">
        <v>181</v>
      </c>
      <c r="E900" t="s">
        <v>2612</v>
      </c>
      <c r="F900">
        <v>1</v>
      </c>
      <c r="G900" t="s">
        <v>659</v>
      </c>
      <c r="H900" t="s">
        <v>2610</v>
      </c>
      <c r="I900" t="s">
        <v>141</v>
      </c>
      <c r="K900" t="s">
        <v>112</v>
      </c>
      <c r="L900" t="s">
        <v>2613</v>
      </c>
      <c r="M900" t="s">
        <v>62</v>
      </c>
      <c r="N900" t="s">
        <v>712</v>
      </c>
      <c r="P900">
        <f t="shared" si="26"/>
        <v>1</v>
      </c>
      <c r="Q900" t="str">
        <f>IF(AND(P900&gt;1,COUNTIF($E$6:E900,E900)=1),MAX($Q$5:Q899)+1,"")</f>
        <v/>
      </c>
      <c r="R900" t="str">
        <f t="shared" si="27"/>
        <v/>
      </c>
    </row>
    <row r="901" spans="1:18" ht="22.95" customHeight="1">
      <c r="A901" t="s">
        <v>2503</v>
      </c>
      <c r="B901" t="s">
        <v>30</v>
      </c>
      <c r="C901" t="s">
        <v>180</v>
      </c>
      <c r="D901" t="s">
        <v>181</v>
      </c>
      <c r="E901" t="s">
        <v>2614</v>
      </c>
      <c r="F901">
        <v>1</v>
      </c>
      <c r="G901" t="s">
        <v>659</v>
      </c>
      <c r="H901" t="s">
        <v>2610</v>
      </c>
      <c r="I901" t="s">
        <v>141</v>
      </c>
      <c r="K901" t="s">
        <v>112</v>
      </c>
      <c r="L901" t="s">
        <v>2615</v>
      </c>
      <c r="M901" t="s">
        <v>62</v>
      </c>
      <c r="N901" t="s">
        <v>712</v>
      </c>
      <c r="P901">
        <f t="shared" si="26"/>
        <v>1</v>
      </c>
      <c r="Q901" t="str">
        <f>IF(AND(P901&gt;1,COUNTIF($E$6:E901,E901)=1),MAX($Q$5:Q900)+1,"")</f>
        <v/>
      </c>
      <c r="R901" t="str">
        <f t="shared" si="27"/>
        <v/>
      </c>
    </row>
    <row r="902" spans="1:18" ht="22.95" customHeight="1">
      <c r="A902" t="s">
        <v>2503</v>
      </c>
      <c r="B902" t="s">
        <v>30</v>
      </c>
      <c r="C902" t="s">
        <v>188</v>
      </c>
      <c r="D902" t="s">
        <v>189</v>
      </c>
      <c r="E902" t="s">
        <v>2616</v>
      </c>
      <c r="F902">
        <v>1</v>
      </c>
      <c r="G902" t="s">
        <v>92</v>
      </c>
      <c r="I902" t="s">
        <v>2617</v>
      </c>
      <c r="K902" t="s">
        <v>109</v>
      </c>
      <c r="L902" t="s">
        <v>2618</v>
      </c>
      <c r="M902" t="s">
        <v>73</v>
      </c>
      <c r="P902">
        <f t="shared" ref="P902:P965" si="28">COUNTIF($E$6:$E$1740,E902)</f>
        <v>1</v>
      </c>
      <c r="Q902" t="str">
        <f>IF(AND(P902&gt;1,COUNTIF($E$6:E902,E902)=1),MAX($Q$5:Q901)+1,"")</f>
        <v/>
      </c>
      <c r="R902" t="str">
        <f t="shared" ref="R902:R965" si="29">IF(Q902="","",IF(COUNTIFS($E$6:$E$1740,E902,$A$6:$A$1740,A902,$C$6:$C$1740,C902)&lt;P902,"LÉGITIME",IF(COUNTIFS($E$6:$E$1740,E902,$A$6:$A$1740,A902,$C$6:$C$1740,C902,$M$6:$M$1740,M902)&lt;P902,"STATUT DIFFÉRENT","VRAI DOUBLON")))</f>
        <v/>
      </c>
    </row>
    <row r="903" spans="1:18" ht="22.95" customHeight="1">
      <c r="A903" t="s">
        <v>2503</v>
      </c>
      <c r="B903" t="s">
        <v>30</v>
      </c>
      <c r="C903" t="s">
        <v>188</v>
      </c>
      <c r="D903" t="s">
        <v>189</v>
      </c>
      <c r="E903" t="s">
        <v>2619</v>
      </c>
      <c r="F903">
        <v>1</v>
      </c>
      <c r="G903" t="s">
        <v>92</v>
      </c>
      <c r="I903" t="s">
        <v>2620</v>
      </c>
      <c r="K903" t="s">
        <v>109</v>
      </c>
      <c r="L903" t="s">
        <v>2618</v>
      </c>
      <c r="M903" t="s">
        <v>73</v>
      </c>
      <c r="P903">
        <f t="shared" si="28"/>
        <v>1</v>
      </c>
      <c r="Q903" t="str">
        <f>IF(AND(P903&gt;1,COUNTIF($E$6:E903,E903)=1),MAX($Q$5:Q902)+1,"")</f>
        <v/>
      </c>
      <c r="R903" t="str">
        <f t="shared" si="29"/>
        <v/>
      </c>
    </row>
    <row r="904" spans="1:18" ht="22.95" customHeight="1">
      <c r="A904" t="s">
        <v>2503</v>
      </c>
      <c r="B904" t="s">
        <v>30</v>
      </c>
      <c r="C904" t="s">
        <v>188</v>
      </c>
      <c r="D904" t="s">
        <v>189</v>
      </c>
      <c r="E904" t="s">
        <v>2621</v>
      </c>
      <c r="F904">
        <v>1</v>
      </c>
      <c r="G904" t="s">
        <v>481</v>
      </c>
      <c r="H904" t="s">
        <v>2622</v>
      </c>
      <c r="I904" t="s">
        <v>2623</v>
      </c>
      <c r="L904" t="s">
        <v>2624</v>
      </c>
      <c r="M904" t="s">
        <v>73</v>
      </c>
      <c r="P904">
        <f t="shared" si="28"/>
        <v>1</v>
      </c>
      <c r="Q904" t="str">
        <f>IF(AND(P904&gt;1,COUNTIF($E$6:E904,E904)=1),MAX($Q$5:Q903)+1,"")</f>
        <v/>
      </c>
      <c r="R904" t="str">
        <f t="shared" si="29"/>
        <v/>
      </c>
    </row>
    <row r="905" spans="1:18" ht="22.95" customHeight="1">
      <c r="A905" t="s">
        <v>2503</v>
      </c>
      <c r="B905" t="s">
        <v>26</v>
      </c>
      <c r="C905" t="s">
        <v>196</v>
      </c>
      <c r="D905" t="s">
        <v>197</v>
      </c>
      <c r="E905" t="s">
        <v>2625</v>
      </c>
      <c r="F905">
        <v>1</v>
      </c>
      <c r="G905" t="s">
        <v>2626</v>
      </c>
      <c r="H905" t="s">
        <v>2627</v>
      </c>
      <c r="I905" t="s">
        <v>764</v>
      </c>
      <c r="L905" t="s">
        <v>2628</v>
      </c>
      <c r="M905" t="s">
        <v>73</v>
      </c>
      <c r="P905">
        <f t="shared" si="28"/>
        <v>1</v>
      </c>
      <c r="Q905" t="str">
        <f>IF(AND(P905&gt;1,COUNTIF($E$6:E905,E905)=1),MAX($Q$5:Q904)+1,"")</f>
        <v/>
      </c>
      <c r="R905" t="str">
        <f t="shared" si="29"/>
        <v/>
      </c>
    </row>
    <row r="906" spans="1:18" ht="22.95" customHeight="1">
      <c r="A906" t="s">
        <v>2503</v>
      </c>
      <c r="B906" t="s">
        <v>26</v>
      </c>
      <c r="C906" t="s">
        <v>196</v>
      </c>
      <c r="D906" t="s">
        <v>197</v>
      </c>
      <c r="E906" t="s">
        <v>2629</v>
      </c>
      <c r="F906">
        <v>1</v>
      </c>
      <c r="G906" t="s">
        <v>2626</v>
      </c>
      <c r="H906" t="s">
        <v>2627</v>
      </c>
      <c r="I906" t="s">
        <v>2556</v>
      </c>
      <c r="K906" t="s">
        <v>140</v>
      </c>
      <c r="L906" t="s">
        <v>2630</v>
      </c>
      <c r="M906" t="s">
        <v>102</v>
      </c>
      <c r="P906">
        <f t="shared" si="28"/>
        <v>1</v>
      </c>
      <c r="Q906" t="str">
        <f>IF(AND(P906&gt;1,COUNTIF($E$6:E906,E906)=1),MAX($Q$5:Q905)+1,"")</f>
        <v/>
      </c>
      <c r="R906" t="str">
        <f t="shared" si="29"/>
        <v/>
      </c>
    </row>
    <row r="907" spans="1:18" ht="22.95" customHeight="1">
      <c r="A907" t="s">
        <v>2503</v>
      </c>
      <c r="B907" t="s">
        <v>33</v>
      </c>
      <c r="C907" t="s">
        <v>2088</v>
      </c>
      <c r="D907" t="s">
        <v>660</v>
      </c>
      <c r="E907" t="s">
        <v>2631</v>
      </c>
      <c r="F907">
        <v>1</v>
      </c>
      <c r="G907" t="s">
        <v>2632</v>
      </c>
      <c r="I907" t="s">
        <v>2633</v>
      </c>
      <c r="J907" t="s">
        <v>245</v>
      </c>
      <c r="K907" t="s">
        <v>2634</v>
      </c>
      <c r="L907" t="s">
        <v>2635</v>
      </c>
      <c r="M907" t="s">
        <v>62</v>
      </c>
      <c r="N907" t="s">
        <v>1435</v>
      </c>
      <c r="P907">
        <f t="shared" si="28"/>
        <v>1</v>
      </c>
      <c r="Q907" t="str">
        <f>IF(AND(P907&gt;1,COUNTIF($E$6:E907,E907)=1),MAX($Q$5:Q906)+1,"")</f>
        <v/>
      </c>
      <c r="R907" t="str">
        <f t="shared" si="29"/>
        <v/>
      </c>
    </row>
    <row r="908" spans="1:18" ht="22.95" customHeight="1">
      <c r="A908" t="s">
        <v>2503</v>
      </c>
      <c r="B908" t="s">
        <v>33</v>
      </c>
      <c r="C908" t="s">
        <v>2088</v>
      </c>
      <c r="D908" t="s">
        <v>660</v>
      </c>
      <c r="E908" t="s">
        <v>2636</v>
      </c>
      <c r="F908">
        <v>1</v>
      </c>
      <c r="G908" t="s">
        <v>2632</v>
      </c>
      <c r="I908" t="s">
        <v>2633</v>
      </c>
      <c r="J908" t="s">
        <v>245</v>
      </c>
      <c r="K908" t="s">
        <v>2634</v>
      </c>
      <c r="L908" t="s">
        <v>2635</v>
      </c>
      <c r="M908" t="s">
        <v>62</v>
      </c>
      <c r="N908" t="s">
        <v>1435</v>
      </c>
      <c r="P908">
        <f t="shared" si="28"/>
        <v>1</v>
      </c>
      <c r="Q908" t="str">
        <f>IF(AND(P908&gt;1,COUNTIF($E$6:E908,E908)=1),MAX($Q$5:Q907)+1,"")</f>
        <v/>
      </c>
      <c r="R908" t="str">
        <f t="shared" si="29"/>
        <v/>
      </c>
    </row>
    <row r="909" spans="1:18" ht="22.95" customHeight="1">
      <c r="A909" t="s">
        <v>2503</v>
      </c>
      <c r="B909" t="s">
        <v>33</v>
      </c>
      <c r="C909" t="s">
        <v>2314</v>
      </c>
      <c r="D909" t="s">
        <v>2315</v>
      </c>
      <c r="E909" t="s">
        <v>2637</v>
      </c>
      <c r="F909">
        <v>1</v>
      </c>
      <c r="I909" t="s">
        <v>733</v>
      </c>
      <c r="K909" t="s">
        <v>2638</v>
      </c>
      <c r="L909" t="s">
        <v>2639</v>
      </c>
      <c r="M909" t="s">
        <v>102</v>
      </c>
      <c r="P909">
        <f t="shared" si="28"/>
        <v>1</v>
      </c>
      <c r="Q909" t="str">
        <f>IF(AND(P909&gt;1,COUNTIF($E$6:E909,E909)=1),MAX($Q$5:Q908)+1,"")</f>
        <v/>
      </c>
      <c r="R909" t="str">
        <f t="shared" si="29"/>
        <v/>
      </c>
    </row>
    <row r="910" spans="1:18" ht="22.95" customHeight="1">
      <c r="A910" t="s">
        <v>2503</v>
      </c>
      <c r="B910" t="s">
        <v>33</v>
      </c>
      <c r="C910" t="s">
        <v>2314</v>
      </c>
      <c r="D910" t="s">
        <v>2315</v>
      </c>
      <c r="E910" t="s">
        <v>2640</v>
      </c>
      <c r="F910">
        <v>1</v>
      </c>
      <c r="I910" t="s">
        <v>733</v>
      </c>
      <c r="K910" t="s">
        <v>2638</v>
      </c>
      <c r="L910" t="s">
        <v>2639</v>
      </c>
      <c r="M910" t="s">
        <v>102</v>
      </c>
      <c r="P910">
        <f t="shared" si="28"/>
        <v>1</v>
      </c>
      <c r="Q910" t="str">
        <f>IF(AND(P910&gt;1,COUNTIF($E$6:E910,E910)=1),MAX($Q$5:Q909)+1,"")</f>
        <v/>
      </c>
      <c r="R910" t="str">
        <f t="shared" si="29"/>
        <v/>
      </c>
    </row>
    <row r="911" spans="1:18" ht="22.95" customHeight="1">
      <c r="A911" t="s">
        <v>2503</v>
      </c>
      <c r="B911" t="s">
        <v>33</v>
      </c>
      <c r="C911" t="s">
        <v>2103</v>
      </c>
      <c r="D911" t="s">
        <v>2104</v>
      </c>
      <c r="E911" t="s">
        <v>2641</v>
      </c>
      <c r="F911">
        <v>1</v>
      </c>
      <c r="G911" t="s">
        <v>92</v>
      </c>
      <c r="I911" t="s">
        <v>2642</v>
      </c>
      <c r="K911" t="s">
        <v>2643</v>
      </c>
      <c r="L911" t="s">
        <v>2644</v>
      </c>
      <c r="M911" t="s">
        <v>73</v>
      </c>
      <c r="P911">
        <f t="shared" si="28"/>
        <v>1</v>
      </c>
      <c r="Q911" t="str">
        <f>IF(AND(P911&gt;1,COUNTIF($E$6:E911,E911)=1),MAX($Q$5:Q910)+1,"")</f>
        <v/>
      </c>
      <c r="R911" t="str">
        <f t="shared" si="29"/>
        <v/>
      </c>
    </row>
    <row r="912" spans="1:18" ht="22.95" customHeight="1">
      <c r="A912" t="s">
        <v>2503</v>
      </c>
      <c r="B912" t="s">
        <v>33</v>
      </c>
      <c r="C912" t="s">
        <v>2103</v>
      </c>
      <c r="D912" t="s">
        <v>2104</v>
      </c>
      <c r="E912" t="s">
        <v>2645</v>
      </c>
      <c r="F912">
        <v>1</v>
      </c>
      <c r="G912" t="s">
        <v>92</v>
      </c>
      <c r="I912" t="s">
        <v>2646</v>
      </c>
      <c r="K912" t="s">
        <v>109</v>
      </c>
      <c r="L912" t="s">
        <v>2644</v>
      </c>
      <c r="M912" t="s">
        <v>73</v>
      </c>
      <c r="P912">
        <f t="shared" si="28"/>
        <v>1</v>
      </c>
      <c r="Q912" t="str">
        <f>IF(AND(P912&gt;1,COUNTIF($E$6:E912,E912)=1),MAX($Q$5:Q911)+1,"")</f>
        <v/>
      </c>
      <c r="R912" t="str">
        <f t="shared" si="29"/>
        <v/>
      </c>
    </row>
    <row r="913" spans="1:18" ht="22.95" customHeight="1">
      <c r="A913" t="s">
        <v>2503</v>
      </c>
      <c r="B913" t="s">
        <v>33</v>
      </c>
      <c r="C913" t="s">
        <v>2103</v>
      </c>
      <c r="D913" t="s">
        <v>2104</v>
      </c>
      <c r="E913" t="s">
        <v>2647</v>
      </c>
      <c r="F913">
        <v>1</v>
      </c>
      <c r="G913" t="s">
        <v>92</v>
      </c>
      <c r="I913" t="s">
        <v>2648</v>
      </c>
      <c r="K913" t="s">
        <v>109</v>
      </c>
      <c r="L913" t="s">
        <v>2644</v>
      </c>
      <c r="M913" t="s">
        <v>73</v>
      </c>
      <c r="P913">
        <f t="shared" si="28"/>
        <v>1</v>
      </c>
      <c r="Q913" t="str">
        <f>IF(AND(P913&gt;1,COUNTIF($E$6:E913,E913)=1),MAX($Q$5:Q912)+1,"")</f>
        <v/>
      </c>
      <c r="R913" t="str">
        <f t="shared" si="29"/>
        <v/>
      </c>
    </row>
    <row r="914" spans="1:18" ht="22.95" customHeight="1">
      <c r="A914" t="s">
        <v>2503</v>
      </c>
      <c r="B914" t="s">
        <v>33</v>
      </c>
      <c r="C914" t="s">
        <v>2103</v>
      </c>
      <c r="D914" t="s">
        <v>2104</v>
      </c>
      <c r="E914" t="s">
        <v>2649</v>
      </c>
      <c r="F914">
        <v>1</v>
      </c>
      <c r="G914" t="s">
        <v>92</v>
      </c>
      <c r="I914" t="s">
        <v>2650</v>
      </c>
      <c r="K914" t="s">
        <v>109</v>
      </c>
      <c r="L914" t="s">
        <v>2644</v>
      </c>
      <c r="M914" t="s">
        <v>73</v>
      </c>
      <c r="P914">
        <f t="shared" si="28"/>
        <v>1</v>
      </c>
      <c r="Q914" t="str">
        <f>IF(AND(P914&gt;1,COUNTIF($E$6:E914,E914)=1),MAX($Q$5:Q913)+1,"")</f>
        <v/>
      </c>
      <c r="R914" t="str">
        <f t="shared" si="29"/>
        <v/>
      </c>
    </row>
    <row r="915" spans="1:18" ht="22.95" customHeight="1">
      <c r="A915" t="s">
        <v>2503</v>
      </c>
      <c r="B915" t="s">
        <v>31</v>
      </c>
      <c r="C915" t="s">
        <v>491</v>
      </c>
      <c r="D915" t="s">
        <v>492</v>
      </c>
      <c r="E915" t="s">
        <v>2651</v>
      </c>
      <c r="F915">
        <v>1</v>
      </c>
      <c r="G915" t="s">
        <v>92</v>
      </c>
      <c r="I915" t="s">
        <v>2652</v>
      </c>
      <c r="J915" t="s">
        <v>99</v>
      </c>
      <c r="K915" t="s">
        <v>1714</v>
      </c>
      <c r="L915" t="s">
        <v>2653</v>
      </c>
      <c r="M915" t="s">
        <v>102</v>
      </c>
      <c r="P915">
        <f t="shared" si="28"/>
        <v>1</v>
      </c>
      <c r="Q915" t="str">
        <f>IF(AND(P915&gt;1,COUNTIF($E$6:E915,E915)=1),MAX($Q$5:Q914)+1,"")</f>
        <v/>
      </c>
      <c r="R915" t="str">
        <f t="shared" si="29"/>
        <v/>
      </c>
    </row>
    <row r="916" spans="1:18" ht="22.95" customHeight="1">
      <c r="A916" t="s">
        <v>2503</v>
      </c>
      <c r="B916" t="s">
        <v>30</v>
      </c>
      <c r="C916" t="s">
        <v>180</v>
      </c>
      <c r="D916" t="s">
        <v>181</v>
      </c>
      <c r="E916" t="s">
        <v>2588</v>
      </c>
      <c r="F916">
        <v>1</v>
      </c>
      <c r="G916" t="s">
        <v>2589</v>
      </c>
      <c r="H916" t="s">
        <v>2590</v>
      </c>
      <c r="I916" t="s">
        <v>2593</v>
      </c>
      <c r="K916" t="s">
        <v>78</v>
      </c>
      <c r="L916" t="s">
        <v>2587</v>
      </c>
      <c r="M916" t="s">
        <v>73</v>
      </c>
      <c r="P916">
        <f t="shared" si="28"/>
        <v>2</v>
      </c>
      <c r="Q916" t="str">
        <f>IF(AND(P916&gt;1,COUNTIF($E$6:E916,E916)=1),MAX($Q$5:Q915)+1,"")</f>
        <v/>
      </c>
      <c r="R916" t="str">
        <f t="shared" si="29"/>
        <v/>
      </c>
    </row>
    <row r="917" spans="1:18" ht="22.95" customHeight="1">
      <c r="A917" t="s">
        <v>2654</v>
      </c>
      <c r="B917" t="s">
        <v>22</v>
      </c>
      <c r="C917" t="s">
        <v>370</v>
      </c>
      <c r="D917" t="s">
        <v>371</v>
      </c>
      <c r="E917" t="s">
        <v>2655</v>
      </c>
      <c r="F917">
        <v>1</v>
      </c>
      <c r="G917" t="s">
        <v>92</v>
      </c>
      <c r="I917" t="s">
        <v>2656</v>
      </c>
      <c r="L917" t="s">
        <v>2657</v>
      </c>
      <c r="M917" t="s">
        <v>102</v>
      </c>
      <c r="P917">
        <f t="shared" si="28"/>
        <v>1</v>
      </c>
      <c r="Q917" t="str">
        <f>IF(AND(P917&gt;1,COUNTIF($E$6:E917,E917)=1),MAX($Q$5:Q916)+1,"")</f>
        <v/>
      </c>
      <c r="R917" t="str">
        <f t="shared" si="29"/>
        <v/>
      </c>
    </row>
    <row r="918" spans="1:18" ht="22.95" customHeight="1">
      <c r="A918" t="s">
        <v>2654</v>
      </c>
      <c r="B918" t="s">
        <v>22</v>
      </c>
      <c r="C918" t="s">
        <v>370</v>
      </c>
      <c r="D918" t="s">
        <v>371</v>
      </c>
      <c r="E918" t="s">
        <v>2658</v>
      </c>
      <c r="F918">
        <v>1</v>
      </c>
      <c r="G918" t="s">
        <v>92</v>
      </c>
      <c r="I918" t="s">
        <v>733</v>
      </c>
      <c r="L918" t="s">
        <v>2659</v>
      </c>
      <c r="M918" t="s">
        <v>102</v>
      </c>
      <c r="P918">
        <f t="shared" si="28"/>
        <v>1</v>
      </c>
      <c r="Q918" t="str">
        <f>IF(AND(P918&gt;1,COUNTIF($E$6:E918,E918)=1),MAX($Q$5:Q917)+1,"")</f>
        <v/>
      </c>
      <c r="R918" t="str">
        <f t="shared" si="29"/>
        <v/>
      </c>
    </row>
    <row r="919" spans="1:18" ht="22.95" customHeight="1">
      <c r="A919" t="s">
        <v>2654</v>
      </c>
      <c r="B919" t="s">
        <v>22</v>
      </c>
      <c r="C919" t="s">
        <v>370</v>
      </c>
      <c r="D919" t="s">
        <v>371</v>
      </c>
      <c r="E919" t="s">
        <v>2660</v>
      </c>
      <c r="F919">
        <v>1</v>
      </c>
      <c r="G919" t="s">
        <v>92</v>
      </c>
      <c r="I919" t="s">
        <v>733</v>
      </c>
      <c r="L919" t="s">
        <v>2659</v>
      </c>
      <c r="M919" t="s">
        <v>102</v>
      </c>
      <c r="P919">
        <f t="shared" si="28"/>
        <v>1</v>
      </c>
      <c r="Q919" t="str">
        <f>IF(AND(P919&gt;1,COUNTIF($E$6:E919,E919)=1),MAX($Q$5:Q918)+1,"")</f>
        <v/>
      </c>
      <c r="R919" t="str">
        <f t="shared" si="29"/>
        <v/>
      </c>
    </row>
    <row r="920" spans="1:18" ht="22.95" customHeight="1">
      <c r="A920" t="s">
        <v>2654</v>
      </c>
      <c r="B920" t="s">
        <v>23</v>
      </c>
      <c r="C920" t="s">
        <v>103</v>
      </c>
      <c r="D920" t="s">
        <v>104</v>
      </c>
      <c r="E920" t="s">
        <v>2661</v>
      </c>
      <c r="F920">
        <v>1</v>
      </c>
      <c r="G920" t="s">
        <v>2662</v>
      </c>
      <c r="H920" t="s">
        <v>2663</v>
      </c>
      <c r="I920" t="s">
        <v>2664</v>
      </c>
      <c r="L920" t="s">
        <v>2665</v>
      </c>
      <c r="M920" t="s">
        <v>73</v>
      </c>
      <c r="P920">
        <f t="shared" si="28"/>
        <v>1</v>
      </c>
      <c r="Q920" t="str">
        <f>IF(AND(P920&gt;1,COUNTIF($E$6:E920,E920)=1),MAX($Q$5:Q919)+1,"")</f>
        <v/>
      </c>
      <c r="R920" t="str">
        <f t="shared" si="29"/>
        <v/>
      </c>
    </row>
    <row r="921" spans="1:18" ht="22.95" customHeight="1">
      <c r="A921" t="s">
        <v>2654</v>
      </c>
      <c r="B921" t="s">
        <v>23</v>
      </c>
      <c r="C921" t="s">
        <v>103</v>
      </c>
      <c r="D921" t="s">
        <v>104</v>
      </c>
      <c r="E921" t="s">
        <v>2666</v>
      </c>
      <c r="F921">
        <v>1</v>
      </c>
      <c r="G921" t="s">
        <v>2662</v>
      </c>
      <c r="H921" t="s">
        <v>2663</v>
      </c>
      <c r="I921" t="s">
        <v>2664</v>
      </c>
      <c r="L921" t="s">
        <v>2665</v>
      </c>
      <c r="M921" t="s">
        <v>73</v>
      </c>
      <c r="P921">
        <f t="shared" si="28"/>
        <v>1</v>
      </c>
      <c r="Q921" t="str">
        <f>IF(AND(P921&gt;1,COUNTIF($E$6:E921,E921)=1),MAX($Q$5:Q920)+1,"")</f>
        <v/>
      </c>
      <c r="R921" t="str">
        <f t="shared" si="29"/>
        <v/>
      </c>
    </row>
    <row r="922" spans="1:18" ht="22.95" customHeight="1">
      <c r="A922" t="s">
        <v>2654</v>
      </c>
      <c r="B922" t="s">
        <v>23</v>
      </c>
      <c r="C922" t="s">
        <v>103</v>
      </c>
      <c r="D922" t="s">
        <v>104</v>
      </c>
      <c r="E922" t="s">
        <v>2667</v>
      </c>
      <c r="F922">
        <v>1</v>
      </c>
      <c r="G922" t="s">
        <v>2662</v>
      </c>
      <c r="H922" t="s">
        <v>2663</v>
      </c>
      <c r="I922" t="s">
        <v>2664</v>
      </c>
      <c r="L922" t="s">
        <v>2665</v>
      </c>
      <c r="M922" t="s">
        <v>73</v>
      </c>
      <c r="P922">
        <f t="shared" si="28"/>
        <v>1</v>
      </c>
      <c r="Q922" t="str">
        <f>IF(AND(P922&gt;1,COUNTIF($E$6:E922,E922)=1),MAX($Q$5:Q921)+1,"")</f>
        <v/>
      </c>
      <c r="R922" t="str">
        <f t="shared" si="29"/>
        <v/>
      </c>
    </row>
    <row r="923" spans="1:18" ht="22.95" customHeight="1">
      <c r="A923" t="s">
        <v>2654</v>
      </c>
      <c r="B923" t="s">
        <v>23</v>
      </c>
      <c r="C923" t="s">
        <v>103</v>
      </c>
      <c r="D923" t="s">
        <v>104</v>
      </c>
      <c r="E923" t="s">
        <v>2668</v>
      </c>
      <c r="F923">
        <v>1</v>
      </c>
      <c r="G923" t="s">
        <v>2662</v>
      </c>
      <c r="H923" t="s">
        <v>2663</v>
      </c>
      <c r="I923" t="s">
        <v>2664</v>
      </c>
      <c r="L923" t="s">
        <v>2665</v>
      </c>
      <c r="M923" t="s">
        <v>73</v>
      </c>
      <c r="P923">
        <f t="shared" si="28"/>
        <v>1</v>
      </c>
      <c r="Q923" t="str">
        <f>IF(AND(P923&gt;1,COUNTIF($E$6:E923,E923)=1),MAX($Q$5:Q922)+1,"")</f>
        <v/>
      </c>
      <c r="R923" t="str">
        <f t="shared" si="29"/>
        <v/>
      </c>
    </row>
    <row r="924" spans="1:18" ht="22.95" customHeight="1">
      <c r="A924" t="s">
        <v>2654</v>
      </c>
      <c r="B924" t="s">
        <v>23</v>
      </c>
      <c r="C924" t="s">
        <v>103</v>
      </c>
      <c r="D924" t="s">
        <v>104</v>
      </c>
      <c r="E924" t="s">
        <v>2669</v>
      </c>
      <c r="F924">
        <v>1</v>
      </c>
      <c r="G924" t="s">
        <v>386</v>
      </c>
      <c r="H924" t="s">
        <v>2670</v>
      </c>
      <c r="I924" t="s">
        <v>141</v>
      </c>
      <c r="K924" t="s">
        <v>406</v>
      </c>
      <c r="L924" t="s">
        <v>2671</v>
      </c>
      <c r="M924" t="s">
        <v>102</v>
      </c>
      <c r="P924">
        <f t="shared" si="28"/>
        <v>1</v>
      </c>
      <c r="Q924" t="str">
        <f>IF(AND(P924&gt;1,COUNTIF($E$6:E924,E924)=1),MAX($Q$5:Q923)+1,"")</f>
        <v/>
      </c>
      <c r="R924" t="str">
        <f t="shared" si="29"/>
        <v/>
      </c>
    </row>
    <row r="925" spans="1:18" ht="22.95" customHeight="1">
      <c r="A925" t="s">
        <v>2654</v>
      </c>
      <c r="B925" t="s">
        <v>23</v>
      </c>
      <c r="C925" t="s">
        <v>103</v>
      </c>
      <c r="D925" t="s">
        <v>104</v>
      </c>
      <c r="E925" t="s">
        <v>2672</v>
      </c>
      <c r="F925">
        <v>1</v>
      </c>
      <c r="G925" t="s">
        <v>2673</v>
      </c>
      <c r="H925" t="s">
        <v>2674</v>
      </c>
      <c r="I925" t="s">
        <v>141</v>
      </c>
      <c r="K925" t="s">
        <v>406</v>
      </c>
      <c r="L925" t="s">
        <v>2675</v>
      </c>
      <c r="M925" t="s">
        <v>62</v>
      </c>
      <c r="N925" t="s">
        <v>130</v>
      </c>
      <c r="P925">
        <f t="shared" si="28"/>
        <v>1</v>
      </c>
      <c r="Q925" t="str">
        <f>IF(AND(P925&gt;1,COUNTIF($E$6:E925,E925)=1),MAX($Q$5:Q924)+1,"")</f>
        <v/>
      </c>
      <c r="R925" t="str">
        <f t="shared" si="29"/>
        <v/>
      </c>
    </row>
    <row r="926" spans="1:18" ht="22.95" customHeight="1">
      <c r="A926" t="s">
        <v>2654</v>
      </c>
      <c r="B926" t="s">
        <v>24</v>
      </c>
      <c r="C926" t="s">
        <v>426</v>
      </c>
      <c r="D926" t="s">
        <v>427</v>
      </c>
      <c r="E926" t="s">
        <v>2676</v>
      </c>
      <c r="F926">
        <v>1</v>
      </c>
      <c r="G926" t="s">
        <v>1008</v>
      </c>
      <c r="H926" t="s">
        <v>1009</v>
      </c>
      <c r="I926" t="s">
        <v>141</v>
      </c>
      <c r="L926" t="s">
        <v>2677</v>
      </c>
      <c r="M926" t="s">
        <v>62</v>
      </c>
      <c r="N926" t="s">
        <v>130</v>
      </c>
      <c r="P926">
        <f t="shared" si="28"/>
        <v>1</v>
      </c>
      <c r="Q926" t="str">
        <f>IF(AND(P926&gt;1,COUNTIF($E$6:E926,E926)=1),MAX($Q$5:Q925)+1,"")</f>
        <v/>
      </c>
      <c r="R926" t="str">
        <f t="shared" si="29"/>
        <v/>
      </c>
    </row>
    <row r="927" spans="1:18" ht="22.95" customHeight="1">
      <c r="A927" t="s">
        <v>2654</v>
      </c>
      <c r="B927" t="s">
        <v>24</v>
      </c>
      <c r="C927" t="s">
        <v>426</v>
      </c>
      <c r="D927" t="s">
        <v>427</v>
      </c>
      <c r="E927" t="s">
        <v>2678</v>
      </c>
      <c r="F927">
        <v>1</v>
      </c>
      <c r="G927" t="s">
        <v>2679</v>
      </c>
      <c r="K927" t="s">
        <v>2680</v>
      </c>
      <c r="L927" t="s">
        <v>2681</v>
      </c>
      <c r="M927" t="s">
        <v>62</v>
      </c>
      <c r="N927" t="s">
        <v>161</v>
      </c>
      <c r="P927">
        <f t="shared" si="28"/>
        <v>1</v>
      </c>
      <c r="Q927" t="str">
        <f>IF(AND(P927&gt;1,COUNTIF($E$6:E927,E927)=1),MAX($Q$5:Q926)+1,"")</f>
        <v/>
      </c>
      <c r="R927" t="str">
        <f t="shared" si="29"/>
        <v/>
      </c>
    </row>
    <row r="928" spans="1:18" ht="22.95" customHeight="1">
      <c r="A928" t="s">
        <v>2654</v>
      </c>
      <c r="B928" t="s">
        <v>24</v>
      </c>
      <c r="C928" t="s">
        <v>426</v>
      </c>
      <c r="D928" t="s">
        <v>427</v>
      </c>
      <c r="E928" t="s">
        <v>2682</v>
      </c>
      <c r="F928">
        <v>1</v>
      </c>
      <c r="G928" t="s">
        <v>2679</v>
      </c>
      <c r="K928" t="s">
        <v>2680</v>
      </c>
      <c r="L928" t="s">
        <v>2681</v>
      </c>
      <c r="M928" t="s">
        <v>62</v>
      </c>
      <c r="N928" t="s">
        <v>161</v>
      </c>
      <c r="P928">
        <f t="shared" si="28"/>
        <v>1</v>
      </c>
      <c r="Q928" t="str">
        <f>IF(AND(P928&gt;1,COUNTIF($E$6:E928,E928)=1),MAX($Q$5:Q927)+1,"")</f>
        <v/>
      </c>
      <c r="R928" t="str">
        <f t="shared" si="29"/>
        <v/>
      </c>
    </row>
    <row r="929" spans="1:18" ht="22.95" customHeight="1">
      <c r="A929" t="s">
        <v>2654</v>
      </c>
      <c r="B929" t="s">
        <v>24</v>
      </c>
      <c r="C929" t="s">
        <v>426</v>
      </c>
      <c r="D929" t="s">
        <v>427</v>
      </c>
      <c r="E929" t="s">
        <v>2683</v>
      </c>
      <c r="F929">
        <v>1</v>
      </c>
      <c r="G929" t="s">
        <v>1863</v>
      </c>
      <c r="H929" t="s">
        <v>2684</v>
      </c>
      <c r="I929" t="s">
        <v>2685</v>
      </c>
      <c r="K929" t="s">
        <v>320</v>
      </c>
      <c r="L929" t="s">
        <v>2686</v>
      </c>
      <c r="M929" t="s">
        <v>62</v>
      </c>
      <c r="N929" t="s">
        <v>811</v>
      </c>
      <c r="P929">
        <f t="shared" si="28"/>
        <v>1</v>
      </c>
      <c r="Q929" t="str">
        <f>IF(AND(P929&gt;1,COUNTIF($E$6:E929,E929)=1),MAX($Q$5:Q928)+1,"")</f>
        <v/>
      </c>
      <c r="R929" t="str">
        <f t="shared" si="29"/>
        <v/>
      </c>
    </row>
    <row r="930" spans="1:18" ht="22.95" customHeight="1">
      <c r="A930" t="s">
        <v>2654</v>
      </c>
      <c r="B930" t="s">
        <v>24</v>
      </c>
      <c r="C930" t="s">
        <v>426</v>
      </c>
      <c r="D930" t="s">
        <v>427</v>
      </c>
      <c r="E930" t="s">
        <v>2687</v>
      </c>
      <c r="F930">
        <v>1</v>
      </c>
      <c r="G930" t="s">
        <v>1863</v>
      </c>
      <c r="H930" t="s">
        <v>2684</v>
      </c>
      <c r="I930" t="s">
        <v>2685</v>
      </c>
      <c r="K930" t="s">
        <v>320</v>
      </c>
      <c r="L930" t="s">
        <v>2688</v>
      </c>
      <c r="M930" t="s">
        <v>62</v>
      </c>
      <c r="N930" t="s">
        <v>811</v>
      </c>
      <c r="P930">
        <f t="shared" si="28"/>
        <v>1</v>
      </c>
      <c r="Q930" t="str">
        <f>IF(AND(P930&gt;1,COUNTIF($E$6:E930,E930)=1),MAX($Q$5:Q929)+1,"")</f>
        <v/>
      </c>
      <c r="R930" t="str">
        <f t="shared" si="29"/>
        <v/>
      </c>
    </row>
    <row r="931" spans="1:18" ht="22.95" customHeight="1">
      <c r="A931" t="s">
        <v>2654</v>
      </c>
      <c r="B931" t="s">
        <v>24</v>
      </c>
      <c r="C931" t="s">
        <v>426</v>
      </c>
      <c r="D931" t="s">
        <v>427</v>
      </c>
      <c r="E931" t="s">
        <v>2689</v>
      </c>
      <c r="F931">
        <v>1</v>
      </c>
      <c r="G931" t="s">
        <v>1863</v>
      </c>
      <c r="H931" t="s">
        <v>2684</v>
      </c>
      <c r="I931" t="s">
        <v>2685</v>
      </c>
      <c r="K931" t="s">
        <v>320</v>
      </c>
      <c r="L931" t="s">
        <v>2686</v>
      </c>
      <c r="M931" t="s">
        <v>62</v>
      </c>
      <c r="N931" t="s">
        <v>811</v>
      </c>
      <c r="P931">
        <f t="shared" si="28"/>
        <v>1</v>
      </c>
      <c r="Q931" t="str">
        <f>IF(AND(P931&gt;1,COUNTIF($E$6:E931,E931)=1),MAX($Q$5:Q930)+1,"")</f>
        <v/>
      </c>
      <c r="R931" t="str">
        <f t="shared" si="29"/>
        <v/>
      </c>
    </row>
    <row r="932" spans="1:18" ht="22.95" customHeight="1">
      <c r="A932" t="s">
        <v>2654</v>
      </c>
      <c r="B932" t="s">
        <v>24</v>
      </c>
      <c r="C932" t="s">
        <v>431</v>
      </c>
      <c r="D932" t="s">
        <v>216</v>
      </c>
      <c r="E932" t="s">
        <v>2690</v>
      </c>
      <c r="F932">
        <v>1</v>
      </c>
      <c r="G932" t="s">
        <v>92</v>
      </c>
      <c r="H932" t="s">
        <v>216</v>
      </c>
      <c r="I932" t="s">
        <v>60</v>
      </c>
      <c r="L932" t="s">
        <v>2691</v>
      </c>
      <c r="M932" t="s">
        <v>62</v>
      </c>
      <c r="N932" t="s">
        <v>63</v>
      </c>
      <c r="P932">
        <f t="shared" si="28"/>
        <v>1</v>
      </c>
      <c r="Q932" t="str">
        <f>IF(AND(P932&gt;1,COUNTIF($E$6:E932,E932)=1),MAX($Q$5:Q931)+1,"")</f>
        <v/>
      </c>
      <c r="R932" t="str">
        <f t="shared" si="29"/>
        <v/>
      </c>
    </row>
    <row r="933" spans="1:18" ht="22.95" customHeight="1">
      <c r="A933" t="s">
        <v>2654</v>
      </c>
      <c r="B933" t="s">
        <v>24</v>
      </c>
      <c r="C933" t="s">
        <v>431</v>
      </c>
      <c r="D933" t="s">
        <v>216</v>
      </c>
      <c r="E933" t="s">
        <v>2692</v>
      </c>
      <c r="F933">
        <v>1</v>
      </c>
      <c r="G933" t="s">
        <v>92</v>
      </c>
      <c r="H933" t="s">
        <v>216</v>
      </c>
      <c r="I933" t="s">
        <v>2693</v>
      </c>
      <c r="L933" t="s">
        <v>2694</v>
      </c>
      <c r="M933" t="s">
        <v>62</v>
      </c>
      <c r="N933" t="s">
        <v>712</v>
      </c>
      <c r="P933">
        <f t="shared" si="28"/>
        <v>1</v>
      </c>
      <c r="Q933" t="str">
        <f>IF(AND(P933&gt;1,COUNTIF($E$6:E933,E933)=1),MAX($Q$5:Q932)+1,"")</f>
        <v/>
      </c>
      <c r="R933" t="str">
        <f t="shared" si="29"/>
        <v/>
      </c>
    </row>
    <row r="934" spans="1:18" ht="22.95" customHeight="1">
      <c r="A934" t="s">
        <v>2654</v>
      </c>
      <c r="B934" t="s">
        <v>24</v>
      </c>
      <c r="C934" t="s">
        <v>436</v>
      </c>
      <c r="D934" t="s">
        <v>437</v>
      </c>
      <c r="E934" t="s">
        <v>2695</v>
      </c>
      <c r="F934">
        <v>1</v>
      </c>
      <c r="G934" t="s">
        <v>92</v>
      </c>
      <c r="I934" t="s">
        <v>406</v>
      </c>
      <c r="L934" t="s">
        <v>2696</v>
      </c>
      <c r="M934" t="s">
        <v>62</v>
      </c>
      <c r="N934" t="s">
        <v>63</v>
      </c>
      <c r="P934">
        <f t="shared" si="28"/>
        <v>1</v>
      </c>
      <c r="Q934" t="str">
        <f>IF(AND(P934&gt;1,COUNTIF($E$6:E934,E934)=1),MAX($Q$5:Q933)+1,"")</f>
        <v/>
      </c>
      <c r="R934" t="str">
        <f t="shared" si="29"/>
        <v/>
      </c>
    </row>
    <row r="935" spans="1:18" ht="22.95" customHeight="1">
      <c r="A935" t="s">
        <v>2654</v>
      </c>
      <c r="B935" t="s">
        <v>24</v>
      </c>
      <c r="C935" t="s">
        <v>436</v>
      </c>
      <c r="D935" t="s">
        <v>437</v>
      </c>
      <c r="E935" t="s">
        <v>2697</v>
      </c>
      <c r="F935">
        <v>1</v>
      </c>
      <c r="G935" t="s">
        <v>92</v>
      </c>
      <c r="I935" t="s">
        <v>406</v>
      </c>
      <c r="L935" t="s">
        <v>2696</v>
      </c>
      <c r="M935" t="s">
        <v>62</v>
      </c>
      <c r="N935" t="s">
        <v>63</v>
      </c>
      <c r="P935">
        <f t="shared" si="28"/>
        <v>1</v>
      </c>
      <c r="Q935" t="str">
        <f>IF(AND(P935&gt;1,COUNTIF($E$6:E935,E935)=1),MAX($Q$5:Q934)+1,"")</f>
        <v/>
      </c>
      <c r="R935" t="str">
        <f t="shared" si="29"/>
        <v/>
      </c>
    </row>
    <row r="936" spans="1:18" ht="22.95" customHeight="1">
      <c r="A936" t="s">
        <v>2654</v>
      </c>
      <c r="B936" t="s">
        <v>24</v>
      </c>
      <c r="C936" t="s">
        <v>436</v>
      </c>
      <c r="D936" t="s">
        <v>437</v>
      </c>
      <c r="E936" t="s">
        <v>2698</v>
      </c>
      <c r="F936">
        <v>1</v>
      </c>
      <c r="G936" t="s">
        <v>92</v>
      </c>
      <c r="L936" t="s">
        <v>2699</v>
      </c>
      <c r="M936" t="s">
        <v>62</v>
      </c>
      <c r="N936" t="s">
        <v>63</v>
      </c>
      <c r="P936">
        <f t="shared" si="28"/>
        <v>1</v>
      </c>
      <c r="Q936" t="str">
        <f>IF(AND(P936&gt;1,COUNTIF($E$6:E936,E936)=1),MAX($Q$5:Q935)+1,"")</f>
        <v/>
      </c>
      <c r="R936" t="str">
        <f t="shared" si="29"/>
        <v/>
      </c>
    </row>
    <row r="937" spans="1:18" ht="22.95" customHeight="1">
      <c r="A937" t="s">
        <v>2654</v>
      </c>
      <c r="B937" t="s">
        <v>24</v>
      </c>
      <c r="C937" t="s">
        <v>136</v>
      </c>
      <c r="D937" t="s">
        <v>137</v>
      </c>
      <c r="E937" t="s">
        <v>2700</v>
      </c>
      <c r="F937">
        <v>1</v>
      </c>
      <c r="G937" t="s">
        <v>2701</v>
      </c>
      <c r="H937" t="s">
        <v>2702</v>
      </c>
      <c r="I937" t="s">
        <v>406</v>
      </c>
      <c r="K937" t="s">
        <v>406</v>
      </c>
      <c r="L937" t="s">
        <v>2703</v>
      </c>
      <c r="M937" t="s">
        <v>62</v>
      </c>
      <c r="N937" t="s">
        <v>130</v>
      </c>
      <c r="P937">
        <f t="shared" si="28"/>
        <v>1</v>
      </c>
      <c r="Q937" t="str">
        <f>IF(AND(P937&gt;1,COUNTIF($E$6:E937,E937)=1),MAX($Q$5:Q936)+1,"")</f>
        <v/>
      </c>
      <c r="R937" t="str">
        <f t="shared" si="29"/>
        <v/>
      </c>
    </row>
    <row r="938" spans="1:18" ht="22.95" customHeight="1">
      <c r="A938" t="s">
        <v>2654</v>
      </c>
      <c r="B938" t="s">
        <v>24</v>
      </c>
      <c r="C938" t="s">
        <v>136</v>
      </c>
      <c r="D938" t="s">
        <v>137</v>
      </c>
      <c r="E938" t="s">
        <v>2704</v>
      </c>
      <c r="F938">
        <v>1</v>
      </c>
      <c r="G938" t="s">
        <v>2705</v>
      </c>
      <c r="H938" t="s">
        <v>2706</v>
      </c>
      <c r="I938" t="s">
        <v>2707</v>
      </c>
      <c r="K938" t="s">
        <v>960</v>
      </c>
      <c r="L938" t="s">
        <v>2708</v>
      </c>
      <c r="M938" t="s">
        <v>62</v>
      </c>
      <c r="N938" t="s">
        <v>130</v>
      </c>
      <c r="P938">
        <f t="shared" si="28"/>
        <v>1</v>
      </c>
      <c r="Q938" t="str">
        <f>IF(AND(P938&gt;1,COUNTIF($E$6:E938,E938)=1),MAX($Q$5:Q937)+1,"")</f>
        <v/>
      </c>
      <c r="R938" t="str">
        <f t="shared" si="29"/>
        <v/>
      </c>
    </row>
    <row r="939" spans="1:18" ht="22.95" customHeight="1">
      <c r="A939" t="s">
        <v>2654</v>
      </c>
      <c r="B939" t="s">
        <v>24</v>
      </c>
      <c r="C939" t="s">
        <v>136</v>
      </c>
      <c r="D939" t="s">
        <v>137</v>
      </c>
      <c r="E939" t="s">
        <v>2709</v>
      </c>
      <c r="F939">
        <v>1</v>
      </c>
      <c r="G939" t="s">
        <v>2705</v>
      </c>
      <c r="H939" t="s">
        <v>2706</v>
      </c>
      <c r="I939" t="s">
        <v>2710</v>
      </c>
      <c r="K939" t="s">
        <v>960</v>
      </c>
      <c r="L939" t="s">
        <v>2711</v>
      </c>
      <c r="M939" t="s">
        <v>62</v>
      </c>
      <c r="N939" t="s">
        <v>130</v>
      </c>
      <c r="P939">
        <f t="shared" si="28"/>
        <v>1</v>
      </c>
      <c r="Q939" t="str">
        <f>IF(AND(P939&gt;1,COUNTIF($E$6:E939,E939)=1),MAX($Q$5:Q938)+1,"")</f>
        <v/>
      </c>
      <c r="R939" t="str">
        <f t="shared" si="29"/>
        <v/>
      </c>
    </row>
    <row r="940" spans="1:18" ht="22.95" customHeight="1">
      <c r="A940" t="s">
        <v>2654</v>
      </c>
      <c r="B940" t="s">
        <v>24</v>
      </c>
      <c r="C940" t="s">
        <v>136</v>
      </c>
      <c r="D940" t="s">
        <v>137</v>
      </c>
      <c r="E940" t="s">
        <v>2712</v>
      </c>
      <c r="F940">
        <v>1</v>
      </c>
      <c r="G940" t="s">
        <v>92</v>
      </c>
      <c r="I940" t="s">
        <v>2713</v>
      </c>
      <c r="K940" t="s">
        <v>622</v>
      </c>
      <c r="L940" t="s">
        <v>2714</v>
      </c>
      <c r="M940" t="s">
        <v>102</v>
      </c>
      <c r="P940">
        <f t="shared" si="28"/>
        <v>1</v>
      </c>
      <c r="Q940" t="str">
        <f>IF(AND(P940&gt;1,COUNTIF($E$6:E940,E940)=1),MAX($Q$5:Q939)+1,"")</f>
        <v/>
      </c>
      <c r="R940" t="str">
        <f t="shared" si="29"/>
        <v/>
      </c>
    </row>
    <row r="941" spans="1:18" ht="22.95" customHeight="1">
      <c r="A941" t="s">
        <v>2654</v>
      </c>
      <c r="B941" t="s">
        <v>28</v>
      </c>
      <c r="C941" t="s">
        <v>146</v>
      </c>
      <c r="D941" t="s">
        <v>147</v>
      </c>
      <c r="E941" t="s">
        <v>2715</v>
      </c>
      <c r="F941">
        <v>1</v>
      </c>
      <c r="G941" t="s">
        <v>149</v>
      </c>
      <c r="H941" t="s">
        <v>423</v>
      </c>
      <c r="I941" t="s">
        <v>2716</v>
      </c>
      <c r="K941" t="s">
        <v>960</v>
      </c>
      <c r="L941" t="s">
        <v>2717</v>
      </c>
      <c r="M941" t="s">
        <v>73</v>
      </c>
      <c r="P941">
        <f t="shared" si="28"/>
        <v>1</v>
      </c>
      <c r="Q941" t="str">
        <f>IF(AND(P941&gt;1,COUNTIF($E$6:E941,E941)=1),MAX($Q$5:Q940)+1,"")</f>
        <v/>
      </c>
      <c r="R941" t="str">
        <f t="shared" si="29"/>
        <v/>
      </c>
    </row>
    <row r="942" spans="1:18" ht="22.95" customHeight="1">
      <c r="A942" t="s">
        <v>2654</v>
      </c>
      <c r="B942" t="s">
        <v>28</v>
      </c>
      <c r="C942" t="s">
        <v>146</v>
      </c>
      <c r="D942" t="s">
        <v>147</v>
      </c>
      <c r="E942" t="s">
        <v>2718</v>
      </c>
      <c r="F942">
        <v>1</v>
      </c>
      <c r="G942" t="s">
        <v>149</v>
      </c>
      <c r="H942" t="s">
        <v>423</v>
      </c>
      <c r="I942" t="s">
        <v>2716</v>
      </c>
      <c r="K942" t="s">
        <v>960</v>
      </c>
      <c r="L942" t="s">
        <v>2719</v>
      </c>
      <c r="M942" t="s">
        <v>73</v>
      </c>
      <c r="P942">
        <f t="shared" si="28"/>
        <v>1</v>
      </c>
      <c r="Q942" t="str">
        <f>IF(AND(P942&gt;1,COUNTIF($E$6:E942,E942)=1),MAX($Q$5:Q941)+1,"")</f>
        <v/>
      </c>
      <c r="R942" t="str">
        <f t="shared" si="29"/>
        <v/>
      </c>
    </row>
    <row r="943" spans="1:18" ht="22.95" customHeight="1">
      <c r="A943" t="s">
        <v>2654</v>
      </c>
      <c r="B943" t="s">
        <v>28</v>
      </c>
      <c r="C943" t="s">
        <v>146</v>
      </c>
      <c r="D943" t="s">
        <v>147</v>
      </c>
      <c r="E943" t="s">
        <v>2720</v>
      </c>
      <c r="F943">
        <v>1</v>
      </c>
      <c r="G943" t="s">
        <v>149</v>
      </c>
      <c r="H943" t="s">
        <v>423</v>
      </c>
      <c r="I943" t="s">
        <v>2716</v>
      </c>
      <c r="K943" t="s">
        <v>960</v>
      </c>
      <c r="L943" t="s">
        <v>2719</v>
      </c>
      <c r="M943" t="s">
        <v>73</v>
      </c>
      <c r="P943">
        <f t="shared" si="28"/>
        <v>1</v>
      </c>
      <c r="Q943" t="str">
        <f>IF(AND(P943&gt;1,COUNTIF($E$6:E943,E943)=1),MAX($Q$5:Q942)+1,"")</f>
        <v/>
      </c>
      <c r="R943" t="str">
        <f t="shared" si="29"/>
        <v/>
      </c>
    </row>
    <row r="944" spans="1:18" ht="22.95" customHeight="1">
      <c r="A944" t="s">
        <v>2654</v>
      </c>
      <c r="B944" t="s">
        <v>28</v>
      </c>
      <c r="C944" t="s">
        <v>146</v>
      </c>
      <c r="D944" t="s">
        <v>147</v>
      </c>
      <c r="E944" t="s">
        <v>2721</v>
      </c>
      <c r="F944">
        <v>1</v>
      </c>
      <c r="G944" t="s">
        <v>149</v>
      </c>
      <c r="H944" t="s">
        <v>423</v>
      </c>
      <c r="I944" t="s">
        <v>2716</v>
      </c>
      <c r="K944" t="s">
        <v>960</v>
      </c>
      <c r="L944" t="s">
        <v>2719</v>
      </c>
      <c r="M944" t="s">
        <v>73</v>
      </c>
      <c r="P944">
        <f t="shared" si="28"/>
        <v>1</v>
      </c>
      <c r="Q944" t="str">
        <f>IF(AND(P944&gt;1,COUNTIF($E$6:E944,E944)=1),MAX($Q$5:Q943)+1,"")</f>
        <v/>
      </c>
      <c r="R944" t="str">
        <f t="shared" si="29"/>
        <v/>
      </c>
    </row>
    <row r="945" spans="1:18" ht="22.95" customHeight="1">
      <c r="A945" t="s">
        <v>2654</v>
      </c>
      <c r="B945" t="s">
        <v>28</v>
      </c>
      <c r="C945" t="s">
        <v>146</v>
      </c>
      <c r="D945" t="s">
        <v>147</v>
      </c>
      <c r="E945" t="s">
        <v>2722</v>
      </c>
      <c r="F945">
        <v>1</v>
      </c>
      <c r="G945" t="s">
        <v>149</v>
      </c>
      <c r="H945" t="s">
        <v>423</v>
      </c>
      <c r="I945" t="s">
        <v>2716</v>
      </c>
      <c r="K945" t="s">
        <v>960</v>
      </c>
      <c r="L945" t="s">
        <v>2719</v>
      </c>
      <c r="M945" t="s">
        <v>73</v>
      </c>
      <c r="P945">
        <f t="shared" si="28"/>
        <v>1</v>
      </c>
      <c r="Q945" t="str">
        <f>IF(AND(P945&gt;1,COUNTIF($E$6:E945,E945)=1),MAX($Q$5:Q944)+1,"")</f>
        <v/>
      </c>
      <c r="R945" t="str">
        <f t="shared" si="29"/>
        <v/>
      </c>
    </row>
    <row r="946" spans="1:18" ht="22.95" customHeight="1">
      <c r="A946" t="s">
        <v>2654</v>
      </c>
      <c r="B946" t="s">
        <v>28</v>
      </c>
      <c r="C946" t="s">
        <v>146</v>
      </c>
      <c r="D946" t="s">
        <v>147</v>
      </c>
      <c r="E946" t="s">
        <v>2723</v>
      </c>
      <c r="F946">
        <v>1</v>
      </c>
      <c r="G946" t="s">
        <v>149</v>
      </c>
      <c r="H946" t="s">
        <v>423</v>
      </c>
      <c r="I946" t="s">
        <v>2065</v>
      </c>
      <c r="K946" t="s">
        <v>960</v>
      </c>
      <c r="L946" t="s">
        <v>2724</v>
      </c>
      <c r="M946" t="s">
        <v>62</v>
      </c>
      <c r="N946" t="s">
        <v>130</v>
      </c>
      <c r="P946">
        <f t="shared" si="28"/>
        <v>1</v>
      </c>
      <c r="Q946" t="str">
        <f>IF(AND(P946&gt;1,COUNTIF($E$6:E946,E946)=1),MAX($Q$5:Q945)+1,"")</f>
        <v/>
      </c>
      <c r="R946" t="str">
        <f t="shared" si="29"/>
        <v/>
      </c>
    </row>
    <row r="947" spans="1:18" ht="22.95" customHeight="1">
      <c r="A947" t="s">
        <v>2654</v>
      </c>
      <c r="B947" t="s">
        <v>28</v>
      </c>
      <c r="C947" t="s">
        <v>146</v>
      </c>
      <c r="D947" t="s">
        <v>147</v>
      </c>
      <c r="E947" t="s">
        <v>2725</v>
      </c>
      <c r="F947">
        <v>1</v>
      </c>
      <c r="G947" t="s">
        <v>149</v>
      </c>
      <c r="H947" t="s">
        <v>423</v>
      </c>
      <c r="I947" t="s">
        <v>2065</v>
      </c>
      <c r="K947" t="s">
        <v>960</v>
      </c>
      <c r="L947" t="s">
        <v>2726</v>
      </c>
      <c r="M947" t="s">
        <v>73</v>
      </c>
      <c r="P947">
        <f t="shared" si="28"/>
        <v>1</v>
      </c>
      <c r="Q947" t="str">
        <f>IF(AND(P947&gt;1,COUNTIF($E$6:E947,E947)=1),MAX($Q$5:Q946)+1,"")</f>
        <v/>
      </c>
      <c r="R947" t="str">
        <f t="shared" si="29"/>
        <v/>
      </c>
    </row>
    <row r="948" spans="1:18" ht="22.95" customHeight="1">
      <c r="A948" t="s">
        <v>2654</v>
      </c>
      <c r="B948" t="s">
        <v>28</v>
      </c>
      <c r="C948" t="s">
        <v>146</v>
      </c>
      <c r="D948" t="s">
        <v>147</v>
      </c>
      <c r="E948" t="s">
        <v>2727</v>
      </c>
      <c r="F948">
        <v>1</v>
      </c>
      <c r="G948" t="s">
        <v>149</v>
      </c>
      <c r="H948" t="s">
        <v>423</v>
      </c>
      <c r="I948" t="s">
        <v>2065</v>
      </c>
      <c r="K948" t="s">
        <v>960</v>
      </c>
      <c r="L948" t="s">
        <v>2726</v>
      </c>
      <c r="M948" t="s">
        <v>73</v>
      </c>
      <c r="P948">
        <f t="shared" si="28"/>
        <v>1</v>
      </c>
      <c r="Q948" t="str">
        <f>IF(AND(P948&gt;1,COUNTIF($E$6:E948,E948)=1),MAX($Q$5:Q947)+1,"")</f>
        <v/>
      </c>
      <c r="R948" t="str">
        <f t="shared" si="29"/>
        <v/>
      </c>
    </row>
    <row r="949" spans="1:18" ht="22.95" customHeight="1">
      <c r="A949" t="s">
        <v>2654</v>
      </c>
      <c r="B949" t="s">
        <v>28</v>
      </c>
      <c r="C949" t="s">
        <v>146</v>
      </c>
      <c r="D949" t="s">
        <v>147</v>
      </c>
      <c r="E949" t="s">
        <v>2728</v>
      </c>
      <c r="F949">
        <v>1</v>
      </c>
      <c r="G949" t="s">
        <v>149</v>
      </c>
      <c r="H949" t="s">
        <v>423</v>
      </c>
      <c r="I949" t="s">
        <v>2065</v>
      </c>
      <c r="K949" t="s">
        <v>960</v>
      </c>
      <c r="L949" t="s">
        <v>2726</v>
      </c>
      <c r="M949" t="s">
        <v>73</v>
      </c>
      <c r="P949">
        <f t="shared" si="28"/>
        <v>1</v>
      </c>
      <c r="Q949" t="str">
        <f>IF(AND(P949&gt;1,COUNTIF($E$6:E949,E949)=1),MAX($Q$5:Q948)+1,"")</f>
        <v/>
      </c>
      <c r="R949" t="str">
        <f t="shared" si="29"/>
        <v/>
      </c>
    </row>
    <row r="950" spans="1:18" ht="22.95" customHeight="1">
      <c r="A950" t="s">
        <v>2654</v>
      </c>
      <c r="B950" t="s">
        <v>28</v>
      </c>
      <c r="C950" t="s">
        <v>146</v>
      </c>
      <c r="D950" t="s">
        <v>147</v>
      </c>
      <c r="E950" t="s">
        <v>2729</v>
      </c>
      <c r="F950">
        <v>1</v>
      </c>
      <c r="G950" t="s">
        <v>149</v>
      </c>
      <c r="H950" t="s">
        <v>423</v>
      </c>
      <c r="I950" t="s">
        <v>2065</v>
      </c>
      <c r="K950" t="s">
        <v>960</v>
      </c>
      <c r="L950" t="s">
        <v>2726</v>
      </c>
      <c r="M950" t="s">
        <v>73</v>
      </c>
      <c r="P950">
        <f t="shared" si="28"/>
        <v>1</v>
      </c>
      <c r="Q950" t="str">
        <f>IF(AND(P950&gt;1,COUNTIF($E$6:E950,E950)=1),MAX($Q$5:Q949)+1,"")</f>
        <v/>
      </c>
      <c r="R950" t="str">
        <f t="shared" si="29"/>
        <v/>
      </c>
    </row>
    <row r="951" spans="1:18" ht="22.95" customHeight="1">
      <c r="A951" t="s">
        <v>2654</v>
      </c>
      <c r="B951" t="s">
        <v>28</v>
      </c>
      <c r="C951" t="s">
        <v>146</v>
      </c>
      <c r="D951" t="s">
        <v>147</v>
      </c>
      <c r="E951" t="s">
        <v>2730</v>
      </c>
      <c r="F951">
        <v>1</v>
      </c>
      <c r="G951" t="s">
        <v>149</v>
      </c>
      <c r="H951" t="s">
        <v>423</v>
      </c>
      <c r="I951" t="s">
        <v>2065</v>
      </c>
      <c r="K951" t="s">
        <v>960</v>
      </c>
      <c r="L951" t="s">
        <v>2726</v>
      </c>
      <c r="M951" t="s">
        <v>73</v>
      </c>
      <c r="P951">
        <f t="shared" si="28"/>
        <v>1</v>
      </c>
      <c r="Q951" t="str">
        <f>IF(AND(P951&gt;1,COUNTIF($E$6:E951,E951)=1),MAX($Q$5:Q950)+1,"")</f>
        <v/>
      </c>
      <c r="R951" t="str">
        <f t="shared" si="29"/>
        <v/>
      </c>
    </row>
    <row r="952" spans="1:18" ht="22.95" customHeight="1">
      <c r="A952" t="s">
        <v>2654</v>
      </c>
      <c r="B952" t="s">
        <v>28</v>
      </c>
      <c r="C952" t="s">
        <v>146</v>
      </c>
      <c r="D952" t="s">
        <v>147</v>
      </c>
      <c r="E952" t="s">
        <v>2731</v>
      </c>
      <c r="F952">
        <v>1</v>
      </c>
      <c r="G952" t="s">
        <v>149</v>
      </c>
      <c r="H952" t="s">
        <v>423</v>
      </c>
      <c r="I952" t="s">
        <v>2065</v>
      </c>
      <c r="K952" t="s">
        <v>960</v>
      </c>
      <c r="L952" t="s">
        <v>2726</v>
      </c>
      <c r="M952" t="s">
        <v>73</v>
      </c>
      <c r="P952">
        <f t="shared" si="28"/>
        <v>1</v>
      </c>
      <c r="Q952" t="str">
        <f>IF(AND(P952&gt;1,COUNTIF($E$6:E952,E952)=1),MAX($Q$5:Q951)+1,"")</f>
        <v/>
      </c>
      <c r="R952" t="str">
        <f t="shared" si="29"/>
        <v/>
      </c>
    </row>
    <row r="953" spans="1:18" ht="22.95" customHeight="1">
      <c r="A953" t="s">
        <v>2654</v>
      </c>
      <c r="B953" t="s">
        <v>28</v>
      </c>
      <c r="C953" t="s">
        <v>146</v>
      </c>
      <c r="D953" t="s">
        <v>147</v>
      </c>
      <c r="E953" t="s">
        <v>2732</v>
      </c>
      <c r="F953">
        <v>1</v>
      </c>
      <c r="G953" t="s">
        <v>149</v>
      </c>
      <c r="H953" t="s">
        <v>423</v>
      </c>
      <c r="I953" t="s">
        <v>2065</v>
      </c>
      <c r="K953" t="s">
        <v>960</v>
      </c>
      <c r="L953" t="s">
        <v>2726</v>
      </c>
      <c r="M953" t="s">
        <v>73</v>
      </c>
      <c r="P953">
        <f t="shared" si="28"/>
        <v>1</v>
      </c>
      <c r="Q953" t="str">
        <f>IF(AND(P953&gt;1,COUNTIF($E$6:E953,E953)=1),MAX($Q$5:Q952)+1,"")</f>
        <v/>
      </c>
      <c r="R953" t="str">
        <f t="shared" si="29"/>
        <v/>
      </c>
    </row>
    <row r="954" spans="1:18" ht="22.95" customHeight="1">
      <c r="A954" t="s">
        <v>2654</v>
      </c>
      <c r="B954" t="s">
        <v>28</v>
      </c>
      <c r="C954" t="s">
        <v>146</v>
      </c>
      <c r="D954" t="s">
        <v>147</v>
      </c>
      <c r="E954" t="s">
        <v>2733</v>
      </c>
      <c r="F954">
        <v>1</v>
      </c>
      <c r="G954" t="s">
        <v>149</v>
      </c>
      <c r="H954" t="s">
        <v>423</v>
      </c>
      <c r="I954" t="s">
        <v>2065</v>
      </c>
      <c r="K954" t="s">
        <v>960</v>
      </c>
      <c r="L954" t="s">
        <v>2726</v>
      </c>
      <c r="M954" t="s">
        <v>73</v>
      </c>
      <c r="P954">
        <f t="shared" si="28"/>
        <v>1</v>
      </c>
      <c r="Q954" t="str">
        <f>IF(AND(P954&gt;1,COUNTIF($E$6:E954,E954)=1),MAX($Q$5:Q953)+1,"")</f>
        <v/>
      </c>
      <c r="R954" t="str">
        <f t="shared" si="29"/>
        <v/>
      </c>
    </row>
    <row r="955" spans="1:18" ht="22.95" customHeight="1">
      <c r="A955" t="s">
        <v>2654</v>
      </c>
      <c r="B955" t="s">
        <v>28</v>
      </c>
      <c r="C955" t="s">
        <v>146</v>
      </c>
      <c r="D955" t="s">
        <v>147</v>
      </c>
      <c r="E955" t="s">
        <v>2734</v>
      </c>
      <c r="F955">
        <v>1</v>
      </c>
      <c r="G955" t="s">
        <v>149</v>
      </c>
      <c r="H955" t="s">
        <v>423</v>
      </c>
      <c r="I955" t="s">
        <v>2065</v>
      </c>
      <c r="K955" t="s">
        <v>960</v>
      </c>
      <c r="L955" t="s">
        <v>2726</v>
      </c>
      <c r="M955" t="s">
        <v>73</v>
      </c>
      <c r="P955">
        <f t="shared" si="28"/>
        <v>1</v>
      </c>
      <c r="Q955" t="str">
        <f>IF(AND(P955&gt;1,COUNTIF($E$6:E955,E955)=1),MAX($Q$5:Q954)+1,"")</f>
        <v/>
      </c>
      <c r="R955" t="str">
        <f t="shared" si="29"/>
        <v/>
      </c>
    </row>
    <row r="956" spans="1:18" ht="22.95" customHeight="1">
      <c r="A956" t="s">
        <v>2654</v>
      </c>
      <c r="B956" t="s">
        <v>28</v>
      </c>
      <c r="C956" t="s">
        <v>146</v>
      </c>
      <c r="D956" t="s">
        <v>147</v>
      </c>
      <c r="E956" t="s">
        <v>2735</v>
      </c>
      <c r="F956">
        <v>1</v>
      </c>
      <c r="G956" t="s">
        <v>149</v>
      </c>
      <c r="H956" t="s">
        <v>423</v>
      </c>
      <c r="I956" t="s">
        <v>2065</v>
      </c>
      <c r="K956" t="s">
        <v>960</v>
      </c>
      <c r="L956" t="s">
        <v>2726</v>
      </c>
      <c r="M956" t="s">
        <v>73</v>
      </c>
      <c r="P956">
        <f t="shared" si="28"/>
        <v>1</v>
      </c>
      <c r="Q956" t="str">
        <f>IF(AND(P956&gt;1,COUNTIF($E$6:E956,E956)=1),MAX($Q$5:Q955)+1,"")</f>
        <v/>
      </c>
      <c r="R956" t="str">
        <f t="shared" si="29"/>
        <v/>
      </c>
    </row>
    <row r="957" spans="1:18" ht="22.95" customHeight="1">
      <c r="A957" t="s">
        <v>2654</v>
      </c>
      <c r="B957" t="s">
        <v>28</v>
      </c>
      <c r="C957" t="s">
        <v>146</v>
      </c>
      <c r="D957" t="s">
        <v>147</v>
      </c>
      <c r="E957" t="s">
        <v>2736</v>
      </c>
      <c r="F957">
        <v>1</v>
      </c>
      <c r="G957" t="s">
        <v>149</v>
      </c>
      <c r="H957" t="s">
        <v>423</v>
      </c>
      <c r="I957" t="s">
        <v>2065</v>
      </c>
      <c r="K957" t="s">
        <v>960</v>
      </c>
      <c r="L957" t="s">
        <v>2726</v>
      </c>
      <c r="M957" t="s">
        <v>73</v>
      </c>
      <c r="P957">
        <f t="shared" si="28"/>
        <v>1</v>
      </c>
      <c r="Q957" t="str">
        <f>IF(AND(P957&gt;1,COUNTIF($E$6:E957,E957)=1),MAX($Q$5:Q956)+1,"")</f>
        <v/>
      </c>
      <c r="R957" t="str">
        <f t="shared" si="29"/>
        <v/>
      </c>
    </row>
    <row r="958" spans="1:18" ht="22.95" customHeight="1">
      <c r="A958" t="s">
        <v>2654</v>
      </c>
      <c r="B958" t="s">
        <v>28</v>
      </c>
      <c r="C958" t="s">
        <v>146</v>
      </c>
      <c r="D958" t="s">
        <v>147</v>
      </c>
      <c r="E958" t="s">
        <v>2737</v>
      </c>
      <c r="F958">
        <v>1</v>
      </c>
      <c r="G958" t="s">
        <v>92</v>
      </c>
      <c r="I958" t="s">
        <v>2065</v>
      </c>
      <c r="K958" t="s">
        <v>960</v>
      </c>
      <c r="L958" t="s">
        <v>2738</v>
      </c>
      <c r="M958" t="s">
        <v>73</v>
      </c>
      <c r="P958">
        <f t="shared" si="28"/>
        <v>1</v>
      </c>
      <c r="Q958" t="str">
        <f>IF(AND(P958&gt;1,COUNTIF($E$6:E958,E958)=1),MAX($Q$5:Q957)+1,"")</f>
        <v/>
      </c>
      <c r="R958" t="str">
        <f t="shared" si="29"/>
        <v/>
      </c>
    </row>
    <row r="959" spans="1:18" ht="22.95" customHeight="1">
      <c r="A959" t="s">
        <v>2654</v>
      </c>
      <c r="B959" t="s">
        <v>28</v>
      </c>
      <c r="C959" t="s">
        <v>146</v>
      </c>
      <c r="D959" t="s">
        <v>147</v>
      </c>
      <c r="E959" t="s">
        <v>2739</v>
      </c>
      <c r="F959">
        <v>1</v>
      </c>
      <c r="G959" t="s">
        <v>149</v>
      </c>
      <c r="H959" t="s">
        <v>423</v>
      </c>
      <c r="I959" t="s">
        <v>2065</v>
      </c>
      <c r="K959" t="s">
        <v>960</v>
      </c>
      <c r="L959" t="s">
        <v>2740</v>
      </c>
      <c r="M959" t="s">
        <v>62</v>
      </c>
      <c r="N959" t="s">
        <v>130</v>
      </c>
      <c r="P959">
        <f t="shared" si="28"/>
        <v>1</v>
      </c>
      <c r="Q959" t="str">
        <f>IF(AND(P959&gt;1,COUNTIF($E$6:E959,E959)=1),MAX($Q$5:Q958)+1,"")</f>
        <v/>
      </c>
      <c r="R959" t="str">
        <f t="shared" si="29"/>
        <v/>
      </c>
    </row>
    <row r="960" spans="1:18" ht="22.95" customHeight="1">
      <c r="A960" t="s">
        <v>2654</v>
      </c>
      <c r="B960" t="s">
        <v>28</v>
      </c>
      <c r="C960" t="s">
        <v>146</v>
      </c>
      <c r="D960" t="s">
        <v>147</v>
      </c>
      <c r="E960" t="s">
        <v>2741</v>
      </c>
      <c r="F960">
        <v>1</v>
      </c>
      <c r="G960" t="s">
        <v>149</v>
      </c>
      <c r="H960" t="s">
        <v>423</v>
      </c>
      <c r="I960" t="s">
        <v>2065</v>
      </c>
      <c r="K960" t="s">
        <v>960</v>
      </c>
      <c r="L960" t="s">
        <v>2742</v>
      </c>
      <c r="M960" t="s">
        <v>62</v>
      </c>
      <c r="N960" t="s">
        <v>130</v>
      </c>
      <c r="P960">
        <f t="shared" si="28"/>
        <v>1</v>
      </c>
      <c r="Q960" t="str">
        <f>IF(AND(P960&gt;1,COUNTIF($E$6:E960,E960)=1),MAX($Q$5:Q959)+1,"")</f>
        <v/>
      </c>
      <c r="R960" t="str">
        <f t="shared" si="29"/>
        <v/>
      </c>
    </row>
    <row r="961" spans="1:18" ht="22.95" customHeight="1">
      <c r="A961" t="s">
        <v>2654</v>
      </c>
      <c r="B961" t="s">
        <v>28</v>
      </c>
      <c r="C961" t="s">
        <v>167</v>
      </c>
      <c r="D961" t="s">
        <v>168</v>
      </c>
      <c r="E961" t="s">
        <v>2743</v>
      </c>
      <c r="F961">
        <v>1</v>
      </c>
      <c r="G961" t="s">
        <v>149</v>
      </c>
      <c r="H961" t="s">
        <v>423</v>
      </c>
      <c r="L961" t="s">
        <v>2744</v>
      </c>
      <c r="M961" t="s">
        <v>102</v>
      </c>
      <c r="P961">
        <f t="shared" si="28"/>
        <v>1</v>
      </c>
      <c r="Q961" t="str">
        <f>IF(AND(P961&gt;1,COUNTIF($E$6:E961,E961)=1),MAX($Q$5:Q960)+1,"")</f>
        <v/>
      </c>
      <c r="R961" t="str">
        <f t="shared" si="29"/>
        <v/>
      </c>
    </row>
    <row r="962" spans="1:18" ht="22.95" customHeight="1">
      <c r="A962" t="s">
        <v>2654</v>
      </c>
      <c r="B962" t="s">
        <v>28</v>
      </c>
      <c r="C962" t="s">
        <v>167</v>
      </c>
      <c r="D962" t="s">
        <v>168</v>
      </c>
      <c r="E962" t="s">
        <v>2745</v>
      </c>
      <c r="F962">
        <v>1</v>
      </c>
      <c r="G962" t="s">
        <v>92</v>
      </c>
      <c r="I962" t="s">
        <v>733</v>
      </c>
      <c r="L962" t="s">
        <v>2746</v>
      </c>
      <c r="M962" t="s">
        <v>102</v>
      </c>
      <c r="P962">
        <f t="shared" si="28"/>
        <v>1</v>
      </c>
      <c r="Q962" t="str">
        <f>IF(AND(P962&gt;1,COUNTIF($E$6:E962,E962)=1),MAX($Q$5:Q961)+1,"")</f>
        <v/>
      </c>
      <c r="R962" t="str">
        <f t="shared" si="29"/>
        <v/>
      </c>
    </row>
    <row r="963" spans="1:18" ht="22.95" customHeight="1">
      <c r="A963" t="s">
        <v>2654</v>
      </c>
      <c r="B963" t="s">
        <v>27</v>
      </c>
      <c r="C963" t="s">
        <v>1069</v>
      </c>
      <c r="D963" t="s">
        <v>1070</v>
      </c>
      <c r="E963" t="s">
        <v>2747</v>
      </c>
      <c r="F963">
        <v>1</v>
      </c>
      <c r="G963" t="s">
        <v>92</v>
      </c>
      <c r="I963" t="s">
        <v>2748</v>
      </c>
      <c r="K963" t="s">
        <v>2749</v>
      </c>
      <c r="L963" t="s">
        <v>2750</v>
      </c>
      <c r="M963" t="s">
        <v>62</v>
      </c>
      <c r="N963" t="s">
        <v>957</v>
      </c>
      <c r="P963">
        <f t="shared" si="28"/>
        <v>1</v>
      </c>
      <c r="Q963" t="str">
        <f>IF(AND(P963&gt;1,COUNTIF($E$6:E963,E963)=1),MAX($Q$5:Q962)+1,"")</f>
        <v/>
      </c>
      <c r="R963" t="str">
        <f t="shared" si="29"/>
        <v/>
      </c>
    </row>
    <row r="964" spans="1:18" ht="22.95" customHeight="1">
      <c r="A964" t="s">
        <v>2654</v>
      </c>
      <c r="B964" t="s">
        <v>27</v>
      </c>
      <c r="C964" t="s">
        <v>1069</v>
      </c>
      <c r="D964" t="s">
        <v>1070</v>
      </c>
      <c r="E964" t="s">
        <v>2751</v>
      </c>
      <c r="F964">
        <v>1</v>
      </c>
      <c r="G964" t="s">
        <v>92</v>
      </c>
      <c r="I964" t="s">
        <v>2748</v>
      </c>
      <c r="K964" t="s">
        <v>2749</v>
      </c>
      <c r="L964" t="s">
        <v>2750</v>
      </c>
      <c r="M964" t="s">
        <v>62</v>
      </c>
      <c r="N964" t="s">
        <v>957</v>
      </c>
      <c r="P964">
        <f t="shared" si="28"/>
        <v>1</v>
      </c>
      <c r="Q964" t="str">
        <f>IF(AND(P964&gt;1,COUNTIF($E$6:E964,E964)=1),MAX($Q$5:Q963)+1,"")</f>
        <v/>
      </c>
      <c r="R964" t="str">
        <f t="shared" si="29"/>
        <v/>
      </c>
    </row>
    <row r="965" spans="1:18" ht="22.95" customHeight="1">
      <c r="A965" t="s">
        <v>2654</v>
      </c>
      <c r="B965" t="s">
        <v>27</v>
      </c>
      <c r="C965" t="s">
        <v>1069</v>
      </c>
      <c r="D965" t="s">
        <v>1070</v>
      </c>
      <c r="E965" t="s">
        <v>2752</v>
      </c>
      <c r="F965">
        <v>1</v>
      </c>
      <c r="G965" t="s">
        <v>92</v>
      </c>
      <c r="I965" t="s">
        <v>2748</v>
      </c>
      <c r="K965" t="s">
        <v>2749</v>
      </c>
      <c r="L965" t="s">
        <v>2750</v>
      </c>
      <c r="M965" t="s">
        <v>62</v>
      </c>
      <c r="N965" t="s">
        <v>957</v>
      </c>
      <c r="P965">
        <f t="shared" si="28"/>
        <v>1</v>
      </c>
      <c r="Q965" t="str">
        <f>IF(AND(P965&gt;1,COUNTIF($E$6:E965,E965)=1),MAX($Q$5:Q964)+1,"")</f>
        <v/>
      </c>
      <c r="R965" t="str">
        <f t="shared" si="29"/>
        <v/>
      </c>
    </row>
    <row r="966" spans="1:18" ht="22.95" customHeight="1">
      <c r="A966" t="s">
        <v>2654</v>
      </c>
      <c r="B966" t="s">
        <v>30</v>
      </c>
      <c r="C966" t="s">
        <v>188</v>
      </c>
      <c r="D966" t="s">
        <v>189</v>
      </c>
      <c r="E966" t="s">
        <v>2753</v>
      </c>
      <c r="F966">
        <v>1</v>
      </c>
      <c r="G966" t="s">
        <v>2754</v>
      </c>
      <c r="H966" t="s">
        <v>2755</v>
      </c>
      <c r="I966" t="s">
        <v>112</v>
      </c>
      <c r="J966" t="s">
        <v>245</v>
      </c>
      <c r="L966" t="s">
        <v>2756</v>
      </c>
      <c r="M966" t="s">
        <v>62</v>
      </c>
      <c r="N966" t="s">
        <v>1435</v>
      </c>
      <c r="P966">
        <f t="shared" ref="P966:P1029" si="30">COUNTIF($E$6:$E$1740,E966)</f>
        <v>1</v>
      </c>
      <c r="Q966" t="str">
        <f>IF(AND(P966&gt;1,COUNTIF($E$6:E966,E966)=1),MAX($Q$5:Q965)+1,"")</f>
        <v/>
      </c>
      <c r="R966" t="str">
        <f t="shared" ref="R966:R1029" si="31">IF(Q966="","",IF(COUNTIFS($E$6:$E$1740,E966,$A$6:$A$1740,A966,$C$6:$C$1740,C966)&lt;P966,"LÉGITIME",IF(COUNTIFS($E$6:$E$1740,E966,$A$6:$A$1740,A966,$C$6:$C$1740,C966,$M$6:$M$1740,M966)&lt;P966,"STATUT DIFFÉRENT","VRAI DOUBLON")))</f>
        <v/>
      </c>
    </row>
    <row r="967" spans="1:18" ht="22.95" customHeight="1">
      <c r="A967" t="s">
        <v>2654</v>
      </c>
      <c r="B967" t="s">
        <v>30</v>
      </c>
      <c r="C967" t="s">
        <v>188</v>
      </c>
      <c r="D967" t="s">
        <v>189</v>
      </c>
      <c r="E967" t="s">
        <v>2757</v>
      </c>
      <c r="F967">
        <v>1</v>
      </c>
      <c r="G967" t="s">
        <v>2758</v>
      </c>
      <c r="H967" t="s">
        <v>2759</v>
      </c>
      <c r="I967" t="s">
        <v>2760</v>
      </c>
      <c r="L967" t="s">
        <v>2761</v>
      </c>
      <c r="M967" t="s">
        <v>73</v>
      </c>
      <c r="P967">
        <f t="shared" si="30"/>
        <v>1</v>
      </c>
      <c r="Q967" t="str">
        <f>IF(AND(P967&gt;1,COUNTIF($E$6:E967,E967)=1),MAX($Q$5:Q966)+1,"")</f>
        <v/>
      </c>
      <c r="R967" t="str">
        <f t="shared" si="31"/>
        <v/>
      </c>
    </row>
    <row r="968" spans="1:18" ht="22.95" customHeight="1">
      <c r="A968" t="s">
        <v>2654</v>
      </c>
      <c r="B968" t="s">
        <v>33</v>
      </c>
      <c r="C968" t="s">
        <v>2088</v>
      </c>
      <c r="D968" t="s">
        <v>660</v>
      </c>
      <c r="E968" t="s">
        <v>2762</v>
      </c>
      <c r="F968">
        <v>1</v>
      </c>
      <c r="G968" t="s">
        <v>2763</v>
      </c>
      <c r="H968" t="s">
        <v>2764</v>
      </c>
      <c r="I968" t="s">
        <v>2765</v>
      </c>
      <c r="L968" t="s">
        <v>2766</v>
      </c>
      <c r="M968" t="s">
        <v>73</v>
      </c>
      <c r="P968">
        <f t="shared" si="30"/>
        <v>1</v>
      </c>
      <c r="Q968" t="str">
        <f>IF(AND(P968&gt;1,COUNTIF($E$6:E968,E968)=1),MAX($Q$5:Q967)+1,"")</f>
        <v/>
      </c>
      <c r="R968" t="str">
        <f t="shared" si="31"/>
        <v/>
      </c>
    </row>
    <row r="969" spans="1:18" ht="22.95" customHeight="1">
      <c r="A969" t="s">
        <v>2654</v>
      </c>
      <c r="B969" t="s">
        <v>33</v>
      </c>
      <c r="C969" t="s">
        <v>2088</v>
      </c>
      <c r="D969" t="s">
        <v>660</v>
      </c>
      <c r="E969" t="s">
        <v>2767</v>
      </c>
      <c r="F969">
        <v>1</v>
      </c>
      <c r="I969" t="s">
        <v>2768</v>
      </c>
      <c r="K969" t="s">
        <v>687</v>
      </c>
      <c r="L969" t="s">
        <v>2769</v>
      </c>
      <c r="M969" t="s">
        <v>73</v>
      </c>
      <c r="P969">
        <f t="shared" si="30"/>
        <v>1</v>
      </c>
      <c r="Q969" t="str">
        <f>IF(AND(P969&gt;1,COUNTIF($E$6:E969,E969)=1),MAX($Q$5:Q968)+1,"")</f>
        <v/>
      </c>
      <c r="R969" t="str">
        <f t="shared" si="31"/>
        <v/>
      </c>
    </row>
    <row r="970" spans="1:18" ht="22.95" customHeight="1">
      <c r="A970" t="s">
        <v>2654</v>
      </c>
      <c r="B970" t="s">
        <v>31</v>
      </c>
      <c r="C970" t="s">
        <v>491</v>
      </c>
      <c r="D970" t="s">
        <v>216</v>
      </c>
      <c r="E970" t="s">
        <v>2770</v>
      </c>
      <c r="F970">
        <v>1</v>
      </c>
      <c r="G970" t="s">
        <v>92</v>
      </c>
      <c r="I970" t="s">
        <v>2771</v>
      </c>
      <c r="L970" t="s">
        <v>2772</v>
      </c>
      <c r="M970" t="s">
        <v>62</v>
      </c>
      <c r="N970" t="s">
        <v>161</v>
      </c>
      <c r="P970">
        <f t="shared" si="30"/>
        <v>1</v>
      </c>
      <c r="Q970" t="str">
        <f>IF(AND(P970&gt;1,COUNTIF($E$6:E970,E970)=1),MAX($Q$5:Q969)+1,"")</f>
        <v/>
      </c>
      <c r="R970" t="str">
        <f t="shared" si="31"/>
        <v/>
      </c>
    </row>
    <row r="971" spans="1:18" ht="22.95" customHeight="1">
      <c r="A971" t="s">
        <v>2654</v>
      </c>
      <c r="B971" t="s">
        <v>31</v>
      </c>
      <c r="C971" t="s">
        <v>491</v>
      </c>
      <c r="D971" t="s">
        <v>216</v>
      </c>
      <c r="E971" t="s">
        <v>2773</v>
      </c>
      <c r="F971">
        <v>1</v>
      </c>
      <c r="G971" t="s">
        <v>92</v>
      </c>
      <c r="H971" t="s">
        <v>216</v>
      </c>
      <c r="I971" t="s">
        <v>2774</v>
      </c>
      <c r="L971" t="s">
        <v>2775</v>
      </c>
      <c r="M971" t="s">
        <v>102</v>
      </c>
      <c r="P971">
        <f t="shared" si="30"/>
        <v>1</v>
      </c>
      <c r="Q971" t="str">
        <f>IF(AND(P971&gt;1,COUNTIF($E$6:E971,E971)=1),MAX($Q$5:Q970)+1,"")</f>
        <v/>
      </c>
      <c r="R971" t="str">
        <f t="shared" si="31"/>
        <v/>
      </c>
    </row>
    <row r="972" spans="1:18" ht="22.95" customHeight="1">
      <c r="A972" t="s">
        <v>2654</v>
      </c>
      <c r="B972" t="s">
        <v>32</v>
      </c>
      <c r="C972" t="s">
        <v>200</v>
      </c>
      <c r="D972" t="s">
        <v>201</v>
      </c>
      <c r="E972" t="s">
        <v>2776</v>
      </c>
      <c r="F972">
        <v>1</v>
      </c>
      <c r="G972" t="s">
        <v>2777</v>
      </c>
      <c r="H972" t="s">
        <v>509</v>
      </c>
      <c r="I972" t="s">
        <v>2778</v>
      </c>
      <c r="K972" t="s">
        <v>109</v>
      </c>
      <c r="L972" t="s">
        <v>2779</v>
      </c>
      <c r="M972" t="s">
        <v>73</v>
      </c>
      <c r="P972">
        <f t="shared" si="30"/>
        <v>1</v>
      </c>
      <c r="Q972" t="str">
        <f>IF(AND(P972&gt;1,COUNTIF($E$6:E972,E972)=1),MAX($Q$5:Q971)+1,"")</f>
        <v/>
      </c>
      <c r="R972" t="str">
        <f t="shared" si="31"/>
        <v/>
      </c>
    </row>
    <row r="973" spans="1:18" ht="22.95" customHeight="1">
      <c r="A973" t="s">
        <v>2780</v>
      </c>
      <c r="B973" t="s">
        <v>23</v>
      </c>
      <c r="C973" t="s">
        <v>103</v>
      </c>
      <c r="D973" t="s">
        <v>104</v>
      </c>
      <c r="E973" t="s">
        <v>2781</v>
      </c>
      <c r="F973">
        <v>1</v>
      </c>
      <c r="G973" t="s">
        <v>2782</v>
      </c>
      <c r="H973" t="s">
        <v>2404</v>
      </c>
      <c r="I973" t="s">
        <v>141</v>
      </c>
      <c r="K973" t="s">
        <v>406</v>
      </c>
      <c r="L973" t="s">
        <v>2783</v>
      </c>
      <c r="M973" t="s">
        <v>62</v>
      </c>
      <c r="N973" t="s">
        <v>130</v>
      </c>
      <c r="P973">
        <f t="shared" si="30"/>
        <v>1</v>
      </c>
      <c r="Q973" t="str">
        <f>IF(AND(P973&gt;1,COUNTIF($E$6:E973,E973)=1),MAX($Q$5:Q972)+1,"")</f>
        <v/>
      </c>
      <c r="R973" t="str">
        <f t="shared" si="31"/>
        <v/>
      </c>
    </row>
    <row r="974" spans="1:18" ht="22.95" customHeight="1">
      <c r="A974" t="s">
        <v>2780</v>
      </c>
      <c r="B974" t="s">
        <v>30</v>
      </c>
      <c r="C974" t="s">
        <v>180</v>
      </c>
      <c r="D974" t="s">
        <v>181</v>
      </c>
      <c r="E974" t="s">
        <v>2784</v>
      </c>
      <c r="F974">
        <v>1</v>
      </c>
      <c r="G974" t="s">
        <v>429</v>
      </c>
      <c r="I974" t="s">
        <v>406</v>
      </c>
      <c r="J974" t="s">
        <v>245</v>
      </c>
      <c r="L974" t="s">
        <v>2785</v>
      </c>
      <c r="M974" t="s">
        <v>62</v>
      </c>
      <c r="N974" t="s">
        <v>1435</v>
      </c>
      <c r="P974">
        <f t="shared" si="30"/>
        <v>1</v>
      </c>
      <c r="Q974" t="str">
        <f>IF(AND(P974&gt;1,COUNTIF($E$6:E974,E974)=1),MAX($Q$5:Q973)+1,"")</f>
        <v/>
      </c>
      <c r="R974" t="str">
        <f t="shared" si="31"/>
        <v/>
      </c>
    </row>
    <row r="975" spans="1:18" ht="22.95" customHeight="1">
      <c r="A975" t="s">
        <v>2780</v>
      </c>
      <c r="B975" t="s">
        <v>31</v>
      </c>
      <c r="C975" t="s">
        <v>491</v>
      </c>
      <c r="D975" t="s">
        <v>492</v>
      </c>
      <c r="E975" t="s">
        <v>2786</v>
      </c>
      <c r="F975">
        <v>1</v>
      </c>
      <c r="G975" t="s">
        <v>139</v>
      </c>
      <c r="I975" t="s">
        <v>2787</v>
      </c>
      <c r="K975" t="s">
        <v>109</v>
      </c>
      <c r="L975" t="s">
        <v>2788</v>
      </c>
      <c r="M975" t="s">
        <v>102</v>
      </c>
      <c r="P975">
        <f t="shared" si="30"/>
        <v>1</v>
      </c>
      <c r="Q975" t="str">
        <f>IF(AND(P975&gt;1,COUNTIF($E$6:E975,E975)=1),MAX($Q$5:Q974)+1,"")</f>
        <v/>
      </c>
      <c r="R975" t="str">
        <f t="shared" si="31"/>
        <v/>
      </c>
    </row>
    <row r="976" spans="1:18" ht="22.95" customHeight="1">
      <c r="A976" t="s">
        <v>2780</v>
      </c>
      <c r="B976" t="s">
        <v>24</v>
      </c>
      <c r="C976" t="s">
        <v>431</v>
      </c>
      <c r="D976" t="s">
        <v>216</v>
      </c>
      <c r="E976" t="s">
        <v>2789</v>
      </c>
      <c r="F976">
        <v>1</v>
      </c>
      <c r="G976" t="s">
        <v>2790</v>
      </c>
      <c r="H976" t="s">
        <v>2791</v>
      </c>
      <c r="I976" t="s">
        <v>2792</v>
      </c>
      <c r="K976" t="s">
        <v>960</v>
      </c>
      <c r="L976" t="s">
        <v>2793</v>
      </c>
      <c r="M976" t="s">
        <v>102</v>
      </c>
      <c r="P976">
        <f t="shared" si="30"/>
        <v>1</v>
      </c>
      <c r="Q976" t="str">
        <f>IF(AND(P976&gt;1,COUNTIF($E$6:E976,E976)=1),MAX($Q$5:Q975)+1,"")</f>
        <v/>
      </c>
      <c r="R976" t="str">
        <f t="shared" si="31"/>
        <v/>
      </c>
    </row>
    <row r="977" spans="1:18" ht="22.95" customHeight="1">
      <c r="A977" t="s">
        <v>2780</v>
      </c>
      <c r="B977" t="s">
        <v>24</v>
      </c>
      <c r="C977" t="s">
        <v>431</v>
      </c>
      <c r="D977" t="s">
        <v>216</v>
      </c>
      <c r="E977" t="s">
        <v>2794</v>
      </c>
      <c r="F977">
        <v>1</v>
      </c>
      <c r="G977" t="s">
        <v>2790</v>
      </c>
      <c r="H977" t="s">
        <v>2791</v>
      </c>
      <c r="I977" t="s">
        <v>164</v>
      </c>
      <c r="K977" t="s">
        <v>960</v>
      </c>
      <c r="L977" t="s">
        <v>2795</v>
      </c>
      <c r="M977" t="s">
        <v>62</v>
      </c>
      <c r="N977" t="s">
        <v>130</v>
      </c>
      <c r="P977">
        <f t="shared" si="30"/>
        <v>1</v>
      </c>
      <c r="Q977" t="str">
        <f>IF(AND(P977&gt;1,COUNTIF($E$6:E977,E977)=1),MAX($Q$5:Q976)+1,"")</f>
        <v/>
      </c>
      <c r="R977" t="str">
        <f t="shared" si="31"/>
        <v/>
      </c>
    </row>
    <row r="978" spans="1:18" ht="22.95" customHeight="1">
      <c r="A978" t="s">
        <v>2780</v>
      </c>
      <c r="B978" t="s">
        <v>24</v>
      </c>
      <c r="C978" t="s">
        <v>431</v>
      </c>
      <c r="D978" t="s">
        <v>216</v>
      </c>
      <c r="E978" t="s">
        <v>2796</v>
      </c>
      <c r="F978">
        <v>1</v>
      </c>
      <c r="G978" t="s">
        <v>2790</v>
      </c>
      <c r="H978" t="s">
        <v>2791</v>
      </c>
      <c r="I978" t="s">
        <v>164</v>
      </c>
      <c r="K978" t="s">
        <v>960</v>
      </c>
      <c r="L978" t="s">
        <v>2797</v>
      </c>
      <c r="M978" t="s">
        <v>62</v>
      </c>
      <c r="N978" t="s">
        <v>130</v>
      </c>
      <c r="P978">
        <f t="shared" si="30"/>
        <v>1</v>
      </c>
      <c r="Q978" t="str">
        <f>IF(AND(P978&gt;1,COUNTIF($E$6:E978,E978)=1),MAX($Q$5:Q977)+1,"")</f>
        <v/>
      </c>
      <c r="R978" t="str">
        <f t="shared" si="31"/>
        <v/>
      </c>
    </row>
    <row r="979" spans="1:18" ht="22.95" customHeight="1">
      <c r="A979" t="s">
        <v>2780</v>
      </c>
      <c r="B979" t="s">
        <v>22</v>
      </c>
      <c r="C979" t="s">
        <v>1149</v>
      </c>
      <c r="D979" t="s">
        <v>1150</v>
      </c>
      <c r="E979" t="s">
        <v>2798</v>
      </c>
      <c r="F979">
        <v>1</v>
      </c>
      <c r="G979" t="s">
        <v>92</v>
      </c>
      <c r="I979" t="s">
        <v>406</v>
      </c>
      <c r="L979" t="s">
        <v>2799</v>
      </c>
      <c r="M979" t="s">
        <v>62</v>
      </c>
      <c r="N979" t="s">
        <v>2800</v>
      </c>
      <c r="P979">
        <f t="shared" si="30"/>
        <v>1</v>
      </c>
      <c r="Q979" t="str">
        <f>IF(AND(P979&gt;1,COUNTIF($E$6:E979,E979)=1),MAX($Q$5:Q978)+1,"")</f>
        <v/>
      </c>
      <c r="R979" t="str">
        <f t="shared" si="31"/>
        <v/>
      </c>
    </row>
    <row r="980" spans="1:18" ht="22.95" customHeight="1">
      <c r="A980" t="s">
        <v>2780</v>
      </c>
      <c r="B980" t="s">
        <v>22</v>
      </c>
      <c r="C980" t="s">
        <v>1149</v>
      </c>
      <c r="D980" t="s">
        <v>1150</v>
      </c>
      <c r="E980" t="s">
        <v>2801</v>
      </c>
      <c r="F980">
        <v>1</v>
      </c>
      <c r="G980" t="s">
        <v>92</v>
      </c>
      <c r="I980" t="s">
        <v>406</v>
      </c>
      <c r="L980" t="s">
        <v>2802</v>
      </c>
      <c r="M980" t="s">
        <v>102</v>
      </c>
      <c r="P980">
        <f t="shared" si="30"/>
        <v>1</v>
      </c>
      <c r="Q980" t="str">
        <f>IF(AND(P980&gt;1,COUNTIF($E$6:E980,E980)=1),MAX($Q$5:Q979)+1,"")</f>
        <v/>
      </c>
      <c r="R980" t="str">
        <f t="shared" si="31"/>
        <v/>
      </c>
    </row>
    <row r="981" spans="1:18" ht="22.95" customHeight="1">
      <c r="A981" t="s">
        <v>2780</v>
      </c>
      <c r="B981" t="s">
        <v>32</v>
      </c>
      <c r="C981" t="s">
        <v>200</v>
      </c>
      <c r="D981" t="s">
        <v>201</v>
      </c>
      <c r="E981" t="s">
        <v>2803</v>
      </c>
      <c r="F981">
        <v>1</v>
      </c>
      <c r="G981" t="s">
        <v>92</v>
      </c>
      <c r="I981" t="s">
        <v>687</v>
      </c>
      <c r="K981" t="s">
        <v>2804</v>
      </c>
      <c r="L981" t="s">
        <v>2805</v>
      </c>
      <c r="M981" t="s">
        <v>62</v>
      </c>
      <c r="N981" t="s">
        <v>624</v>
      </c>
      <c r="P981">
        <f t="shared" si="30"/>
        <v>1</v>
      </c>
      <c r="Q981" t="str">
        <f>IF(AND(P981&gt;1,COUNTIF($E$6:E981,E981)=1),MAX($Q$5:Q980)+1,"")</f>
        <v/>
      </c>
      <c r="R981" t="str">
        <f t="shared" si="31"/>
        <v/>
      </c>
    </row>
    <row r="982" spans="1:18" ht="22.95" customHeight="1">
      <c r="A982" t="s">
        <v>2780</v>
      </c>
      <c r="B982" t="s">
        <v>28</v>
      </c>
      <c r="C982" t="s">
        <v>167</v>
      </c>
      <c r="D982" t="s">
        <v>168</v>
      </c>
      <c r="E982" t="s">
        <v>2806</v>
      </c>
      <c r="F982">
        <v>1</v>
      </c>
      <c r="G982" t="s">
        <v>2807</v>
      </c>
      <c r="H982" t="s">
        <v>2808</v>
      </c>
      <c r="I982" t="s">
        <v>2809</v>
      </c>
      <c r="K982" t="s">
        <v>2810</v>
      </c>
      <c r="L982" t="s">
        <v>2811</v>
      </c>
      <c r="M982" t="s">
        <v>62</v>
      </c>
      <c r="N982" t="s">
        <v>303</v>
      </c>
      <c r="P982">
        <f t="shared" si="30"/>
        <v>1</v>
      </c>
      <c r="Q982" t="str">
        <f>IF(AND(P982&gt;1,COUNTIF($E$6:E982,E982)=1),MAX($Q$5:Q981)+1,"")</f>
        <v/>
      </c>
      <c r="R982" t="str">
        <f t="shared" si="31"/>
        <v/>
      </c>
    </row>
    <row r="983" spans="1:18" ht="22.95" customHeight="1">
      <c r="A983" t="s">
        <v>2780</v>
      </c>
      <c r="B983" t="s">
        <v>28</v>
      </c>
      <c r="C983" t="s">
        <v>167</v>
      </c>
      <c r="D983" t="s">
        <v>168</v>
      </c>
      <c r="E983" t="s">
        <v>2812</v>
      </c>
      <c r="F983">
        <v>1</v>
      </c>
      <c r="G983" t="s">
        <v>454</v>
      </c>
      <c r="H983" t="s">
        <v>2813</v>
      </c>
      <c r="I983" t="s">
        <v>112</v>
      </c>
      <c r="L983" t="s">
        <v>2814</v>
      </c>
      <c r="M983" t="s">
        <v>62</v>
      </c>
      <c r="N983" t="s">
        <v>712</v>
      </c>
      <c r="P983">
        <f t="shared" si="30"/>
        <v>1</v>
      </c>
      <c r="Q983" t="str">
        <f>IF(AND(P983&gt;1,COUNTIF($E$6:E983,E983)=1),MAX($Q$5:Q982)+1,"")</f>
        <v/>
      </c>
      <c r="R983" t="str">
        <f t="shared" si="31"/>
        <v/>
      </c>
    </row>
    <row r="984" spans="1:18" ht="22.95" customHeight="1">
      <c r="A984" t="s">
        <v>2780</v>
      </c>
      <c r="B984" t="s">
        <v>28</v>
      </c>
      <c r="C984" t="s">
        <v>167</v>
      </c>
      <c r="D984" t="s">
        <v>168</v>
      </c>
      <c r="E984" t="s">
        <v>2815</v>
      </c>
      <c r="F984">
        <v>1</v>
      </c>
      <c r="G984" t="s">
        <v>2816</v>
      </c>
      <c r="H984" t="s">
        <v>2188</v>
      </c>
      <c r="I984" t="s">
        <v>112</v>
      </c>
      <c r="L984" t="s">
        <v>2817</v>
      </c>
      <c r="M984" t="s">
        <v>62</v>
      </c>
      <c r="N984" t="s">
        <v>303</v>
      </c>
      <c r="P984">
        <f t="shared" si="30"/>
        <v>1</v>
      </c>
      <c r="Q984" t="str">
        <f>IF(AND(P984&gt;1,COUNTIF($E$6:E984,E984)=1),MAX($Q$5:Q983)+1,"")</f>
        <v/>
      </c>
      <c r="R984" t="str">
        <f t="shared" si="31"/>
        <v/>
      </c>
    </row>
    <row r="985" spans="1:18" ht="22.95" customHeight="1">
      <c r="A985" t="s">
        <v>2780</v>
      </c>
      <c r="B985" t="s">
        <v>28</v>
      </c>
      <c r="C985" t="s">
        <v>167</v>
      </c>
      <c r="D985" t="s">
        <v>168</v>
      </c>
      <c r="E985" t="s">
        <v>2818</v>
      </c>
      <c r="F985">
        <v>1</v>
      </c>
      <c r="G985" t="s">
        <v>2807</v>
      </c>
      <c r="H985" t="s">
        <v>2808</v>
      </c>
      <c r="I985" t="s">
        <v>2819</v>
      </c>
      <c r="L985" t="s">
        <v>2820</v>
      </c>
      <c r="M985" t="s">
        <v>62</v>
      </c>
      <c r="N985" t="s">
        <v>811</v>
      </c>
      <c r="P985">
        <f t="shared" si="30"/>
        <v>1</v>
      </c>
      <c r="Q985" t="str">
        <f>IF(AND(P985&gt;1,COUNTIF($E$6:E985,E985)=1),MAX($Q$5:Q984)+1,"")</f>
        <v/>
      </c>
      <c r="R985" t="str">
        <f t="shared" si="31"/>
        <v/>
      </c>
    </row>
    <row r="986" spans="1:18" ht="22.95" customHeight="1">
      <c r="A986" t="s">
        <v>2780</v>
      </c>
      <c r="B986" t="s">
        <v>33</v>
      </c>
      <c r="C986" t="s">
        <v>2103</v>
      </c>
      <c r="D986" t="s">
        <v>2104</v>
      </c>
      <c r="E986" t="s">
        <v>2821</v>
      </c>
      <c r="F986">
        <v>1</v>
      </c>
      <c r="G986" t="s">
        <v>2822</v>
      </c>
      <c r="H986" t="s">
        <v>2823</v>
      </c>
      <c r="I986" t="s">
        <v>2824</v>
      </c>
      <c r="L986" t="s">
        <v>2825</v>
      </c>
      <c r="M986" t="s">
        <v>73</v>
      </c>
      <c r="P986">
        <f t="shared" si="30"/>
        <v>1</v>
      </c>
      <c r="Q986" t="str">
        <f>IF(AND(P986&gt;1,COUNTIF($E$6:E986,E986)=1),MAX($Q$5:Q985)+1,"")</f>
        <v/>
      </c>
      <c r="R986" t="str">
        <f t="shared" si="31"/>
        <v/>
      </c>
    </row>
    <row r="987" spans="1:18" ht="22.95" customHeight="1">
      <c r="A987" t="s">
        <v>2780</v>
      </c>
      <c r="B987" t="s">
        <v>29</v>
      </c>
      <c r="C987" t="s">
        <v>1084</v>
      </c>
      <c r="D987" t="s">
        <v>1085</v>
      </c>
      <c r="E987" t="s">
        <v>2826</v>
      </c>
      <c r="F987">
        <v>1</v>
      </c>
      <c r="G987" t="s">
        <v>139</v>
      </c>
      <c r="I987" t="s">
        <v>2827</v>
      </c>
      <c r="K987" t="s">
        <v>109</v>
      </c>
      <c r="L987" t="s">
        <v>2828</v>
      </c>
      <c r="M987" t="s">
        <v>62</v>
      </c>
      <c r="N987" t="s">
        <v>63</v>
      </c>
      <c r="P987">
        <f t="shared" si="30"/>
        <v>1</v>
      </c>
      <c r="Q987" t="str">
        <f>IF(AND(P987&gt;1,COUNTIF($E$6:E987,E987)=1),MAX($Q$5:Q986)+1,"")</f>
        <v/>
      </c>
      <c r="R987" t="str">
        <f t="shared" si="31"/>
        <v/>
      </c>
    </row>
    <row r="988" spans="1:18" ht="22.95" customHeight="1">
      <c r="A988" t="s">
        <v>2780</v>
      </c>
      <c r="B988" t="s">
        <v>29</v>
      </c>
      <c r="C988" t="s">
        <v>1084</v>
      </c>
      <c r="D988" t="s">
        <v>1085</v>
      </c>
      <c r="E988" t="s">
        <v>2829</v>
      </c>
      <c r="F988">
        <v>1</v>
      </c>
      <c r="G988" t="s">
        <v>92</v>
      </c>
      <c r="I988" t="s">
        <v>2830</v>
      </c>
      <c r="L988" t="s">
        <v>2831</v>
      </c>
      <c r="M988" t="s">
        <v>102</v>
      </c>
      <c r="P988">
        <f t="shared" si="30"/>
        <v>1</v>
      </c>
      <c r="Q988" t="str">
        <f>IF(AND(P988&gt;1,COUNTIF($E$6:E988,E988)=1),MAX($Q$5:Q987)+1,"")</f>
        <v/>
      </c>
      <c r="R988" t="str">
        <f t="shared" si="31"/>
        <v/>
      </c>
    </row>
    <row r="989" spans="1:18" ht="22.95" customHeight="1">
      <c r="A989" t="s">
        <v>2780</v>
      </c>
      <c r="B989" t="s">
        <v>26</v>
      </c>
      <c r="C989" t="s">
        <v>196</v>
      </c>
      <c r="D989" t="s">
        <v>197</v>
      </c>
      <c r="E989" t="s">
        <v>2832</v>
      </c>
      <c r="F989">
        <v>1</v>
      </c>
      <c r="G989" t="s">
        <v>508</v>
      </c>
      <c r="H989" t="s">
        <v>2833</v>
      </c>
      <c r="I989" t="s">
        <v>2834</v>
      </c>
      <c r="K989" t="s">
        <v>1371</v>
      </c>
      <c r="L989" t="s">
        <v>2835</v>
      </c>
      <c r="M989" t="s">
        <v>62</v>
      </c>
      <c r="N989" t="s">
        <v>130</v>
      </c>
      <c r="P989">
        <f t="shared" si="30"/>
        <v>1</v>
      </c>
      <c r="Q989" t="str">
        <f>IF(AND(P989&gt;1,COUNTIF($E$6:E989,E989)=1),MAX($Q$5:Q988)+1,"")</f>
        <v/>
      </c>
      <c r="R989" t="str">
        <f t="shared" si="31"/>
        <v/>
      </c>
    </row>
    <row r="990" spans="1:18" ht="22.95" customHeight="1">
      <c r="A990" t="s">
        <v>2780</v>
      </c>
      <c r="B990" t="s">
        <v>26</v>
      </c>
      <c r="C990" t="s">
        <v>196</v>
      </c>
      <c r="D990" t="s">
        <v>197</v>
      </c>
      <c r="E990" t="s">
        <v>2836</v>
      </c>
      <c r="F990">
        <v>1</v>
      </c>
      <c r="G990" t="s">
        <v>508</v>
      </c>
      <c r="H990" t="s">
        <v>2833</v>
      </c>
      <c r="I990" t="s">
        <v>2834</v>
      </c>
      <c r="K990" t="s">
        <v>1371</v>
      </c>
      <c r="L990" t="s">
        <v>2835</v>
      </c>
      <c r="M990" t="s">
        <v>62</v>
      </c>
      <c r="N990" t="s">
        <v>130</v>
      </c>
      <c r="P990">
        <f t="shared" si="30"/>
        <v>1</v>
      </c>
      <c r="Q990" t="str">
        <f>IF(AND(P990&gt;1,COUNTIF($E$6:E990,E990)=1),MAX($Q$5:Q989)+1,"")</f>
        <v/>
      </c>
      <c r="R990" t="str">
        <f t="shared" si="31"/>
        <v/>
      </c>
    </row>
    <row r="991" spans="1:18" ht="22.95" customHeight="1">
      <c r="A991" t="s">
        <v>2837</v>
      </c>
      <c r="B991" t="s">
        <v>20</v>
      </c>
      <c r="C991" t="s">
        <v>65</v>
      </c>
      <c r="D991" t="s">
        <v>66</v>
      </c>
      <c r="E991" t="s">
        <v>2838</v>
      </c>
      <c r="F991">
        <v>1</v>
      </c>
      <c r="G991" t="s">
        <v>2839</v>
      </c>
      <c r="H991" t="s">
        <v>2840</v>
      </c>
      <c r="I991" t="s">
        <v>2841</v>
      </c>
      <c r="K991" t="s">
        <v>2842</v>
      </c>
      <c r="L991" t="s">
        <v>2843</v>
      </c>
      <c r="M991" t="s">
        <v>73</v>
      </c>
      <c r="P991">
        <f t="shared" si="30"/>
        <v>1</v>
      </c>
      <c r="Q991" t="str">
        <f>IF(AND(P991&gt;1,COUNTIF($E$6:E991,E991)=1),MAX($Q$5:Q990)+1,"")</f>
        <v/>
      </c>
      <c r="R991" t="str">
        <f t="shared" si="31"/>
        <v/>
      </c>
    </row>
    <row r="992" spans="1:18" ht="22.95" customHeight="1">
      <c r="A992" t="s">
        <v>2837</v>
      </c>
      <c r="B992" t="s">
        <v>20</v>
      </c>
      <c r="C992" t="s">
        <v>65</v>
      </c>
      <c r="D992" t="s">
        <v>66</v>
      </c>
      <c r="E992" t="s">
        <v>2844</v>
      </c>
      <c r="F992">
        <v>1</v>
      </c>
      <c r="G992" t="s">
        <v>2839</v>
      </c>
      <c r="H992" t="s">
        <v>2840</v>
      </c>
      <c r="I992" t="s">
        <v>2845</v>
      </c>
      <c r="K992" t="s">
        <v>2846</v>
      </c>
      <c r="L992" t="s">
        <v>2843</v>
      </c>
      <c r="M992" t="s">
        <v>73</v>
      </c>
      <c r="P992">
        <f t="shared" si="30"/>
        <v>1</v>
      </c>
      <c r="Q992" t="str">
        <f>IF(AND(P992&gt;1,COUNTIF($E$6:E992,E992)=1),MAX($Q$5:Q991)+1,"")</f>
        <v/>
      </c>
      <c r="R992" t="str">
        <f t="shared" si="31"/>
        <v/>
      </c>
    </row>
    <row r="993" spans="1:18" ht="22.95" customHeight="1">
      <c r="A993" t="s">
        <v>2837</v>
      </c>
      <c r="B993" t="s">
        <v>20</v>
      </c>
      <c r="C993" t="s">
        <v>65</v>
      </c>
      <c r="D993" t="s">
        <v>66</v>
      </c>
      <c r="E993" t="s">
        <v>2847</v>
      </c>
      <c r="F993">
        <v>1</v>
      </c>
      <c r="G993" t="s">
        <v>139</v>
      </c>
      <c r="I993" t="s">
        <v>140</v>
      </c>
      <c r="K993" t="s">
        <v>2848</v>
      </c>
      <c r="L993" t="s">
        <v>2849</v>
      </c>
      <c r="M993" t="s">
        <v>62</v>
      </c>
      <c r="N993" t="s">
        <v>624</v>
      </c>
      <c r="P993">
        <f t="shared" si="30"/>
        <v>1</v>
      </c>
      <c r="Q993" t="str">
        <f>IF(AND(P993&gt;1,COUNTIF($E$6:E993,E993)=1),MAX($Q$5:Q992)+1,"")</f>
        <v/>
      </c>
      <c r="R993" t="str">
        <f t="shared" si="31"/>
        <v/>
      </c>
    </row>
    <row r="994" spans="1:18" ht="22.95" customHeight="1">
      <c r="A994" t="s">
        <v>2837</v>
      </c>
      <c r="B994" t="s">
        <v>20</v>
      </c>
      <c r="C994" t="s">
        <v>65</v>
      </c>
      <c r="D994" t="s">
        <v>66</v>
      </c>
      <c r="E994" t="s">
        <v>2850</v>
      </c>
      <c r="F994">
        <v>1</v>
      </c>
      <c r="G994" t="s">
        <v>139</v>
      </c>
      <c r="I994" t="s">
        <v>140</v>
      </c>
      <c r="K994" t="s">
        <v>2848</v>
      </c>
      <c r="L994" t="s">
        <v>2851</v>
      </c>
      <c r="M994" t="s">
        <v>73</v>
      </c>
      <c r="P994">
        <f t="shared" si="30"/>
        <v>1</v>
      </c>
      <c r="Q994" t="str">
        <f>IF(AND(P994&gt;1,COUNTIF($E$6:E994,E994)=1),MAX($Q$5:Q993)+1,"")</f>
        <v/>
      </c>
      <c r="R994" t="str">
        <f t="shared" si="31"/>
        <v/>
      </c>
    </row>
    <row r="995" spans="1:18" ht="22.95" customHeight="1">
      <c r="A995" t="s">
        <v>2837</v>
      </c>
      <c r="B995" t="s">
        <v>20</v>
      </c>
      <c r="C995" t="s">
        <v>65</v>
      </c>
      <c r="D995" t="s">
        <v>66</v>
      </c>
      <c r="E995" t="s">
        <v>2852</v>
      </c>
      <c r="F995">
        <v>1</v>
      </c>
      <c r="G995" t="s">
        <v>92</v>
      </c>
      <c r="I995" t="s">
        <v>2853</v>
      </c>
      <c r="K995" t="s">
        <v>2854</v>
      </c>
      <c r="L995" t="s">
        <v>2855</v>
      </c>
      <c r="M995" t="s">
        <v>73</v>
      </c>
      <c r="P995">
        <f t="shared" si="30"/>
        <v>1</v>
      </c>
      <c r="Q995" t="str">
        <f>IF(AND(P995&gt;1,COUNTIF($E$6:E995,E995)=1),MAX($Q$5:Q994)+1,"")</f>
        <v/>
      </c>
      <c r="R995" t="str">
        <f t="shared" si="31"/>
        <v/>
      </c>
    </row>
    <row r="996" spans="1:18" ht="22.95" customHeight="1">
      <c r="A996" t="s">
        <v>2837</v>
      </c>
      <c r="B996" t="s">
        <v>22</v>
      </c>
      <c r="C996" t="s">
        <v>1149</v>
      </c>
      <c r="D996" t="s">
        <v>1150</v>
      </c>
      <c r="E996" t="s">
        <v>2856</v>
      </c>
      <c r="F996">
        <v>1</v>
      </c>
      <c r="G996" t="s">
        <v>149</v>
      </c>
      <c r="H996" t="s">
        <v>492</v>
      </c>
      <c r="I996" t="s">
        <v>406</v>
      </c>
      <c r="L996" t="s">
        <v>2857</v>
      </c>
      <c r="M996" t="s">
        <v>73</v>
      </c>
      <c r="P996">
        <f t="shared" si="30"/>
        <v>1</v>
      </c>
      <c r="Q996" t="str">
        <f>IF(AND(P996&gt;1,COUNTIF($E$6:E996,E996)=1),MAX($Q$5:Q995)+1,"")</f>
        <v/>
      </c>
      <c r="R996" t="str">
        <f t="shared" si="31"/>
        <v/>
      </c>
    </row>
    <row r="997" spans="1:18" ht="22.95" customHeight="1">
      <c r="A997" t="s">
        <v>2837</v>
      </c>
      <c r="B997" t="s">
        <v>22</v>
      </c>
      <c r="C997" t="s">
        <v>1149</v>
      </c>
      <c r="D997" t="s">
        <v>1150</v>
      </c>
      <c r="E997" t="s">
        <v>2858</v>
      </c>
      <c r="F997">
        <v>1</v>
      </c>
      <c r="G997" t="s">
        <v>149</v>
      </c>
      <c r="H997" t="s">
        <v>492</v>
      </c>
      <c r="I997" t="s">
        <v>406</v>
      </c>
      <c r="L997" t="s">
        <v>2859</v>
      </c>
      <c r="M997" t="s">
        <v>73</v>
      </c>
      <c r="P997">
        <f t="shared" si="30"/>
        <v>1</v>
      </c>
      <c r="Q997" t="str">
        <f>IF(AND(P997&gt;1,COUNTIF($E$6:E997,E997)=1),MAX($Q$5:Q996)+1,"")</f>
        <v/>
      </c>
      <c r="R997" t="str">
        <f t="shared" si="31"/>
        <v/>
      </c>
    </row>
    <row r="998" spans="1:18" ht="22.95" customHeight="1">
      <c r="A998" t="s">
        <v>2837</v>
      </c>
      <c r="B998" t="s">
        <v>22</v>
      </c>
      <c r="C998" t="s">
        <v>1149</v>
      </c>
      <c r="D998" t="s">
        <v>1150</v>
      </c>
      <c r="E998" t="s">
        <v>2860</v>
      </c>
      <c r="F998">
        <v>1</v>
      </c>
      <c r="G998" t="s">
        <v>149</v>
      </c>
      <c r="H998" t="s">
        <v>492</v>
      </c>
      <c r="I998" t="s">
        <v>406</v>
      </c>
      <c r="L998" t="s">
        <v>2861</v>
      </c>
      <c r="M998" t="s">
        <v>73</v>
      </c>
      <c r="P998">
        <f t="shared" si="30"/>
        <v>1</v>
      </c>
      <c r="Q998" t="str">
        <f>IF(AND(P998&gt;1,COUNTIF($E$6:E998,E998)=1),MAX($Q$5:Q997)+1,"")</f>
        <v/>
      </c>
      <c r="R998" t="str">
        <f t="shared" si="31"/>
        <v/>
      </c>
    </row>
    <row r="999" spans="1:18" ht="22.95" customHeight="1">
      <c r="A999" t="s">
        <v>2837</v>
      </c>
      <c r="B999" t="s">
        <v>22</v>
      </c>
      <c r="C999" t="s">
        <v>1149</v>
      </c>
      <c r="D999" t="s">
        <v>1150</v>
      </c>
      <c r="E999" t="s">
        <v>2862</v>
      </c>
      <c r="F999">
        <v>1</v>
      </c>
      <c r="G999" t="s">
        <v>92</v>
      </c>
      <c r="I999" t="s">
        <v>406</v>
      </c>
      <c r="K999" t="s">
        <v>406</v>
      </c>
      <c r="L999" t="s">
        <v>2863</v>
      </c>
      <c r="M999" t="s">
        <v>73</v>
      </c>
      <c r="P999">
        <f t="shared" si="30"/>
        <v>1</v>
      </c>
      <c r="Q999" t="str">
        <f>IF(AND(P999&gt;1,COUNTIF($E$6:E999,E999)=1),MAX($Q$5:Q998)+1,"")</f>
        <v/>
      </c>
      <c r="R999" t="str">
        <f t="shared" si="31"/>
        <v/>
      </c>
    </row>
    <row r="1000" spans="1:18" ht="22.95" customHeight="1">
      <c r="A1000" t="s">
        <v>2837</v>
      </c>
      <c r="B1000" t="s">
        <v>22</v>
      </c>
      <c r="C1000" t="s">
        <v>1149</v>
      </c>
      <c r="D1000" t="s">
        <v>1150</v>
      </c>
      <c r="E1000" t="s">
        <v>2864</v>
      </c>
      <c r="F1000">
        <v>1</v>
      </c>
      <c r="G1000" t="s">
        <v>92</v>
      </c>
      <c r="I1000" t="s">
        <v>406</v>
      </c>
      <c r="K1000" t="s">
        <v>406</v>
      </c>
      <c r="L1000" t="s">
        <v>2865</v>
      </c>
      <c r="M1000" t="s">
        <v>62</v>
      </c>
      <c r="N1000" t="s">
        <v>63</v>
      </c>
      <c r="P1000">
        <f t="shared" si="30"/>
        <v>1</v>
      </c>
      <c r="Q1000" t="str">
        <f>IF(AND(P1000&gt;1,COUNTIF($E$6:E1000,E1000)=1),MAX($Q$5:Q999)+1,"")</f>
        <v/>
      </c>
      <c r="R1000" t="str">
        <f t="shared" si="31"/>
        <v/>
      </c>
    </row>
    <row r="1001" spans="1:18" ht="22.95" customHeight="1">
      <c r="A1001" t="s">
        <v>2837</v>
      </c>
      <c r="B1001" t="s">
        <v>22</v>
      </c>
      <c r="C1001" t="s">
        <v>370</v>
      </c>
      <c r="D1001" t="s">
        <v>371</v>
      </c>
      <c r="E1001" t="s">
        <v>2866</v>
      </c>
      <c r="F1001">
        <v>1</v>
      </c>
      <c r="G1001" t="s">
        <v>92</v>
      </c>
      <c r="I1001" t="s">
        <v>2867</v>
      </c>
      <c r="K1001" t="s">
        <v>2854</v>
      </c>
      <c r="L1001" t="s">
        <v>2868</v>
      </c>
      <c r="M1001" t="s">
        <v>73</v>
      </c>
      <c r="P1001">
        <f t="shared" si="30"/>
        <v>1</v>
      </c>
      <c r="Q1001" t="str">
        <f>IF(AND(P1001&gt;1,COUNTIF($E$6:E1001,E1001)=1),MAX($Q$5:Q1000)+1,"")</f>
        <v/>
      </c>
      <c r="R1001" t="str">
        <f t="shared" si="31"/>
        <v/>
      </c>
    </row>
    <row r="1002" spans="1:18" ht="22.95" customHeight="1">
      <c r="A1002" t="s">
        <v>2837</v>
      </c>
      <c r="B1002" t="s">
        <v>22</v>
      </c>
      <c r="C1002" t="s">
        <v>370</v>
      </c>
      <c r="D1002" t="s">
        <v>371</v>
      </c>
      <c r="E1002" t="s">
        <v>2869</v>
      </c>
      <c r="F1002">
        <v>1</v>
      </c>
      <c r="G1002" t="s">
        <v>92</v>
      </c>
      <c r="I1002" t="s">
        <v>2870</v>
      </c>
      <c r="K1002" t="s">
        <v>2854</v>
      </c>
      <c r="L1002" t="s">
        <v>2871</v>
      </c>
      <c r="M1002" t="s">
        <v>73</v>
      </c>
      <c r="P1002">
        <f t="shared" si="30"/>
        <v>1</v>
      </c>
      <c r="Q1002" t="str">
        <f>IF(AND(P1002&gt;1,COUNTIF($E$6:E1002,E1002)=1),MAX($Q$5:Q1001)+1,"")</f>
        <v/>
      </c>
      <c r="R1002" t="str">
        <f t="shared" si="31"/>
        <v/>
      </c>
    </row>
    <row r="1003" spans="1:18" ht="22.95" customHeight="1">
      <c r="A1003" t="s">
        <v>2837</v>
      </c>
      <c r="B1003" t="s">
        <v>22</v>
      </c>
      <c r="C1003" t="s">
        <v>370</v>
      </c>
      <c r="D1003" t="s">
        <v>371</v>
      </c>
      <c r="E1003" t="s">
        <v>2872</v>
      </c>
      <c r="F1003">
        <v>1</v>
      </c>
      <c r="G1003" t="s">
        <v>92</v>
      </c>
      <c r="I1003" t="s">
        <v>2873</v>
      </c>
      <c r="J1003" t="s">
        <v>672</v>
      </c>
      <c r="K1003" t="s">
        <v>2874</v>
      </c>
      <c r="L1003" t="s">
        <v>2875</v>
      </c>
      <c r="M1003" t="s">
        <v>102</v>
      </c>
      <c r="P1003">
        <f t="shared" si="30"/>
        <v>1</v>
      </c>
      <c r="Q1003" t="str">
        <f>IF(AND(P1003&gt;1,COUNTIF($E$6:E1003,E1003)=1),MAX($Q$5:Q1002)+1,"")</f>
        <v/>
      </c>
      <c r="R1003" t="str">
        <f t="shared" si="31"/>
        <v/>
      </c>
    </row>
    <row r="1004" spans="1:18" ht="22.95" customHeight="1">
      <c r="A1004" t="s">
        <v>2837</v>
      </c>
      <c r="B1004" t="s">
        <v>23</v>
      </c>
      <c r="C1004" t="s">
        <v>103</v>
      </c>
      <c r="D1004" t="s">
        <v>1070</v>
      </c>
      <c r="E1004" t="s">
        <v>2876</v>
      </c>
      <c r="F1004">
        <v>1</v>
      </c>
      <c r="G1004" t="s">
        <v>2877</v>
      </c>
      <c r="I1004" t="s">
        <v>517</v>
      </c>
      <c r="L1004" t="s">
        <v>2878</v>
      </c>
      <c r="M1004" t="s">
        <v>102</v>
      </c>
      <c r="P1004">
        <f t="shared" si="30"/>
        <v>1</v>
      </c>
      <c r="Q1004" t="str">
        <f>IF(AND(P1004&gt;1,COUNTIF($E$6:E1004,E1004)=1),MAX($Q$5:Q1003)+1,"")</f>
        <v/>
      </c>
      <c r="R1004" t="str">
        <f t="shared" si="31"/>
        <v/>
      </c>
    </row>
    <row r="1005" spans="1:18" ht="22.95" customHeight="1">
      <c r="A1005" t="s">
        <v>2837</v>
      </c>
      <c r="B1005" t="s">
        <v>23</v>
      </c>
      <c r="C1005" t="s">
        <v>103</v>
      </c>
      <c r="D1005" t="s">
        <v>104</v>
      </c>
      <c r="E1005" t="s">
        <v>2879</v>
      </c>
      <c r="F1005">
        <v>1</v>
      </c>
      <c r="G1005" t="s">
        <v>2880</v>
      </c>
      <c r="H1005" t="s">
        <v>2881</v>
      </c>
      <c r="I1005" t="s">
        <v>2092</v>
      </c>
      <c r="L1005" t="s">
        <v>2882</v>
      </c>
      <c r="M1005" t="s">
        <v>73</v>
      </c>
      <c r="P1005">
        <f t="shared" si="30"/>
        <v>1</v>
      </c>
      <c r="Q1005" t="str">
        <f>IF(AND(P1005&gt;1,COUNTIF($E$6:E1005,E1005)=1),MAX($Q$5:Q1004)+1,"")</f>
        <v/>
      </c>
      <c r="R1005" t="str">
        <f t="shared" si="31"/>
        <v/>
      </c>
    </row>
    <row r="1006" spans="1:18" ht="22.95" customHeight="1">
      <c r="A1006" t="s">
        <v>2837</v>
      </c>
      <c r="B1006" t="s">
        <v>23</v>
      </c>
      <c r="C1006" t="s">
        <v>103</v>
      </c>
      <c r="D1006" t="s">
        <v>104</v>
      </c>
      <c r="E1006" t="s">
        <v>2883</v>
      </c>
      <c r="F1006">
        <v>1</v>
      </c>
      <c r="G1006" t="s">
        <v>2880</v>
      </c>
      <c r="H1006" t="s">
        <v>2881</v>
      </c>
      <c r="I1006" t="s">
        <v>2092</v>
      </c>
      <c r="L1006" t="s">
        <v>2882</v>
      </c>
      <c r="M1006" t="s">
        <v>73</v>
      </c>
      <c r="P1006">
        <f t="shared" si="30"/>
        <v>1</v>
      </c>
      <c r="Q1006" t="str">
        <f>IF(AND(P1006&gt;1,COUNTIF($E$6:E1006,E1006)=1),MAX($Q$5:Q1005)+1,"")</f>
        <v/>
      </c>
      <c r="R1006" t="str">
        <f t="shared" si="31"/>
        <v/>
      </c>
    </row>
    <row r="1007" spans="1:18" ht="22.95" customHeight="1">
      <c r="A1007" t="s">
        <v>2837</v>
      </c>
      <c r="B1007" t="s">
        <v>23</v>
      </c>
      <c r="C1007" t="s">
        <v>103</v>
      </c>
      <c r="D1007" t="s">
        <v>104</v>
      </c>
      <c r="E1007" t="s">
        <v>2884</v>
      </c>
      <c r="F1007">
        <v>1</v>
      </c>
      <c r="G1007" t="s">
        <v>2880</v>
      </c>
      <c r="H1007" t="s">
        <v>2881</v>
      </c>
      <c r="I1007" t="s">
        <v>2092</v>
      </c>
      <c r="L1007" t="s">
        <v>2882</v>
      </c>
      <c r="M1007" t="s">
        <v>73</v>
      </c>
      <c r="P1007">
        <f t="shared" si="30"/>
        <v>1</v>
      </c>
      <c r="Q1007" t="str">
        <f>IF(AND(P1007&gt;1,COUNTIF($E$6:E1007,E1007)=1),MAX($Q$5:Q1006)+1,"")</f>
        <v/>
      </c>
      <c r="R1007" t="str">
        <f t="shared" si="31"/>
        <v/>
      </c>
    </row>
    <row r="1008" spans="1:18" ht="22.95" customHeight="1">
      <c r="A1008" t="s">
        <v>2837</v>
      </c>
      <c r="B1008" t="s">
        <v>23</v>
      </c>
      <c r="C1008" t="s">
        <v>103</v>
      </c>
      <c r="D1008" t="s">
        <v>104</v>
      </c>
      <c r="E1008" t="s">
        <v>2885</v>
      </c>
      <c r="F1008">
        <v>1</v>
      </c>
      <c r="G1008" t="s">
        <v>2880</v>
      </c>
      <c r="H1008" t="s">
        <v>2881</v>
      </c>
      <c r="I1008" t="s">
        <v>2092</v>
      </c>
      <c r="L1008" t="s">
        <v>2882</v>
      </c>
      <c r="M1008" t="s">
        <v>73</v>
      </c>
      <c r="P1008">
        <f t="shared" si="30"/>
        <v>1</v>
      </c>
      <c r="Q1008" t="str">
        <f>IF(AND(P1008&gt;1,COUNTIF($E$6:E1008,E1008)=1),MAX($Q$5:Q1007)+1,"")</f>
        <v/>
      </c>
      <c r="R1008" t="str">
        <f t="shared" si="31"/>
        <v/>
      </c>
    </row>
    <row r="1009" spans="1:18" ht="22.95" customHeight="1">
      <c r="A1009" t="s">
        <v>2837</v>
      </c>
      <c r="B1009" t="s">
        <v>23</v>
      </c>
      <c r="C1009" t="s">
        <v>103</v>
      </c>
      <c r="D1009" t="s">
        <v>104</v>
      </c>
      <c r="E1009" t="s">
        <v>2886</v>
      </c>
      <c r="F1009">
        <v>1</v>
      </c>
      <c r="G1009" t="s">
        <v>2880</v>
      </c>
      <c r="H1009" t="s">
        <v>2881</v>
      </c>
      <c r="I1009" t="s">
        <v>2092</v>
      </c>
      <c r="L1009" t="s">
        <v>2882</v>
      </c>
      <c r="M1009" t="s">
        <v>73</v>
      </c>
      <c r="P1009">
        <f t="shared" si="30"/>
        <v>1</v>
      </c>
      <c r="Q1009" t="str">
        <f>IF(AND(P1009&gt;1,COUNTIF($E$6:E1009,E1009)=1),MAX($Q$5:Q1008)+1,"")</f>
        <v/>
      </c>
      <c r="R1009" t="str">
        <f t="shared" si="31"/>
        <v/>
      </c>
    </row>
    <row r="1010" spans="1:18" ht="22.95" customHeight="1">
      <c r="A1010" t="s">
        <v>2837</v>
      </c>
      <c r="B1010" t="s">
        <v>23</v>
      </c>
      <c r="C1010" t="s">
        <v>103</v>
      </c>
      <c r="D1010" t="s">
        <v>104</v>
      </c>
      <c r="E1010" t="s">
        <v>2887</v>
      </c>
      <c r="F1010">
        <v>1</v>
      </c>
      <c r="G1010" t="s">
        <v>2880</v>
      </c>
      <c r="H1010" t="s">
        <v>2881</v>
      </c>
      <c r="I1010" t="s">
        <v>2092</v>
      </c>
      <c r="L1010" t="s">
        <v>2882</v>
      </c>
      <c r="M1010" t="s">
        <v>73</v>
      </c>
      <c r="P1010">
        <f t="shared" si="30"/>
        <v>1</v>
      </c>
      <c r="Q1010" t="str">
        <f>IF(AND(P1010&gt;1,COUNTIF($E$6:E1010,E1010)=1),MAX($Q$5:Q1009)+1,"")</f>
        <v/>
      </c>
      <c r="R1010" t="str">
        <f t="shared" si="31"/>
        <v/>
      </c>
    </row>
    <row r="1011" spans="1:18" ht="22.95" customHeight="1">
      <c r="A1011" t="s">
        <v>2837</v>
      </c>
      <c r="B1011" t="s">
        <v>23</v>
      </c>
      <c r="C1011" t="s">
        <v>103</v>
      </c>
      <c r="D1011" t="s">
        <v>104</v>
      </c>
      <c r="E1011" t="s">
        <v>2888</v>
      </c>
      <c r="F1011">
        <v>1</v>
      </c>
      <c r="G1011" t="s">
        <v>2880</v>
      </c>
      <c r="H1011" t="s">
        <v>2881</v>
      </c>
      <c r="I1011" t="s">
        <v>2092</v>
      </c>
      <c r="L1011" t="s">
        <v>2882</v>
      </c>
      <c r="M1011" t="s">
        <v>73</v>
      </c>
      <c r="P1011">
        <f t="shared" si="30"/>
        <v>1</v>
      </c>
      <c r="Q1011" t="str">
        <f>IF(AND(P1011&gt;1,COUNTIF($E$6:E1011,E1011)=1),MAX($Q$5:Q1010)+1,"")</f>
        <v/>
      </c>
      <c r="R1011" t="str">
        <f t="shared" si="31"/>
        <v/>
      </c>
    </row>
    <row r="1012" spans="1:18" ht="22.95" customHeight="1">
      <c r="A1012" t="s">
        <v>2837</v>
      </c>
      <c r="B1012" t="s">
        <v>23</v>
      </c>
      <c r="C1012" t="s">
        <v>103</v>
      </c>
      <c r="D1012" t="s">
        <v>104</v>
      </c>
      <c r="E1012" t="s">
        <v>2889</v>
      </c>
      <c r="F1012">
        <v>1</v>
      </c>
      <c r="G1012" t="s">
        <v>2880</v>
      </c>
      <c r="H1012" t="s">
        <v>2881</v>
      </c>
      <c r="I1012" t="s">
        <v>2092</v>
      </c>
      <c r="L1012" t="s">
        <v>2882</v>
      </c>
      <c r="M1012" t="s">
        <v>73</v>
      </c>
      <c r="P1012">
        <f t="shared" si="30"/>
        <v>1</v>
      </c>
      <c r="Q1012" t="str">
        <f>IF(AND(P1012&gt;1,COUNTIF($E$6:E1012,E1012)=1),MAX($Q$5:Q1011)+1,"")</f>
        <v/>
      </c>
      <c r="R1012" t="str">
        <f t="shared" si="31"/>
        <v/>
      </c>
    </row>
    <row r="1013" spans="1:18" ht="22.95" customHeight="1">
      <c r="A1013" t="s">
        <v>2837</v>
      </c>
      <c r="B1013" t="s">
        <v>23</v>
      </c>
      <c r="C1013" t="s">
        <v>103</v>
      </c>
      <c r="D1013" t="s">
        <v>104</v>
      </c>
      <c r="E1013" t="s">
        <v>2890</v>
      </c>
      <c r="F1013">
        <v>1</v>
      </c>
      <c r="G1013" t="s">
        <v>2880</v>
      </c>
      <c r="H1013" t="s">
        <v>2881</v>
      </c>
      <c r="I1013" t="s">
        <v>2092</v>
      </c>
      <c r="L1013" t="s">
        <v>2882</v>
      </c>
      <c r="M1013" t="s">
        <v>73</v>
      </c>
      <c r="P1013">
        <f t="shared" si="30"/>
        <v>1</v>
      </c>
      <c r="Q1013" t="str">
        <f>IF(AND(P1013&gt;1,COUNTIF($E$6:E1013,E1013)=1),MAX($Q$5:Q1012)+1,"")</f>
        <v/>
      </c>
      <c r="R1013" t="str">
        <f t="shared" si="31"/>
        <v/>
      </c>
    </row>
    <row r="1014" spans="1:18" ht="22.95" customHeight="1">
      <c r="A1014" t="s">
        <v>2837</v>
      </c>
      <c r="B1014" t="s">
        <v>23</v>
      </c>
      <c r="C1014" t="s">
        <v>103</v>
      </c>
      <c r="D1014" t="s">
        <v>104</v>
      </c>
      <c r="E1014" t="s">
        <v>2891</v>
      </c>
      <c r="F1014">
        <v>1</v>
      </c>
      <c r="G1014" t="s">
        <v>2880</v>
      </c>
      <c r="H1014" t="s">
        <v>2881</v>
      </c>
      <c r="I1014" t="s">
        <v>2092</v>
      </c>
      <c r="L1014" t="s">
        <v>2882</v>
      </c>
      <c r="M1014" t="s">
        <v>73</v>
      </c>
      <c r="P1014">
        <f t="shared" si="30"/>
        <v>1</v>
      </c>
      <c r="Q1014" t="str">
        <f>IF(AND(P1014&gt;1,COUNTIF($E$6:E1014,E1014)=1),MAX($Q$5:Q1013)+1,"")</f>
        <v/>
      </c>
      <c r="R1014" t="str">
        <f t="shared" si="31"/>
        <v/>
      </c>
    </row>
    <row r="1015" spans="1:18" ht="22.95" customHeight="1">
      <c r="A1015" t="s">
        <v>2837</v>
      </c>
      <c r="B1015" t="s">
        <v>23</v>
      </c>
      <c r="C1015" t="s">
        <v>103</v>
      </c>
      <c r="D1015" t="s">
        <v>104</v>
      </c>
      <c r="E1015" t="s">
        <v>2892</v>
      </c>
      <c r="F1015">
        <v>1</v>
      </c>
      <c r="G1015" t="s">
        <v>2880</v>
      </c>
      <c r="H1015" t="s">
        <v>2881</v>
      </c>
      <c r="I1015" t="s">
        <v>2092</v>
      </c>
      <c r="L1015" t="s">
        <v>2893</v>
      </c>
      <c r="M1015" t="s">
        <v>62</v>
      </c>
      <c r="N1015" t="s">
        <v>130</v>
      </c>
      <c r="P1015">
        <f t="shared" si="30"/>
        <v>1</v>
      </c>
      <c r="Q1015" t="str">
        <f>IF(AND(P1015&gt;1,COUNTIF($E$6:E1015,E1015)=1),MAX($Q$5:Q1014)+1,"")</f>
        <v/>
      </c>
      <c r="R1015" t="str">
        <f t="shared" si="31"/>
        <v/>
      </c>
    </row>
    <row r="1016" spans="1:18" ht="22.95" customHeight="1">
      <c r="A1016" t="s">
        <v>2837</v>
      </c>
      <c r="B1016" t="s">
        <v>23</v>
      </c>
      <c r="C1016" t="s">
        <v>103</v>
      </c>
      <c r="D1016" t="s">
        <v>104</v>
      </c>
      <c r="E1016" t="s">
        <v>2894</v>
      </c>
      <c r="F1016">
        <v>1</v>
      </c>
      <c r="G1016" t="s">
        <v>2880</v>
      </c>
      <c r="H1016" t="s">
        <v>2881</v>
      </c>
      <c r="I1016" t="s">
        <v>2092</v>
      </c>
      <c r="L1016" t="s">
        <v>2895</v>
      </c>
      <c r="M1016" t="s">
        <v>102</v>
      </c>
      <c r="P1016">
        <f t="shared" si="30"/>
        <v>1</v>
      </c>
      <c r="Q1016" t="str">
        <f>IF(AND(P1016&gt;1,COUNTIF($E$6:E1016,E1016)=1),MAX($Q$5:Q1015)+1,"")</f>
        <v/>
      </c>
      <c r="R1016" t="str">
        <f t="shared" si="31"/>
        <v/>
      </c>
    </row>
    <row r="1017" spans="1:18" ht="22.95" customHeight="1">
      <c r="A1017" t="s">
        <v>2837</v>
      </c>
      <c r="B1017" t="s">
        <v>25</v>
      </c>
      <c r="C1017" t="s">
        <v>131</v>
      </c>
      <c r="D1017" t="s">
        <v>132</v>
      </c>
      <c r="E1017" t="s">
        <v>2896</v>
      </c>
      <c r="F1017">
        <v>1</v>
      </c>
      <c r="G1017" t="s">
        <v>422</v>
      </c>
      <c r="H1017" t="s">
        <v>2897</v>
      </c>
      <c r="I1017" t="s">
        <v>415</v>
      </c>
      <c r="K1017" t="s">
        <v>109</v>
      </c>
      <c r="L1017" t="s">
        <v>2898</v>
      </c>
      <c r="M1017" t="s">
        <v>73</v>
      </c>
      <c r="P1017">
        <f t="shared" si="30"/>
        <v>1</v>
      </c>
      <c r="Q1017" t="str">
        <f>IF(AND(P1017&gt;1,COUNTIF($E$6:E1017,E1017)=1),MAX($Q$5:Q1016)+1,"")</f>
        <v/>
      </c>
      <c r="R1017" t="str">
        <f t="shared" si="31"/>
        <v/>
      </c>
    </row>
    <row r="1018" spans="1:18" ht="22.95" customHeight="1">
      <c r="A1018" t="s">
        <v>2837</v>
      </c>
      <c r="B1018" t="s">
        <v>25</v>
      </c>
      <c r="C1018" t="s">
        <v>131</v>
      </c>
      <c r="D1018" t="s">
        <v>132</v>
      </c>
      <c r="E1018" t="s">
        <v>2899</v>
      </c>
      <c r="F1018">
        <v>1</v>
      </c>
      <c r="G1018" t="s">
        <v>422</v>
      </c>
      <c r="H1018" t="s">
        <v>2897</v>
      </c>
      <c r="I1018" t="s">
        <v>415</v>
      </c>
      <c r="K1018" t="s">
        <v>109</v>
      </c>
      <c r="L1018" t="s">
        <v>2898</v>
      </c>
      <c r="M1018" t="s">
        <v>73</v>
      </c>
      <c r="P1018">
        <f t="shared" si="30"/>
        <v>1</v>
      </c>
      <c r="Q1018" t="str">
        <f>IF(AND(P1018&gt;1,COUNTIF($E$6:E1018,E1018)=1),MAX($Q$5:Q1017)+1,"")</f>
        <v/>
      </c>
      <c r="R1018" t="str">
        <f t="shared" si="31"/>
        <v/>
      </c>
    </row>
    <row r="1019" spans="1:18" ht="22.95" customHeight="1">
      <c r="A1019" t="s">
        <v>2837</v>
      </c>
      <c r="B1019" t="s">
        <v>24</v>
      </c>
      <c r="C1019" t="s">
        <v>436</v>
      </c>
      <c r="D1019" t="s">
        <v>437</v>
      </c>
      <c r="E1019" t="s">
        <v>2900</v>
      </c>
      <c r="F1019">
        <v>1</v>
      </c>
      <c r="G1019" t="s">
        <v>139</v>
      </c>
      <c r="I1019" t="s">
        <v>406</v>
      </c>
      <c r="K1019" t="s">
        <v>406</v>
      </c>
      <c r="L1019" t="s">
        <v>2901</v>
      </c>
      <c r="M1019" t="s">
        <v>62</v>
      </c>
      <c r="N1019" t="s">
        <v>63</v>
      </c>
      <c r="P1019">
        <f t="shared" si="30"/>
        <v>1</v>
      </c>
      <c r="Q1019" t="str">
        <f>IF(AND(P1019&gt;1,COUNTIF($E$6:E1019,E1019)=1),MAX($Q$5:Q1018)+1,"")</f>
        <v/>
      </c>
      <c r="R1019" t="str">
        <f t="shared" si="31"/>
        <v/>
      </c>
    </row>
    <row r="1020" spans="1:18" ht="22.95" customHeight="1">
      <c r="A1020" t="s">
        <v>2837</v>
      </c>
      <c r="B1020" t="s">
        <v>24</v>
      </c>
      <c r="C1020" t="s">
        <v>436</v>
      </c>
      <c r="D1020" t="s">
        <v>437</v>
      </c>
      <c r="E1020" t="s">
        <v>2902</v>
      </c>
      <c r="F1020">
        <v>1</v>
      </c>
      <c r="G1020" t="s">
        <v>139</v>
      </c>
      <c r="I1020" t="s">
        <v>406</v>
      </c>
      <c r="K1020" t="s">
        <v>406</v>
      </c>
      <c r="L1020" t="s">
        <v>2903</v>
      </c>
      <c r="M1020" t="s">
        <v>62</v>
      </c>
      <c r="N1020" t="s">
        <v>63</v>
      </c>
      <c r="P1020">
        <f t="shared" si="30"/>
        <v>1</v>
      </c>
      <c r="Q1020" t="str">
        <f>IF(AND(P1020&gt;1,COUNTIF($E$6:E1020,E1020)=1),MAX($Q$5:Q1019)+1,"")</f>
        <v/>
      </c>
      <c r="R1020" t="str">
        <f t="shared" si="31"/>
        <v/>
      </c>
    </row>
    <row r="1021" spans="1:18" ht="22.95" customHeight="1">
      <c r="A1021" t="s">
        <v>2837</v>
      </c>
      <c r="B1021" t="s">
        <v>24</v>
      </c>
      <c r="C1021" t="s">
        <v>436</v>
      </c>
      <c r="D1021" t="s">
        <v>437</v>
      </c>
      <c r="E1021" t="s">
        <v>2904</v>
      </c>
      <c r="F1021">
        <v>1</v>
      </c>
      <c r="G1021" t="s">
        <v>139</v>
      </c>
      <c r="I1021" t="s">
        <v>406</v>
      </c>
      <c r="K1021" t="s">
        <v>406</v>
      </c>
      <c r="L1021" t="s">
        <v>2903</v>
      </c>
      <c r="M1021" t="s">
        <v>62</v>
      </c>
      <c r="N1021" t="s">
        <v>63</v>
      </c>
      <c r="P1021">
        <f t="shared" si="30"/>
        <v>1</v>
      </c>
      <c r="Q1021" t="str">
        <f>IF(AND(P1021&gt;1,COUNTIF($E$6:E1021,E1021)=1),MAX($Q$5:Q1020)+1,"")</f>
        <v/>
      </c>
      <c r="R1021" t="str">
        <f t="shared" si="31"/>
        <v/>
      </c>
    </row>
    <row r="1022" spans="1:18" ht="22.95" customHeight="1">
      <c r="A1022" t="s">
        <v>2837</v>
      </c>
      <c r="B1022" t="s">
        <v>24</v>
      </c>
      <c r="C1022" t="s">
        <v>436</v>
      </c>
      <c r="D1022" t="s">
        <v>437</v>
      </c>
      <c r="E1022" t="s">
        <v>2905</v>
      </c>
      <c r="F1022">
        <v>1</v>
      </c>
      <c r="G1022" t="s">
        <v>92</v>
      </c>
      <c r="I1022" t="s">
        <v>2906</v>
      </c>
      <c r="K1022" t="s">
        <v>109</v>
      </c>
      <c r="L1022" t="s">
        <v>2907</v>
      </c>
      <c r="M1022" t="s">
        <v>102</v>
      </c>
      <c r="P1022">
        <f t="shared" si="30"/>
        <v>1</v>
      </c>
      <c r="Q1022" t="str">
        <f>IF(AND(P1022&gt;1,COUNTIF($E$6:E1022,E1022)=1),MAX($Q$5:Q1021)+1,"")</f>
        <v/>
      </c>
      <c r="R1022" t="str">
        <f t="shared" si="31"/>
        <v/>
      </c>
    </row>
    <row r="1023" spans="1:18" ht="22.95" customHeight="1">
      <c r="A1023" t="s">
        <v>2837</v>
      </c>
      <c r="B1023" t="s">
        <v>24</v>
      </c>
      <c r="C1023" t="s">
        <v>136</v>
      </c>
      <c r="D1023" t="s">
        <v>674</v>
      </c>
      <c r="E1023" t="s">
        <v>2908</v>
      </c>
      <c r="F1023">
        <v>1</v>
      </c>
      <c r="G1023" t="s">
        <v>92</v>
      </c>
      <c r="I1023" t="s">
        <v>2909</v>
      </c>
      <c r="K1023" t="s">
        <v>109</v>
      </c>
      <c r="L1023" t="s">
        <v>2910</v>
      </c>
      <c r="M1023" t="s">
        <v>102</v>
      </c>
      <c r="P1023">
        <f t="shared" si="30"/>
        <v>1</v>
      </c>
      <c r="Q1023" t="str">
        <f>IF(AND(P1023&gt;1,COUNTIF($E$6:E1023,E1023)=1),MAX($Q$5:Q1022)+1,"")</f>
        <v/>
      </c>
      <c r="R1023" t="str">
        <f t="shared" si="31"/>
        <v/>
      </c>
    </row>
    <row r="1024" spans="1:18" ht="22.95" customHeight="1">
      <c r="A1024" t="s">
        <v>2837</v>
      </c>
      <c r="B1024" t="s">
        <v>24</v>
      </c>
      <c r="C1024" t="s">
        <v>136</v>
      </c>
      <c r="D1024" t="s">
        <v>674</v>
      </c>
      <c r="E1024" t="s">
        <v>2911</v>
      </c>
      <c r="F1024">
        <v>1</v>
      </c>
      <c r="G1024" t="s">
        <v>92</v>
      </c>
      <c r="I1024" t="s">
        <v>2909</v>
      </c>
      <c r="K1024" t="s">
        <v>109</v>
      </c>
      <c r="L1024" t="s">
        <v>2910</v>
      </c>
      <c r="M1024" t="s">
        <v>102</v>
      </c>
      <c r="P1024">
        <f t="shared" si="30"/>
        <v>1</v>
      </c>
      <c r="Q1024" t="str">
        <f>IF(AND(P1024&gt;1,COUNTIF($E$6:E1024,E1024)=1),MAX($Q$5:Q1023)+1,"")</f>
        <v/>
      </c>
      <c r="R1024" t="str">
        <f t="shared" si="31"/>
        <v/>
      </c>
    </row>
    <row r="1025" spans="1:18" ht="22.95" customHeight="1">
      <c r="A1025" t="s">
        <v>2837</v>
      </c>
      <c r="B1025" t="s">
        <v>24</v>
      </c>
      <c r="C1025" t="s">
        <v>136</v>
      </c>
      <c r="D1025" t="s">
        <v>674</v>
      </c>
      <c r="E1025" t="s">
        <v>2912</v>
      </c>
      <c r="F1025">
        <v>1</v>
      </c>
      <c r="G1025" t="s">
        <v>92</v>
      </c>
      <c r="I1025" t="s">
        <v>2909</v>
      </c>
      <c r="K1025" t="s">
        <v>109</v>
      </c>
      <c r="L1025" t="s">
        <v>2910</v>
      </c>
      <c r="M1025" t="s">
        <v>102</v>
      </c>
      <c r="P1025">
        <f t="shared" si="30"/>
        <v>1</v>
      </c>
      <c r="Q1025" t="str">
        <f>IF(AND(P1025&gt;1,COUNTIF($E$6:E1025,E1025)=1),MAX($Q$5:Q1024)+1,"")</f>
        <v/>
      </c>
      <c r="R1025" t="str">
        <f t="shared" si="31"/>
        <v/>
      </c>
    </row>
    <row r="1026" spans="1:18" ht="22.95" customHeight="1">
      <c r="A1026" t="s">
        <v>2837</v>
      </c>
      <c r="B1026" t="s">
        <v>24</v>
      </c>
      <c r="C1026" t="s">
        <v>136</v>
      </c>
      <c r="D1026" t="s">
        <v>674</v>
      </c>
      <c r="E1026" t="s">
        <v>2913</v>
      </c>
      <c r="F1026">
        <v>1</v>
      </c>
      <c r="G1026" t="s">
        <v>139</v>
      </c>
      <c r="I1026" t="s">
        <v>140</v>
      </c>
      <c r="K1026" t="s">
        <v>2914</v>
      </c>
      <c r="L1026" t="s">
        <v>2915</v>
      </c>
      <c r="M1026" t="s">
        <v>62</v>
      </c>
      <c r="N1026" t="s">
        <v>63</v>
      </c>
      <c r="P1026">
        <f t="shared" si="30"/>
        <v>1</v>
      </c>
      <c r="Q1026" t="str">
        <f>IF(AND(P1026&gt;1,COUNTIF($E$6:E1026,E1026)=1),MAX($Q$5:Q1025)+1,"")</f>
        <v/>
      </c>
      <c r="R1026" t="str">
        <f t="shared" si="31"/>
        <v/>
      </c>
    </row>
    <row r="1027" spans="1:18" ht="22.95" customHeight="1">
      <c r="A1027" t="s">
        <v>2837</v>
      </c>
      <c r="B1027" t="s">
        <v>24</v>
      </c>
      <c r="C1027" t="s">
        <v>136</v>
      </c>
      <c r="D1027" t="s">
        <v>674</v>
      </c>
      <c r="E1027" t="s">
        <v>2916</v>
      </c>
      <c r="F1027">
        <v>1</v>
      </c>
      <c r="G1027" t="s">
        <v>92</v>
      </c>
      <c r="I1027" t="s">
        <v>140</v>
      </c>
      <c r="J1027" t="s">
        <v>672</v>
      </c>
      <c r="K1027" t="s">
        <v>2917</v>
      </c>
      <c r="L1027" t="s">
        <v>2918</v>
      </c>
      <c r="M1027" t="s">
        <v>102</v>
      </c>
      <c r="P1027">
        <f t="shared" si="30"/>
        <v>1</v>
      </c>
      <c r="Q1027" t="str">
        <f>IF(AND(P1027&gt;1,COUNTIF($E$6:E1027,E1027)=1),MAX($Q$5:Q1026)+1,"")</f>
        <v/>
      </c>
      <c r="R1027" t="str">
        <f t="shared" si="31"/>
        <v/>
      </c>
    </row>
    <row r="1028" spans="1:18" ht="22.95" customHeight="1">
      <c r="A1028" t="s">
        <v>2837</v>
      </c>
      <c r="B1028" t="s">
        <v>24</v>
      </c>
      <c r="C1028" t="s">
        <v>443</v>
      </c>
      <c r="D1028" t="s">
        <v>444</v>
      </c>
      <c r="E1028" t="s">
        <v>2919</v>
      </c>
      <c r="F1028">
        <v>1</v>
      </c>
      <c r="G1028" t="s">
        <v>92</v>
      </c>
      <c r="I1028" t="s">
        <v>2920</v>
      </c>
      <c r="K1028" t="s">
        <v>2921</v>
      </c>
      <c r="L1028" t="s">
        <v>2922</v>
      </c>
      <c r="M1028" t="s">
        <v>73</v>
      </c>
      <c r="P1028">
        <f t="shared" si="30"/>
        <v>1</v>
      </c>
      <c r="Q1028" t="str">
        <f>IF(AND(P1028&gt;1,COUNTIF($E$6:E1028,E1028)=1),MAX($Q$5:Q1027)+1,"")</f>
        <v/>
      </c>
      <c r="R1028" t="str">
        <f t="shared" si="31"/>
        <v/>
      </c>
    </row>
    <row r="1029" spans="1:18" ht="22.95" customHeight="1">
      <c r="A1029" t="s">
        <v>2837</v>
      </c>
      <c r="B1029" t="s">
        <v>24</v>
      </c>
      <c r="C1029" t="s">
        <v>443</v>
      </c>
      <c r="D1029" t="s">
        <v>444</v>
      </c>
      <c r="E1029" t="s">
        <v>2923</v>
      </c>
      <c r="F1029">
        <v>1</v>
      </c>
      <c r="G1029" t="s">
        <v>92</v>
      </c>
      <c r="I1029" t="s">
        <v>2924</v>
      </c>
      <c r="K1029" t="s">
        <v>2921</v>
      </c>
      <c r="L1029" t="s">
        <v>2922</v>
      </c>
      <c r="M1029" t="s">
        <v>73</v>
      </c>
      <c r="P1029">
        <f t="shared" si="30"/>
        <v>1</v>
      </c>
      <c r="Q1029" t="str">
        <f>IF(AND(P1029&gt;1,COUNTIF($E$6:E1029,E1029)=1),MAX($Q$5:Q1028)+1,"")</f>
        <v/>
      </c>
      <c r="R1029" t="str">
        <f t="shared" si="31"/>
        <v/>
      </c>
    </row>
    <row r="1030" spans="1:18" ht="22.95" customHeight="1">
      <c r="A1030" t="s">
        <v>2837</v>
      </c>
      <c r="B1030" t="s">
        <v>28</v>
      </c>
      <c r="C1030" t="s">
        <v>146</v>
      </c>
      <c r="D1030" t="s">
        <v>147</v>
      </c>
      <c r="E1030" t="s">
        <v>2925</v>
      </c>
      <c r="F1030">
        <v>1</v>
      </c>
      <c r="G1030" t="s">
        <v>149</v>
      </c>
      <c r="H1030" t="s">
        <v>492</v>
      </c>
      <c r="I1030" t="s">
        <v>408</v>
      </c>
      <c r="K1030" t="s">
        <v>408</v>
      </c>
      <c r="L1030" t="s">
        <v>2926</v>
      </c>
      <c r="M1030" t="s">
        <v>62</v>
      </c>
      <c r="N1030" t="s">
        <v>130</v>
      </c>
      <c r="P1030">
        <f t="shared" ref="P1030:P1093" si="32">COUNTIF($E$6:$E$1740,E1030)</f>
        <v>1</v>
      </c>
      <c r="Q1030" t="str">
        <f>IF(AND(P1030&gt;1,COUNTIF($E$6:E1030,E1030)=1),MAX($Q$5:Q1029)+1,"")</f>
        <v/>
      </c>
      <c r="R1030" t="str">
        <f t="shared" ref="R1030:R1093" si="33">IF(Q1030="","",IF(COUNTIFS($E$6:$E$1740,E1030,$A$6:$A$1740,A1030,$C$6:$C$1740,C1030)&lt;P1030,"LÉGITIME",IF(COUNTIFS($E$6:$E$1740,E1030,$A$6:$A$1740,A1030,$C$6:$C$1740,C1030,$M$6:$M$1740,M1030)&lt;P1030,"STATUT DIFFÉRENT","VRAI DOUBLON")))</f>
        <v/>
      </c>
    </row>
    <row r="1031" spans="1:18" ht="22.95" customHeight="1">
      <c r="A1031" t="s">
        <v>2837</v>
      </c>
      <c r="B1031" t="s">
        <v>28</v>
      </c>
      <c r="C1031" t="s">
        <v>146</v>
      </c>
      <c r="D1031" t="s">
        <v>147</v>
      </c>
      <c r="E1031" t="s">
        <v>2927</v>
      </c>
      <c r="F1031">
        <v>1</v>
      </c>
      <c r="G1031" t="s">
        <v>508</v>
      </c>
      <c r="H1031" t="s">
        <v>181</v>
      </c>
      <c r="I1031" t="s">
        <v>451</v>
      </c>
      <c r="K1031" t="s">
        <v>109</v>
      </c>
      <c r="L1031" t="s">
        <v>2928</v>
      </c>
      <c r="M1031" t="s">
        <v>62</v>
      </c>
      <c r="N1031" t="s">
        <v>130</v>
      </c>
      <c r="P1031">
        <f t="shared" si="32"/>
        <v>1</v>
      </c>
      <c r="Q1031" t="str">
        <f>IF(AND(P1031&gt;1,COUNTIF($E$6:E1031,E1031)=1),MAX($Q$5:Q1030)+1,"")</f>
        <v/>
      </c>
      <c r="R1031" t="str">
        <f t="shared" si="33"/>
        <v/>
      </c>
    </row>
    <row r="1032" spans="1:18" ht="22.95" customHeight="1">
      <c r="A1032" t="s">
        <v>2837</v>
      </c>
      <c r="B1032" t="s">
        <v>28</v>
      </c>
      <c r="C1032" t="s">
        <v>146</v>
      </c>
      <c r="D1032" t="s">
        <v>147</v>
      </c>
      <c r="E1032" t="s">
        <v>2929</v>
      </c>
      <c r="F1032">
        <v>1</v>
      </c>
      <c r="G1032" t="s">
        <v>149</v>
      </c>
      <c r="H1032" t="s">
        <v>492</v>
      </c>
      <c r="I1032" t="s">
        <v>2930</v>
      </c>
      <c r="K1032" t="s">
        <v>109</v>
      </c>
      <c r="L1032" t="s">
        <v>2931</v>
      </c>
      <c r="M1032" t="s">
        <v>62</v>
      </c>
      <c r="N1032" t="s">
        <v>130</v>
      </c>
      <c r="P1032">
        <f t="shared" si="32"/>
        <v>1</v>
      </c>
      <c r="Q1032" t="str">
        <f>IF(AND(P1032&gt;1,COUNTIF($E$6:E1032,E1032)=1),MAX($Q$5:Q1031)+1,"")</f>
        <v/>
      </c>
      <c r="R1032" t="str">
        <f t="shared" si="33"/>
        <v/>
      </c>
    </row>
    <row r="1033" spans="1:18" ht="22.95" customHeight="1">
      <c r="A1033" t="s">
        <v>2837</v>
      </c>
      <c r="B1033" t="s">
        <v>28</v>
      </c>
      <c r="C1033" t="s">
        <v>146</v>
      </c>
      <c r="D1033" t="s">
        <v>147</v>
      </c>
      <c r="E1033" t="s">
        <v>2932</v>
      </c>
      <c r="F1033">
        <v>1</v>
      </c>
      <c r="G1033" t="s">
        <v>149</v>
      </c>
      <c r="H1033" t="s">
        <v>492</v>
      </c>
      <c r="I1033" t="s">
        <v>2930</v>
      </c>
      <c r="K1033" t="s">
        <v>109</v>
      </c>
      <c r="L1033" t="s">
        <v>2933</v>
      </c>
      <c r="M1033" t="s">
        <v>62</v>
      </c>
      <c r="N1033" t="s">
        <v>130</v>
      </c>
      <c r="P1033">
        <f t="shared" si="32"/>
        <v>1</v>
      </c>
      <c r="Q1033" t="str">
        <f>IF(AND(P1033&gt;1,COUNTIF($E$6:E1033,E1033)=1),MAX($Q$5:Q1032)+1,"")</f>
        <v/>
      </c>
      <c r="R1033" t="str">
        <f t="shared" si="33"/>
        <v/>
      </c>
    </row>
    <row r="1034" spans="1:18" ht="22.95" customHeight="1">
      <c r="A1034" t="s">
        <v>2837</v>
      </c>
      <c r="B1034" t="s">
        <v>28</v>
      </c>
      <c r="C1034" t="s">
        <v>146</v>
      </c>
      <c r="D1034" t="s">
        <v>147</v>
      </c>
      <c r="E1034" t="s">
        <v>2934</v>
      </c>
      <c r="F1034">
        <v>1</v>
      </c>
      <c r="G1034" t="s">
        <v>149</v>
      </c>
      <c r="H1034" t="s">
        <v>492</v>
      </c>
      <c r="I1034" t="s">
        <v>2930</v>
      </c>
      <c r="K1034" t="s">
        <v>109</v>
      </c>
      <c r="L1034" t="s">
        <v>2935</v>
      </c>
      <c r="M1034" t="s">
        <v>62</v>
      </c>
      <c r="N1034" t="s">
        <v>130</v>
      </c>
      <c r="P1034">
        <f t="shared" si="32"/>
        <v>1</v>
      </c>
      <c r="Q1034" t="str">
        <f>IF(AND(P1034&gt;1,COUNTIF($E$6:E1034,E1034)=1),MAX($Q$5:Q1033)+1,"")</f>
        <v/>
      </c>
      <c r="R1034" t="str">
        <f t="shared" si="33"/>
        <v/>
      </c>
    </row>
    <row r="1035" spans="1:18" ht="22.95" customHeight="1">
      <c r="A1035" t="s">
        <v>2837</v>
      </c>
      <c r="B1035" t="s">
        <v>28</v>
      </c>
      <c r="C1035" t="s">
        <v>146</v>
      </c>
      <c r="D1035" t="s">
        <v>147</v>
      </c>
      <c r="E1035" t="s">
        <v>2936</v>
      </c>
      <c r="F1035">
        <v>1</v>
      </c>
      <c r="G1035" t="s">
        <v>149</v>
      </c>
      <c r="H1035" t="s">
        <v>492</v>
      </c>
      <c r="I1035" t="s">
        <v>2930</v>
      </c>
      <c r="K1035" t="s">
        <v>109</v>
      </c>
      <c r="L1035" t="s">
        <v>2937</v>
      </c>
      <c r="M1035" t="s">
        <v>62</v>
      </c>
      <c r="N1035" t="s">
        <v>130</v>
      </c>
      <c r="P1035">
        <f t="shared" si="32"/>
        <v>1</v>
      </c>
      <c r="Q1035" t="str">
        <f>IF(AND(P1035&gt;1,COUNTIF($E$6:E1035,E1035)=1),MAX($Q$5:Q1034)+1,"")</f>
        <v/>
      </c>
      <c r="R1035" t="str">
        <f t="shared" si="33"/>
        <v/>
      </c>
    </row>
    <row r="1036" spans="1:18" ht="22.95" customHeight="1">
      <c r="A1036" t="s">
        <v>2837</v>
      </c>
      <c r="B1036" t="s">
        <v>28</v>
      </c>
      <c r="C1036" t="s">
        <v>146</v>
      </c>
      <c r="D1036" t="s">
        <v>147</v>
      </c>
      <c r="E1036" t="s">
        <v>2938</v>
      </c>
      <c r="F1036">
        <v>1</v>
      </c>
      <c r="G1036" t="s">
        <v>149</v>
      </c>
      <c r="H1036" t="s">
        <v>492</v>
      </c>
      <c r="I1036" t="s">
        <v>2930</v>
      </c>
      <c r="K1036" t="s">
        <v>109</v>
      </c>
      <c r="L1036" t="s">
        <v>2937</v>
      </c>
      <c r="M1036" t="s">
        <v>62</v>
      </c>
      <c r="N1036" t="s">
        <v>130</v>
      </c>
      <c r="P1036">
        <f t="shared" si="32"/>
        <v>1</v>
      </c>
      <c r="Q1036" t="str">
        <f>IF(AND(P1036&gt;1,COUNTIF($E$6:E1036,E1036)=1),MAX($Q$5:Q1035)+1,"")</f>
        <v/>
      </c>
      <c r="R1036" t="str">
        <f t="shared" si="33"/>
        <v/>
      </c>
    </row>
    <row r="1037" spans="1:18" ht="22.95" customHeight="1">
      <c r="A1037" t="s">
        <v>2837</v>
      </c>
      <c r="B1037" t="s">
        <v>28</v>
      </c>
      <c r="C1037" t="s">
        <v>146</v>
      </c>
      <c r="D1037" t="s">
        <v>147</v>
      </c>
      <c r="E1037" t="s">
        <v>2939</v>
      </c>
      <c r="F1037">
        <v>1</v>
      </c>
      <c r="G1037" t="s">
        <v>149</v>
      </c>
      <c r="H1037" t="s">
        <v>492</v>
      </c>
      <c r="I1037" t="s">
        <v>2930</v>
      </c>
      <c r="K1037" t="s">
        <v>109</v>
      </c>
      <c r="L1037" t="s">
        <v>2940</v>
      </c>
      <c r="M1037" t="s">
        <v>62</v>
      </c>
      <c r="N1037" t="s">
        <v>130</v>
      </c>
      <c r="P1037">
        <f t="shared" si="32"/>
        <v>1</v>
      </c>
      <c r="Q1037" t="str">
        <f>IF(AND(P1037&gt;1,COUNTIF($E$6:E1037,E1037)=1),MAX($Q$5:Q1036)+1,"")</f>
        <v/>
      </c>
      <c r="R1037" t="str">
        <f t="shared" si="33"/>
        <v/>
      </c>
    </row>
    <row r="1038" spans="1:18" ht="22.95" customHeight="1">
      <c r="A1038" t="s">
        <v>2837</v>
      </c>
      <c r="B1038" t="s">
        <v>28</v>
      </c>
      <c r="C1038" t="s">
        <v>146</v>
      </c>
      <c r="D1038" t="s">
        <v>147</v>
      </c>
      <c r="E1038" t="s">
        <v>2941</v>
      </c>
      <c r="F1038">
        <v>1</v>
      </c>
      <c r="G1038" t="s">
        <v>149</v>
      </c>
      <c r="H1038" t="s">
        <v>492</v>
      </c>
      <c r="I1038" t="s">
        <v>2930</v>
      </c>
      <c r="K1038" t="s">
        <v>109</v>
      </c>
      <c r="L1038" t="s">
        <v>2942</v>
      </c>
      <c r="M1038" t="s">
        <v>62</v>
      </c>
      <c r="N1038" t="s">
        <v>130</v>
      </c>
      <c r="P1038">
        <f t="shared" si="32"/>
        <v>1</v>
      </c>
      <c r="Q1038" t="str">
        <f>IF(AND(P1038&gt;1,COUNTIF($E$6:E1038,E1038)=1),MAX($Q$5:Q1037)+1,"")</f>
        <v/>
      </c>
      <c r="R1038" t="str">
        <f t="shared" si="33"/>
        <v/>
      </c>
    </row>
    <row r="1039" spans="1:18" ht="22.95" customHeight="1">
      <c r="A1039" t="s">
        <v>2837</v>
      </c>
      <c r="B1039" t="s">
        <v>28</v>
      </c>
      <c r="C1039" t="s">
        <v>146</v>
      </c>
      <c r="D1039" t="s">
        <v>147</v>
      </c>
      <c r="E1039" t="s">
        <v>2943</v>
      </c>
      <c r="F1039">
        <v>1</v>
      </c>
      <c r="G1039" t="s">
        <v>149</v>
      </c>
      <c r="H1039" t="s">
        <v>492</v>
      </c>
      <c r="I1039" t="s">
        <v>2930</v>
      </c>
      <c r="K1039" t="s">
        <v>109</v>
      </c>
      <c r="L1039" t="s">
        <v>2931</v>
      </c>
      <c r="M1039" t="s">
        <v>62</v>
      </c>
      <c r="N1039" t="s">
        <v>130</v>
      </c>
      <c r="P1039">
        <f t="shared" si="32"/>
        <v>1</v>
      </c>
      <c r="Q1039" t="str">
        <f>IF(AND(P1039&gt;1,COUNTIF($E$6:E1039,E1039)=1),MAX($Q$5:Q1038)+1,"")</f>
        <v/>
      </c>
      <c r="R1039" t="str">
        <f t="shared" si="33"/>
        <v/>
      </c>
    </row>
    <row r="1040" spans="1:18" ht="22.95" customHeight="1">
      <c r="A1040" t="s">
        <v>2837</v>
      </c>
      <c r="B1040" t="s">
        <v>28</v>
      </c>
      <c r="C1040" t="s">
        <v>146</v>
      </c>
      <c r="D1040" t="s">
        <v>147</v>
      </c>
      <c r="E1040" t="s">
        <v>2944</v>
      </c>
      <c r="F1040">
        <v>1</v>
      </c>
      <c r="G1040" t="s">
        <v>149</v>
      </c>
      <c r="H1040" t="s">
        <v>492</v>
      </c>
      <c r="I1040" t="s">
        <v>2930</v>
      </c>
      <c r="K1040" t="s">
        <v>109</v>
      </c>
      <c r="L1040" t="s">
        <v>2931</v>
      </c>
      <c r="M1040" t="s">
        <v>62</v>
      </c>
      <c r="N1040" t="s">
        <v>130</v>
      </c>
      <c r="P1040">
        <f t="shared" si="32"/>
        <v>1</v>
      </c>
      <c r="Q1040" t="str">
        <f>IF(AND(P1040&gt;1,COUNTIF($E$6:E1040,E1040)=1),MAX($Q$5:Q1039)+1,"")</f>
        <v/>
      </c>
      <c r="R1040" t="str">
        <f t="shared" si="33"/>
        <v/>
      </c>
    </row>
    <row r="1041" spans="1:18" ht="22.95" customHeight="1">
      <c r="A1041" t="s">
        <v>2837</v>
      </c>
      <c r="B1041" t="s">
        <v>28</v>
      </c>
      <c r="C1041" t="s">
        <v>167</v>
      </c>
      <c r="D1041" t="s">
        <v>168</v>
      </c>
      <c r="E1041" t="s">
        <v>2945</v>
      </c>
      <c r="F1041">
        <v>1</v>
      </c>
      <c r="G1041" t="s">
        <v>2946</v>
      </c>
      <c r="H1041" t="s">
        <v>2947</v>
      </c>
      <c r="I1041" t="s">
        <v>2948</v>
      </c>
      <c r="K1041" t="s">
        <v>78</v>
      </c>
      <c r="L1041" t="s">
        <v>2949</v>
      </c>
      <c r="M1041" t="s">
        <v>73</v>
      </c>
      <c r="P1041">
        <f t="shared" si="32"/>
        <v>1</v>
      </c>
      <c r="Q1041" t="str">
        <f>IF(AND(P1041&gt;1,COUNTIF($E$6:E1041,E1041)=1),MAX($Q$5:Q1040)+1,"")</f>
        <v/>
      </c>
      <c r="R1041" t="str">
        <f t="shared" si="33"/>
        <v/>
      </c>
    </row>
    <row r="1042" spans="1:18" ht="22.95" customHeight="1">
      <c r="A1042" t="s">
        <v>2837</v>
      </c>
      <c r="B1042" t="s">
        <v>28</v>
      </c>
      <c r="C1042" t="s">
        <v>167</v>
      </c>
      <c r="D1042" t="s">
        <v>168</v>
      </c>
      <c r="E1042" t="s">
        <v>2950</v>
      </c>
      <c r="F1042">
        <v>1</v>
      </c>
      <c r="G1042" t="s">
        <v>92</v>
      </c>
      <c r="I1042" t="s">
        <v>2951</v>
      </c>
      <c r="K1042" t="s">
        <v>109</v>
      </c>
      <c r="L1042" t="s">
        <v>2952</v>
      </c>
      <c r="M1042" t="s">
        <v>73</v>
      </c>
      <c r="P1042">
        <f t="shared" si="32"/>
        <v>1</v>
      </c>
      <c r="Q1042" t="str">
        <f>IF(AND(P1042&gt;1,COUNTIF($E$6:E1042,E1042)=1),MAX($Q$5:Q1041)+1,"")</f>
        <v/>
      </c>
      <c r="R1042" t="str">
        <f t="shared" si="33"/>
        <v/>
      </c>
    </row>
    <row r="1043" spans="1:18" ht="22.95" customHeight="1">
      <c r="A1043" t="s">
        <v>2837</v>
      </c>
      <c r="B1043" t="s">
        <v>27</v>
      </c>
      <c r="C1043" t="s">
        <v>1069</v>
      </c>
      <c r="D1043" t="s">
        <v>1070</v>
      </c>
      <c r="E1043" t="s">
        <v>2953</v>
      </c>
      <c r="F1043">
        <v>1</v>
      </c>
      <c r="G1043" t="s">
        <v>92</v>
      </c>
      <c r="I1043" t="s">
        <v>2954</v>
      </c>
      <c r="L1043" t="s">
        <v>2955</v>
      </c>
      <c r="M1043" t="s">
        <v>102</v>
      </c>
      <c r="P1043">
        <f t="shared" si="32"/>
        <v>1</v>
      </c>
      <c r="Q1043" t="str">
        <f>IF(AND(P1043&gt;1,COUNTIF($E$6:E1043,E1043)=1),MAX($Q$5:Q1042)+1,"")</f>
        <v/>
      </c>
      <c r="R1043" t="str">
        <f t="shared" si="33"/>
        <v/>
      </c>
    </row>
    <row r="1044" spans="1:18" ht="22.95" customHeight="1">
      <c r="A1044" t="s">
        <v>2837</v>
      </c>
      <c r="B1044" t="s">
        <v>30</v>
      </c>
      <c r="C1044" t="s">
        <v>188</v>
      </c>
      <c r="D1044" t="s">
        <v>189</v>
      </c>
      <c r="E1044" t="s">
        <v>2956</v>
      </c>
      <c r="F1044">
        <v>1</v>
      </c>
      <c r="G1044" t="s">
        <v>92</v>
      </c>
      <c r="I1044" t="s">
        <v>2957</v>
      </c>
      <c r="K1044" t="s">
        <v>2958</v>
      </c>
      <c r="L1044" t="s">
        <v>2959</v>
      </c>
      <c r="M1044" t="s">
        <v>73</v>
      </c>
      <c r="P1044">
        <f t="shared" si="32"/>
        <v>1</v>
      </c>
      <c r="Q1044" t="str">
        <f>IF(AND(P1044&gt;1,COUNTIF($E$6:E1044,E1044)=1),MAX($Q$5:Q1043)+1,"")</f>
        <v/>
      </c>
      <c r="R1044" t="str">
        <f t="shared" si="33"/>
        <v/>
      </c>
    </row>
    <row r="1045" spans="1:18" ht="22.95" customHeight="1">
      <c r="A1045" t="s">
        <v>2837</v>
      </c>
      <c r="B1045" t="s">
        <v>30</v>
      </c>
      <c r="C1045" t="s">
        <v>188</v>
      </c>
      <c r="D1045" t="s">
        <v>189</v>
      </c>
      <c r="E1045" t="s">
        <v>2960</v>
      </c>
      <c r="F1045">
        <v>1</v>
      </c>
      <c r="G1045" t="s">
        <v>92</v>
      </c>
      <c r="I1045" t="s">
        <v>2961</v>
      </c>
      <c r="K1045" t="s">
        <v>2958</v>
      </c>
      <c r="L1045" t="s">
        <v>2959</v>
      </c>
      <c r="M1045" t="s">
        <v>73</v>
      </c>
      <c r="P1045">
        <f t="shared" si="32"/>
        <v>1</v>
      </c>
      <c r="Q1045" t="str">
        <f>IF(AND(P1045&gt;1,COUNTIF($E$6:E1045,E1045)=1),MAX($Q$5:Q1044)+1,"")</f>
        <v/>
      </c>
      <c r="R1045" t="str">
        <f t="shared" si="33"/>
        <v/>
      </c>
    </row>
    <row r="1046" spans="1:18" ht="22.95" customHeight="1">
      <c r="A1046" t="s">
        <v>2837</v>
      </c>
      <c r="B1046" t="s">
        <v>30</v>
      </c>
      <c r="C1046" t="s">
        <v>188</v>
      </c>
      <c r="D1046" t="s">
        <v>189</v>
      </c>
      <c r="E1046" t="s">
        <v>2962</v>
      </c>
      <c r="F1046">
        <v>1</v>
      </c>
      <c r="G1046" t="s">
        <v>92</v>
      </c>
      <c r="I1046" t="s">
        <v>2957</v>
      </c>
      <c r="K1046" t="s">
        <v>2958</v>
      </c>
      <c r="L1046" t="s">
        <v>2959</v>
      </c>
      <c r="M1046" t="s">
        <v>73</v>
      </c>
      <c r="P1046">
        <f t="shared" si="32"/>
        <v>1</v>
      </c>
      <c r="Q1046" t="str">
        <f>IF(AND(P1046&gt;1,COUNTIF($E$6:E1046,E1046)=1),MAX($Q$5:Q1045)+1,"")</f>
        <v/>
      </c>
      <c r="R1046" t="str">
        <f t="shared" si="33"/>
        <v/>
      </c>
    </row>
    <row r="1047" spans="1:18" ht="22.95" customHeight="1">
      <c r="A1047" t="s">
        <v>2837</v>
      </c>
      <c r="B1047" t="s">
        <v>30</v>
      </c>
      <c r="C1047" t="s">
        <v>188</v>
      </c>
      <c r="D1047" t="s">
        <v>189</v>
      </c>
      <c r="E1047" t="s">
        <v>2963</v>
      </c>
      <c r="F1047">
        <v>1</v>
      </c>
      <c r="G1047" t="s">
        <v>92</v>
      </c>
      <c r="I1047" t="s">
        <v>2964</v>
      </c>
      <c r="K1047" t="s">
        <v>2958</v>
      </c>
      <c r="L1047" t="s">
        <v>2959</v>
      </c>
      <c r="M1047" t="s">
        <v>73</v>
      </c>
      <c r="P1047">
        <f t="shared" si="32"/>
        <v>1</v>
      </c>
      <c r="Q1047" t="str">
        <f>IF(AND(P1047&gt;1,COUNTIF($E$6:E1047,E1047)=1),MAX($Q$5:Q1046)+1,"")</f>
        <v/>
      </c>
      <c r="R1047" t="str">
        <f t="shared" si="33"/>
        <v/>
      </c>
    </row>
    <row r="1048" spans="1:18" ht="22.95" customHeight="1">
      <c r="A1048" t="s">
        <v>2837</v>
      </c>
      <c r="B1048" t="s">
        <v>26</v>
      </c>
      <c r="C1048" t="s">
        <v>196</v>
      </c>
      <c r="D1048" t="s">
        <v>197</v>
      </c>
      <c r="E1048" t="s">
        <v>2965</v>
      </c>
      <c r="F1048">
        <v>1</v>
      </c>
      <c r="G1048" t="s">
        <v>92</v>
      </c>
      <c r="I1048" t="s">
        <v>2083</v>
      </c>
      <c r="K1048" t="s">
        <v>2966</v>
      </c>
      <c r="L1048" t="s">
        <v>2967</v>
      </c>
      <c r="M1048" t="s">
        <v>102</v>
      </c>
      <c r="P1048">
        <f t="shared" si="32"/>
        <v>1</v>
      </c>
      <c r="Q1048" t="str">
        <f>IF(AND(P1048&gt;1,COUNTIF($E$6:E1048,E1048)=1),MAX($Q$5:Q1047)+1,"")</f>
        <v/>
      </c>
      <c r="R1048" t="str">
        <f t="shared" si="33"/>
        <v/>
      </c>
    </row>
    <row r="1049" spans="1:18" ht="22.95" customHeight="1">
      <c r="A1049" t="s">
        <v>2837</v>
      </c>
      <c r="B1049" t="s">
        <v>26</v>
      </c>
      <c r="C1049" t="s">
        <v>196</v>
      </c>
      <c r="D1049" t="s">
        <v>197</v>
      </c>
      <c r="E1049" t="s">
        <v>2968</v>
      </c>
      <c r="F1049">
        <v>1</v>
      </c>
      <c r="G1049" t="s">
        <v>92</v>
      </c>
      <c r="I1049" t="s">
        <v>2969</v>
      </c>
      <c r="K1049" t="s">
        <v>2966</v>
      </c>
      <c r="L1049" t="s">
        <v>2970</v>
      </c>
      <c r="M1049" t="s">
        <v>102</v>
      </c>
      <c r="P1049">
        <f t="shared" si="32"/>
        <v>1</v>
      </c>
      <c r="Q1049" t="str">
        <f>IF(AND(P1049&gt;1,COUNTIF($E$6:E1049,E1049)=1),MAX($Q$5:Q1048)+1,"")</f>
        <v/>
      </c>
      <c r="R1049" t="str">
        <f t="shared" si="33"/>
        <v/>
      </c>
    </row>
    <row r="1050" spans="1:18" ht="22.95" customHeight="1">
      <c r="A1050" t="s">
        <v>2837</v>
      </c>
      <c r="B1050" t="s">
        <v>26</v>
      </c>
      <c r="C1050" t="s">
        <v>196</v>
      </c>
      <c r="D1050" t="s">
        <v>197</v>
      </c>
      <c r="E1050" t="s">
        <v>2971</v>
      </c>
      <c r="F1050">
        <v>1</v>
      </c>
      <c r="G1050" t="s">
        <v>1887</v>
      </c>
      <c r="I1050" t="s">
        <v>2969</v>
      </c>
      <c r="K1050" t="s">
        <v>2966</v>
      </c>
      <c r="L1050" t="s">
        <v>2970</v>
      </c>
      <c r="M1050" t="s">
        <v>102</v>
      </c>
      <c r="P1050">
        <f t="shared" si="32"/>
        <v>1</v>
      </c>
      <c r="Q1050" t="str">
        <f>IF(AND(P1050&gt;1,COUNTIF($E$6:E1050,E1050)=1),MAX($Q$5:Q1049)+1,"")</f>
        <v/>
      </c>
      <c r="R1050" t="str">
        <f t="shared" si="33"/>
        <v/>
      </c>
    </row>
    <row r="1051" spans="1:18" ht="22.95" customHeight="1">
      <c r="A1051" t="s">
        <v>2837</v>
      </c>
      <c r="B1051" t="s">
        <v>26</v>
      </c>
      <c r="C1051" t="s">
        <v>196</v>
      </c>
      <c r="D1051" t="s">
        <v>197</v>
      </c>
      <c r="E1051" t="s">
        <v>2972</v>
      </c>
      <c r="F1051">
        <v>1</v>
      </c>
      <c r="G1051" t="s">
        <v>1887</v>
      </c>
      <c r="I1051" t="s">
        <v>2969</v>
      </c>
      <c r="K1051" t="s">
        <v>2966</v>
      </c>
      <c r="L1051" t="s">
        <v>2967</v>
      </c>
      <c r="M1051" t="s">
        <v>102</v>
      </c>
      <c r="P1051">
        <f t="shared" si="32"/>
        <v>1</v>
      </c>
      <c r="Q1051" t="str">
        <f>IF(AND(P1051&gt;1,COUNTIF($E$6:E1051,E1051)=1),MAX($Q$5:Q1050)+1,"")</f>
        <v/>
      </c>
      <c r="R1051" t="str">
        <f t="shared" si="33"/>
        <v/>
      </c>
    </row>
    <row r="1052" spans="1:18" ht="22.95" customHeight="1">
      <c r="A1052" t="s">
        <v>2837</v>
      </c>
      <c r="B1052" t="s">
        <v>26</v>
      </c>
      <c r="C1052" t="s">
        <v>196</v>
      </c>
      <c r="D1052" t="s">
        <v>197</v>
      </c>
      <c r="E1052" t="s">
        <v>2973</v>
      </c>
      <c r="F1052">
        <v>1</v>
      </c>
      <c r="G1052" t="s">
        <v>1448</v>
      </c>
      <c r="H1052" t="s">
        <v>1397</v>
      </c>
      <c r="I1052" t="s">
        <v>406</v>
      </c>
      <c r="K1052" t="s">
        <v>408</v>
      </c>
      <c r="L1052" t="s">
        <v>2974</v>
      </c>
      <c r="M1052" t="s">
        <v>102</v>
      </c>
      <c r="P1052">
        <f t="shared" si="32"/>
        <v>1</v>
      </c>
      <c r="Q1052" t="str">
        <f>IF(AND(P1052&gt;1,COUNTIF($E$6:E1052,E1052)=1),MAX($Q$5:Q1051)+1,"")</f>
        <v/>
      </c>
      <c r="R1052" t="str">
        <f t="shared" si="33"/>
        <v/>
      </c>
    </row>
    <row r="1053" spans="1:18" ht="22.95" customHeight="1">
      <c r="A1053" t="s">
        <v>2837</v>
      </c>
      <c r="B1053" t="s">
        <v>26</v>
      </c>
      <c r="C1053" t="s">
        <v>196</v>
      </c>
      <c r="D1053" t="s">
        <v>197</v>
      </c>
      <c r="E1053" t="s">
        <v>2975</v>
      </c>
      <c r="F1053">
        <v>1</v>
      </c>
      <c r="G1053" t="s">
        <v>139</v>
      </c>
      <c r="I1053" t="s">
        <v>408</v>
      </c>
      <c r="K1053" t="s">
        <v>408</v>
      </c>
      <c r="L1053" t="s">
        <v>2863</v>
      </c>
      <c r="M1053" t="s">
        <v>73</v>
      </c>
      <c r="P1053">
        <f t="shared" si="32"/>
        <v>1</v>
      </c>
      <c r="Q1053" t="str">
        <f>IF(AND(P1053&gt;1,COUNTIF($E$6:E1053,E1053)=1),MAX($Q$5:Q1052)+1,"")</f>
        <v/>
      </c>
      <c r="R1053" t="str">
        <f t="shared" si="33"/>
        <v/>
      </c>
    </row>
    <row r="1054" spans="1:18" ht="22.95" customHeight="1">
      <c r="A1054" t="s">
        <v>2837</v>
      </c>
      <c r="B1054" t="s">
        <v>26</v>
      </c>
      <c r="C1054" t="s">
        <v>196</v>
      </c>
      <c r="D1054" t="s">
        <v>197</v>
      </c>
      <c r="E1054" t="s">
        <v>2976</v>
      </c>
      <c r="F1054">
        <v>1</v>
      </c>
      <c r="G1054" t="s">
        <v>2977</v>
      </c>
      <c r="H1054" t="s">
        <v>2978</v>
      </c>
      <c r="I1054" t="s">
        <v>2083</v>
      </c>
      <c r="L1054" t="s">
        <v>2979</v>
      </c>
      <c r="M1054" t="s">
        <v>102</v>
      </c>
      <c r="P1054">
        <f t="shared" si="32"/>
        <v>1</v>
      </c>
      <c r="Q1054" t="str">
        <f>IF(AND(P1054&gt;1,COUNTIF($E$6:E1054,E1054)=1),MAX($Q$5:Q1053)+1,"")</f>
        <v/>
      </c>
      <c r="R1054" t="str">
        <f t="shared" si="33"/>
        <v/>
      </c>
    </row>
    <row r="1055" spans="1:18" ht="22.95" customHeight="1">
      <c r="A1055" t="s">
        <v>2837</v>
      </c>
      <c r="B1055" t="s">
        <v>33</v>
      </c>
      <c r="C1055" t="s">
        <v>2103</v>
      </c>
      <c r="D1055" t="s">
        <v>2104</v>
      </c>
      <c r="E1055" t="s">
        <v>2980</v>
      </c>
      <c r="F1055">
        <v>1</v>
      </c>
      <c r="G1055" t="s">
        <v>92</v>
      </c>
      <c r="I1055" t="s">
        <v>2981</v>
      </c>
      <c r="K1055" t="s">
        <v>2982</v>
      </c>
      <c r="L1055" t="s">
        <v>2983</v>
      </c>
      <c r="M1055" t="s">
        <v>73</v>
      </c>
      <c r="P1055">
        <f t="shared" si="32"/>
        <v>1</v>
      </c>
      <c r="Q1055" t="str">
        <f>IF(AND(P1055&gt;1,COUNTIF($E$6:E1055,E1055)=1),MAX($Q$5:Q1054)+1,"")</f>
        <v/>
      </c>
      <c r="R1055" t="str">
        <f t="shared" si="33"/>
        <v/>
      </c>
    </row>
    <row r="1056" spans="1:18" ht="22.95" customHeight="1">
      <c r="A1056" t="s">
        <v>2837</v>
      </c>
      <c r="B1056" t="s">
        <v>33</v>
      </c>
      <c r="C1056" t="s">
        <v>2103</v>
      </c>
      <c r="D1056" t="s">
        <v>2104</v>
      </c>
      <c r="E1056" t="s">
        <v>2984</v>
      </c>
      <c r="F1056">
        <v>1</v>
      </c>
      <c r="G1056" t="s">
        <v>92</v>
      </c>
      <c r="I1056" t="s">
        <v>2985</v>
      </c>
      <c r="K1056" t="s">
        <v>2986</v>
      </c>
      <c r="L1056" t="s">
        <v>2983</v>
      </c>
      <c r="M1056" t="s">
        <v>73</v>
      </c>
      <c r="P1056">
        <f t="shared" si="32"/>
        <v>1</v>
      </c>
      <c r="Q1056" t="str">
        <f>IF(AND(P1056&gt;1,COUNTIF($E$6:E1056,E1056)=1),MAX($Q$5:Q1055)+1,"")</f>
        <v/>
      </c>
      <c r="R1056" t="str">
        <f t="shared" si="33"/>
        <v/>
      </c>
    </row>
    <row r="1057" spans="1:18" ht="22.95" customHeight="1">
      <c r="A1057" t="s">
        <v>2837</v>
      </c>
      <c r="B1057" t="s">
        <v>33</v>
      </c>
      <c r="C1057" t="s">
        <v>2103</v>
      </c>
      <c r="D1057" t="s">
        <v>2104</v>
      </c>
      <c r="E1057" t="s">
        <v>2987</v>
      </c>
      <c r="F1057">
        <v>1</v>
      </c>
      <c r="G1057" t="s">
        <v>92</v>
      </c>
      <c r="I1057" t="s">
        <v>2988</v>
      </c>
      <c r="K1057" t="s">
        <v>2854</v>
      </c>
      <c r="L1057" t="s">
        <v>2989</v>
      </c>
      <c r="M1057" t="s">
        <v>73</v>
      </c>
      <c r="P1057">
        <f t="shared" si="32"/>
        <v>1</v>
      </c>
      <c r="Q1057" t="str">
        <f>IF(AND(P1057&gt;1,COUNTIF($E$6:E1057,E1057)=1),MAX($Q$5:Q1056)+1,"")</f>
        <v/>
      </c>
      <c r="R1057" t="str">
        <f t="shared" si="33"/>
        <v/>
      </c>
    </row>
    <row r="1058" spans="1:18" ht="22.95" customHeight="1">
      <c r="A1058" t="s">
        <v>2990</v>
      </c>
      <c r="B1058" t="s">
        <v>20</v>
      </c>
      <c r="C1058" t="s">
        <v>55</v>
      </c>
      <c r="D1058" t="s">
        <v>56</v>
      </c>
      <c r="E1058" t="s">
        <v>2991</v>
      </c>
      <c r="F1058">
        <v>1</v>
      </c>
      <c r="G1058" t="s">
        <v>58</v>
      </c>
      <c r="H1058" t="s">
        <v>2038</v>
      </c>
      <c r="I1058" t="s">
        <v>2992</v>
      </c>
      <c r="K1058" t="s">
        <v>2560</v>
      </c>
      <c r="L1058" t="s">
        <v>2993</v>
      </c>
      <c r="M1058" t="s">
        <v>102</v>
      </c>
      <c r="P1058">
        <f t="shared" si="32"/>
        <v>1</v>
      </c>
      <c r="Q1058" t="str">
        <f>IF(AND(P1058&gt;1,COUNTIF($E$6:E1058,E1058)=1),MAX($Q$5:Q1057)+1,"")</f>
        <v/>
      </c>
      <c r="R1058" t="str">
        <f t="shared" si="33"/>
        <v/>
      </c>
    </row>
    <row r="1059" spans="1:18" ht="22.95" customHeight="1">
      <c r="A1059" t="s">
        <v>2990</v>
      </c>
      <c r="B1059" t="s">
        <v>22</v>
      </c>
      <c r="C1059" t="s">
        <v>779</v>
      </c>
      <c r="D1059" t="s">
        <v>780</v>
      </c>
      <c r="E1059" t="s">
        <v>2994</v>
      </c>
      <c r="F1059">
        <v>1</v>
      </c>
      <c r="G1059" t="s">
        <v>92</v>
      </c>
      <c r="I1059" t="s">
        <v>2995</v>
      </c>
      <c r="J1059" t="s">
        <v>446</v>
      </c>
      <c r="K1059" t="s">
        <v>1371</v>
      </c>
      <c r="L1059" t="s">
        <v>2996</v>
      </c>
      <c r="M1059" t="s">
        <v>102</v>
      </c>
      <c r="P1059">
        <f t="shared" si="32"/>
        <v>1</v>
      </c>
      <c r="Q1059" t="str">
        <f>IF(AND(P1059&gt;1,COUNTIF($E$6:E1059,E1059)=1),MAX($Q$5:Q1058)+1,"")</f>
        <v/>
      </c>
      <c r="R1059" t="str">
        <f t="shared" si="33"/>
        <v/>
      </c>
    </row>
    <row r="1060" spans="1:18" ht="22.95" customHeight="1">
      <c r="A1060" t="s">
        <v>2990</v>
      </c>
      <c r="B1060" t="s">
        <v>22</v>
      </c>
      <c r="C1060" t="s">
        <v>370</v>
      </c>
      <c r="D1060" t="s">
        <v>371</v>
      </c>
      <c r="E1060" t="s">
        <v>2997</v>
      </c>
      <c r="F1060">
        <v>1</v>
      </c>
      <c r="G1060" t="s">
        <v>2998</v>
      </c>
      <c r="H1060" t="s">
        <v>2999</v>
      </c>
      <c r="I1060" t="s">
        <v>3000</v>
      </c>
      <c r="K1060" t="s">
        <v>109</v>
      </c>
      <c r="L1060" t="s">
        <v>3001</v>
      </c>
      <c r="M1060" t="s">
        <v>73</v>
      </c>
      <c r="P1060">
        <f t="shared" si="32"/>
        <v>1</v>
      </c>
      <c r="Q1060" t="str">
        <f>IF(AND(P1060&gt;1,COUNTIF($E$6:E1060,E1060)=1),MAX($Q$5:Q1059)+1,"")</f>
        <v/>
      </c>
      <c r="R1060" t="str">
        <f t="shared" si="33"/>
        <v/>
      </c>
    </row>
    <row r="1061" spans="1:18" ht="22.95" customHeight="1">
      <c r="A1061" t="s">
        <v>2990</v>
      </c>
      <c r="B1061" t="s">
        <v>22</v>
      </c>
      <c r="C1061" t="s">
        <v>370</v>
      </c>
      <c r="D1061" t="s">
        <v>371</v>
      </c>
      <c r="E1061" t="s">
        <v>3002</v>
      </c>
      <c r="F1061">
        <v>1</v>
      </c>
      <c r="G1061" t="s">
        <v>92</v>
      </c>
      <c r="I1061" t="s">
        <v>3003</v>
      </c>
      <c r="K1061" t="s">
        <v>3004</v>
      </c>
      <c r="L1061" t="s">
        <v>3005</v>
      </c>
      <c r="M1061" t="s">
        <v>73</v>
      </c>
      <c r="P1061">
        <f t="shared" si="32"/>
        <v>1</v>
      </c>
      <c r="Q1061" t="str">
        <f>IF(AND(P1061&gt;1,COUNTIF($E$6:E1061,E1061)=1),MAX($Q$5:Q1060)+1,"")</f>
        <v/>
      </c>
      <c r="R1061" t="str">
        <f t="shared" si="33"/>
        <v/>
      </c>
    </row>
    <row r="1062" spans="1:18" ht="22.95" customHeight="1">
      <c r="A1062" t="s">
        <v>2990</v>
      </c>
      <c r="B1062" t="s">
        <v>23</v>
      </c>
      <c r="C1062" t="s">
        <v>103</v>
      </c>
      <c r="D1062" t="s">
        <v>104</v>
      </c>
      <c r="E1062" t="s">
        <v>3006</v>
      </c>
      <c r="F1062">
        <v>1</v>
      </c>
      <c r="G1062" t="s">
        <v>3007</v>
      </c>
      <c r="H1062" t="s">
        <v>3008</v>
      </c>
      <c r="I1062" t="s">
        <v>3009</v>
      </c>
      <c r="K1062" t="s">
        <v>109</v>
      </c>
      <c r="L1062" t="s">
        <v>3010</v>
      </c>
      <c r="M1062" t="s">
        <v>62</v>
      </c>
      <c r="N1062" t="s">
        <v>303</v>
      </c>
      <c r="P1062">
        <f t="shared" si="32"/>
        <v>1</v>
      </c>
      <c r="Q1062" t="str">
        <f>IF(AND(P1062&gt;1,COUNTIF($E$6:E1062,E1062)=1),MAX($Q$5:Q1061)+1,"")</f>
        <v/>
      </c>
      <c r="R1062" t="str">
        <f t="shared" si="33"/>
        <v/>
      </c>
    </row>
    <row r="1063" spans="1:18" ht="22.95" customHeight="1">
      <c r="A1063" t="s">
        <v>2990</v>
      </c>
      <c r="B1063" t="s">
        <v>23</v>
      </c>
      <c r="C1063" t="s">
        <v>103</v>
      </c>
      <c r="D1063" t="s">
        <v>104</v>
      </c>
      <c r="E1063" t="s">
        <v>3011</v>
      </c>
      <c r="F1063">
        <v>1</v>
      </c>
      <c r="G1063" t="s">
        <v>3012</v>
      </c>
      <c r="H1063" t="s">
        <v>3013</v>
      </c>
      <c r="I1063" t="s">
        <v>2556</v>
      </c>
      <c r="K1063" t="s">
        <v>3014</v>
      </c>
      <c r="L1063" t="s">
        <v>3015</v>
      </c>
      <c r="M1063" t="s">
        <v>62</v>
      </c>
      <c r="N1063" t="s">
        <v>1435</v>
      </c>
      <c r="P1063">
        <f t="shared" si="32"/>
        <v>1</v>
      </c>
      <c r="Q1063" t="str">
        <f>IF(AND(P1063&gt;1,COUNTIF($E$6:E1063,E1063)=1),MAX($Q$5:Q1062)+1,"")</f>
        <v/>
      </c>
      <c r="R1063" t="str">
        <f t="shared" si="33"/>
        <v/>
      </c>
    </row>
    <row r="1064" spans="1:18" ht="22.95" customHeight="1">
      <c r="A1064" t="s">
        <v>2990</v>
      </c>
      <c r="B1064" t="s">
        <v>23</v>
      </c>
      <c r="C1064" t="s">
        <v>103</v>
      </c>
      <c r="D1064" t="s">
        <v>104</v>
      </c>
      <c r="E1064" t="s">
        <v>3016</v>
      </c>
      <c r="F1064">
        <v>1</v>
      </c>
      <c r="G1064" t="s">
        <v>3012</v>
      </c>
      <c r="H1064" t="s">
        <v>3013</v>
      </c>
      <c r="I1064" t="s">
        <v>2556</v>
      </c>
      <c r="K1064" t="s">
        <v>3014</v>
      </c>
      <c r="L1064" t="s">
        <v>3015</v>
      </c>
      <c r="M1064" t="s">
        <v>62</v>
      </c>
      <c r="N1064" t="s">
        <v>1435</v>
      </c>
      <c r="P1064">
        <f t="shared" si="32"/>
        <v>1</v>
      </c>
      <c r="Q1064" t="str">
        <f>IF(AND(P1064&gt;1,COUNTIF($E$6:E1064,E1064)=1),MAX($Q$5:Q1063)+1,"")</f>
        <v/>
      </c>
      <c r="R1064" t="str">
        <f t="shared" si="33"/>
        <v/>
      </c>
    </row>
    <row r="1065" spans="1:18" ht="22.95" customHeight="1">
      <c r="A1065" t="s">
        <v>2990</v>
      </c>
      <c r="B1065" t="s">
        <v>23</v>
      </c>
      <c r="C1065" t="s">
        <v>103</v>
      </c>
      <c r="D1065" t="s">
        <v>104</v>
      </c>
      <c r="E1065" t="s">
        <v>3017</v>
      </c>
      <c r="F1065">
        <v>1</v>
      </c>
      <c r="G1065" t="s">
        <v>92</v>
      </c>
      <c r="I1065" t="s">
        <v>3018</v>
      </c>
      <c r="J1065" t="s">
        <v>672</v>
      </c>
      <c r="K1065" t="s">
        <v>109</v>
      </c>
      <c r="L1065" t="s">
        <v>3019</v>
      </c>
      <c r="M1065" t="s">
        <v>102</v>
      </c>
      <c r="P1065">
        <f t="shared" si="32"/>
        <v>1</v>
      </c>
      <c r="Q1065" t="str">
        <f>IF(AND(P1065&gt;1,COUNTIF($E$6:E1065,E1065)=1),MAX($Q$5:Q1064)+1,"")</f>
        <v/>
      </c>
      <c r="R1065" t="str">
        <f t="shared" si="33"/>
        <v/>
      </c>
    </row>
    <row r="1066" spans="1:18" ht="22.95" customHeight="1">
      <c r="A1066" t="s">
        <v>2990</v>
      </c>
      <c r="B1066" t="s">
        <v>25</v>
      </c>
      <c r="C1066" t="s">
        <v>131</v>
      </c>
      <c r="D1066" t="s">
        <v>132</v>
      </c>
      <c r="E1066" t="s">
        <v>3020</v>
      </c>
      <c r="F1066">
        <v>1</v>
      </c>
      <c r="G1066" t="s">
        <v>422</v>
      </c>
      <c r="H1066" t="s">
        <v>312</v>
      </c>
      <c r="I1066" t="s">
        <v>3021</v>
      </c>
      <c r="K1066" t="s">
        <v>3022</v>
      </c>
      <c r="L1066" t="s">
        <v>3023</v>
      </c>
      <c r="M1066" t="s">
        <v>73</v>
      </c>
      <c r="P1066">
        <f t="shared" si="32"/>
        <v>1</v>
      </c>
      <c r="Q1066" t="str">
        <f>IF(AND(P1066&gt;1,COUNTIF($E$6:E1066,E1066)=1),MAX($Q$5:Q1065)+1,"")</f>
        <v/>
      </c>
      <c r="R1066" t="str">
        <f t="shared" si="33"/>
        <v/>
      </c>
    </row>
    <row r="1067" spans="1:18" ht="22.95" customHeight="1">
      <c r="A1067" t="s">
        <v>2990</v>
      </c>
      <c r="B1067" t="s">
        <v>25</v>
      </c>
      <c r="C1067" t="s">
        <v>131</v>
      </c>
      <c r="D1067" t="s">
        <v>132</v>
      </c>
      <c r="E1067" t="s">
        <v>3024</v>
      </c>
      <c r="F1067">
        <v>1</v>
      </c>
      <c r="G1067" t="s">
        <v>422</v>
      </c>
      <c r="H1067" t="s">
        <v>312</v>
      </c>
      <c r="I1067" t="s">
        <v>3021</v>
      </c>
      <c r="K1067" t="s">
        <v>3022</v>
      </c>
      <c r="L1067" t="s">
        <v>3023</v>
      </c>
      <c r="M1067" t="s">
        <v>73</v>
      </c>
      <c r="P1067">
        <f t="shared" si="32"/>
        <v>1</v>
      </c>
      <c r="Q1067" t="str">
        <f>IF(AND(P1067&gt;1,COUNTIF($E$6:E1067,E1067)=1),MAX($Q$5:Q1066)+1,"")</f>
        <v/>
      </c>
      <c r="R1067" t="str">
        <f t="shared" si="33"/>
        <v/>
      </c>
    </row>
    <row r="1068" spans="1:18" ht="22.95" customHeight="1">
      <c r="A1068" t="s">
        <v>2990</v>
      </c>
      <c r="B1068" t="s">
        <v>25</v>
      </c>
      <c r="C1068" t="s">
        <v>131</v>
      </c>
      <c r="D1068" t="s">
        <v>132</v>
      </c>
      <c r="E1068" t="s">
        <v>3025</v>
      </c>
      <c r="F1068">
        <v>1</v>
      </c>
      <c r="G1068" t="s">
        <v>139</v>
      </c>
      <c r="I1068" t="s">
        <v>3026</v>
      </c>
      <c r="K1068" t="s">
        <v>109</v>
      </c>
      <c r="L1068" t="s">
        <v>3027</v>
      </c>
      <c r="M1068" t="s">
        <v>73</v>
      </c>
      <c r="P1068">
        <f t="shared" si="32"/>
        <v>1</v>
      </c>
      <c r="Q1068" t="str">
        <f>IF(AND(P1068&gt;1,COUNTIF($E$6:E1068,E1068)=1),MAX($Q$5:Q1067)+1,"")</f>
        <v/>
      </c>
      <c r="R1068" t="str">
        <f t="shared" si="33"/>
        <v/>
      </c>
    </row>
    <row r="1069" spans="1:18" ht="22.95" customHeight="1">
      <c r="A1069" t="s">
        <v>2990</v>
      </c>
      <c r="B1069" t="s">
        <v>24</v>
      </c>
      <c r="C1069" t="s">
        <v>426</v>
      </c>
      <c r="D1069" t="s">
        <v>427</v>
      </c>
      <c r="E1069" t="s">
        <v>3028</v>
      </c>
      <c r="F1069">
        <v>1</v>
      </c>
      <c r="G1069" t="s">
        <v>3029</v>
      </c>
      <c r="H1069" t="s">
        <v>3030</v>
      </c>
      <c r="I1069" t="s">
        <v>3031</v>
      </c>
      <c r="K1069" t="s">
        <v>78</v>
      </c>
      <c r="L1069" t="s">
        <v>3032</v>
      </c>
      <c r="M1069" t="s">
        <v>62</v>
      </c>
      <c r="N1069" t="s">
        <v>811</v>
      </c>
      <c r="P1069">
        <f t="shared" si="32"/>
        <v>1</v>
      </c>
      <c r="Q1069" t="str">
        <f>IF(AND(P1069&gt;1,COUNTIF($E$6:E1069,E1069)=1),MAX($Q$5:Q1068)+1,"")</f>
        <v/>
      </c>
      <c r="R1069" t="str">
        <f t="shared" si="33"/>
        <v/>
      </c>
    </row>
    <row r="1070" spans="1:18" ht="22.95" customHeight="1">
      <c r="A1070" t="s">
        <v>2990</v>
      </c>
      <c r="B1070" t="s">
        <v>24</v>
      </c>
      <c r="C1070" t="s">
        <v>426</v>
      </c>
      <c r="D1070" t="s">
        <v>427</v>
      </c>
      <c r="E1070" t="s">
        <v>3033</v>
      </c>
      <c r="F1070">
        <v>1</v>
      </c>
      <c r="G1070" t="s">
        <v>3029</v>
      </c>
      <c r="H1070" t="s">
        <v>3030</v>
      </c>
      <c r="I1070" t="s">
        <v>3031</v>
      </c>
      <c r="K1070" t="s">
        <v>78</v>
      </c>
      <c r="L1070" t="s">
        <v>3032</v>
      </c>
      <c r="M1070" t="s">
        <v>62</v>
      </c>
      <c r="N1070" t="s">
        <v>811</v>
      </c>
      <c r="P1070">
        <f t="shared" si="32"/>
        <v>1</v>
      </c>
      <c r="Q1070" t="str">
        <f>IF(AND(P1070&gt;1,COUNTIF($E$6:E1070,E1070)=1),MAX($Q$5:Q1069)+1,"")</f>
        <v/>
      </c>
      <c r="R1070" t="str">
        <f t="shared" si="33"/>
        <v/>
      </c>
    </row>
    <row r="1071" spans="1:18" ht="22.95" customHeight="1">
      <c r="A1071" t="s">
        <v>2990</v>
      </c>
      <c r="B1071" t="s">
        <v>24</v>
      </c>
      <c r="C1071" t="s">
        <v>436</v>
      </c>
      <c r="D1071" t="s">
        <v>437</v>
      </c>
      <c r="E1071" t="s">
        <v>3034</v>
      </c>
      <c r="F1071">
        <v>1</v>
      </c>
      <c r="G1071" t="s">
        <v>92</v>
      </c>
      <c r="I1071" t="s">
        <v>406</v>
      </c>
      <c r="J1071" t="s">
        <v>99</v>
      </c>
      <c r="K1071" t="s">
        <v>408</v>
      </c>
      <c r="L1071" t="s">
        <v>3035</v>
      </c>
      <c r="M1071" t="s">
        <v>102</v>
      </c>
      <c r="P1071">
        <f t="shared" si="32"/>
        <v>1</v>
      </c>
      <c r="Q1071" t="str">
        <f>IF(AND(P1071&gt;1,COUNTIF($E$6:E1071,E1071)=1),MAX($Q$5:Q1070)+1,"")</f>
        <v/>
      </c>
      <c r="R1071" t="str">
        <f t="shared" si="33"/>
        <v/>
      </c>
    </row>
    <row r="1072" spans="1:18" ht="22.95" customHeight="1">
      <c r="A1072" t="s">
        <v>2990</v>
      </c>
      <c r="B1072" t="s">
        <v>24</v>
      </c>
      <c r="C1072" t="s">
        <v>436</v>
      </c>
      <c r="D1072" t="s">
        <v>437</v>
      </c>
      <c r="E1072" t="s">
        <v>3036</v>
      </c>
      <c r="F1072">
        <v>1</v>
      </c>
      <c r="G1072" t="s">
        <v>92</v>
      </c>
      <c r="I1072" t="s">
        <v>408</v>
      </c>
      <c r="J1072" t="s">
        <v>99</v>
      </c>
      <c r="K1072" t="s">
        <v>406</v>
      </c>
      <c r="L1072" t="s">
        <v>3035</v>
      </c>
      <c r="M1072" t="s">
        <v>102</v>
      </c>
      <c r="P1072">
        <f t="shared" si="32"/>
        <v>1</v>
      </c>
      <c r="Q1072" t="str">
        <f>IF(AND(P1072&gt;1,COUNTIF($E$6:E1072,E1072)=1),MAX($Q$5:Q1071)+1,"")</f>
        <v/>
      </c>
      <c r="R1072" t="str">
        <f t="shared" si="33"/>
        <v/>
      </c>
    </row>
    <row r="1073" spans="1:18" ht="22.95" customHeight="1">
      <c r="A1073" t="s">
        <v>2990</v>
      </c>
      <c r="B1073" t="s">
        <v>24</v>
      </c>
      <c r="C1073" t="s">
        <v>136</v>
      </c>
      <c r="D1073" t="s">
        <v>674</v>
      </c>
      <c r="E1073" t="s">
        <v>3037</v>
      </c>
      <c r="F1073">
        <v>1</v>
      </c>
      <c r="G1073" t="s">
        <v>92</v>
      </c>
      <c r="I1073" t="s">
        <v>3038</v>
      </c>
      <c r="K1073" t="s">
        <v>109</v>
      </c>
      <c r="L1073" t="s">
        <v>3039</v>
      </c>
      <c r="M1073" t="s">
        <v>73</v>
      </c>
      <c r="P1073">
        <f t="shared" si="32"/>
        <v>1</v>
      </c>
      <c r="Q1073" t="str">
        <f>IF(AND(P1073&gt;1,COUNTIF($E$6:E1073,E1073)=1),MAX($Q$5:Q1072)+1,"")</f>
        <v/>
      </c>
      <c r="R1073" t="str">
        <f t="shared" si="33"/>
        <v/>
      </c>
    </row>
    <row r="1074" spans="1:18" ht="22.95" customHeight="1">
      <c r="A1074" t="s">
        <v>2990</v>
      </c>
      <c r="B1074" t="s">
        <v>24</v>
      </c>
      <c r="C1074" t="s">
        <v>136</v>
      </c>
      <c r="D1074" t="s">
        <v>674</v>
      </c>
      <c r="E1074" t="s">
        <v>3040</v>
      </c>
      <c r="F1074">
        <v>1</v>
      </c>
      <c r="G1074" t="s">
        <v>92</v>
      </c>
      <c r="I1074" t="s">
        <v>3038</v>
      </c>
      <c r="K1074" t="s">
        <v>109</v>
      </c>
      <c r="L1074" t="s">
        <v>3039</v>
      </c>
      <c r="M1074" t="s">
        <v>73</v>
      </c>
      <c r="P1074">
        <f t="shared" si="32"/>
        <v>1</v>
      </c>
      <c r="Q1074" t="str">
        <f>IF(AND(P1074&gt;1,COUNTIF($E$6:E1074,E1074)=1),MAX($Q$5:Q1073)+1,"")</f>
        <v/>
      </c>
      <c r="R1074" t="str">
        <f t="shared" si="33"/>
        <v/>
      </c>
    </row>
    <row r="1075" spans="1:18" ht="22.95" customHeight="1">
      <c r="A1075" t="s">
        <v>2990</v>
      </c>
      <c r="B1075" t="s">
        <v>24</v>
      </c>
      <c r="C1075" t="s">
        <v>136</v>
      </c>
      <c r="D1075" t="s">
        <v>674</v>
      </c>
      <c r="E1075" t="s">
        <v>3041</v>
      </c>
      <c r="F1075">
        <v>1</v>
      </c>
      <c r="G1075" t="s">
        <v>92</v>
      </c>
      <c r="I1075" t="s">
        <v>3042</v>
      </c>
      <c r="K1075" t="s">
        <v>109</v>
      </c>
      <c r="L1075" t="s">
        <v>3039</v>
      </c>
      <c r="M1075" t="s">
        <v>73</v>
      </c>
      <c r="P1075">
        <f t="shared" si="32"/>
        <v>1</v>
      </c>
      <c r="Q1075" t="str">
        <f>IF(AND(P1075&gt;1,COUNTIF($E$6:E1075,E1075)=1),MAX($Q$5:Q1074)+1,"")</f>
        <v/>
      </c>
      <c r="R1075" t="str">
        <f t="shared" si="33"/>
        <v/>
      </c>
    </row>
    <row r="1076" spans="1:18" ht="22.95" customHeight="1">
      <c r="A1076" t="s">
        <v>2990</v>
      </c>
      <c r="B1076" t="s">
        <v>24</v>
      </c>
      <c r="C1076" t="s">
        <v>136</v>
      </c>
      <c r="D1076" t="s">
        <v>674</v>
      </c>
      <c r="E1076" t="s">
        <v>3043</v>
      </c>
      <c r="F1076">
        <v>1</v>
      </c>
      <c r="G1076" t="s">
        <v>92</v>
      </c>
      <c r="I1076" t="s">
        <v>3042</v>
      </c>
      <c r="K1076" t="s">
        <v>109</v>
      </c>
      <c r="L1076" t="s">
        <v>3039</v>
      </c>
      <c r="M1076" t="s">
        <v>73</v>
      </c>
      <c r="P1076">
        <f t="shared" si="32"/>
        <v>1</v>
      </c>
      <c r="Q1076" t="str">
        <f>IF(AND(P1076&gt;1,COUNTIF($E$6:E1076,E1076)=1),MAX($Q$5:Q1075)+1,"")</f>
        <v/>
      </c>
      <c r="R1076" t="str">
        <f t="shared" si="33"/>
        <v/>
      </c>
    </row>
    <row r="1077" spans="1:18" ht="22.95" customHeight="1">
      <c r="A1077" t="s">
        <v>2990</v>
      </c>
      <c r="B1077" t="s">
        <v>28</v>
      </c>
      <c r="C1077" t="s">
        <v>146</v>
      </c>
      <c r="D1077" t="s">
        <v>147</v>
      </c>
      <c r="E1077" t="s">
        <v>3044</v>
      </c>
      <c r="F1077">
        <v>1</v>
      </c>
      <c r="G1077" t="s">
        <v>3045</v>
      </c>
      <c r="H1077" t="s">
        <v>988</v>
      </c>
      <c r="I1077" t="s">
        <v>3046</v>
      </c>
      <c r="K1077" t="s">
        <v>3047</v>
      </c>
      <c r="L1077" t="s">
        <v>3048</v>
      </c>
      <c r="M1077" t="s">
        <v>62</v>
      </c>
      <c r="N1077" t="s">
        <v>712</v>
      </c>
      <c r="P1077">
        <f t="shared" si="32"/>
        <v>1</v>
      </c>
      <c r="Q1077" t="str">
        <f>IF(AND(P1077&gt;1,COUNTIF($E$6:E1077,E1077)=1),MAX($Q$5:Q1076)+1,"")</f>
        <v/>
      </c>
      <c r="R1077" t="str">
        <f t="shared" si="33"/>
        <v/>
      </c>
    </row>
    <row r="1078" spans="1:18" ht="22.95" customHeight="1">
      <c r="A1078" t="s">
        <v>2990</v>
      </c>
      <c r="B1078" t="s">
        <v>28</v>
      </c>
      <c r="C1078" t="s">
        <v>146</v>
      </c>
      <c r="D1078" t="s">
        <v>147</v>
      </c>
      <c r="E1078" t="s">
        <v>3049</v>
      </c>
      <c r="F1078">
        <v>1</v>
      </c>
      <c r="G1078" t="s">
        <v>92</v>
      </c>
      <c r="I1078" t="s">
        <v>3050</v>
      </c>
      <c r="K1078" t="s">
        <v>109</v>
      </c>
      <c r="L1078" t="s">
        <v>3051</v>
      </c>
      <c r="M1078" t="s">
        <v>73</v>
      </c>
      <c r="P1078">
        <f t="shared" si="32"/>
        <v>1</v>
      </c>
      <c r="Q1078" t="str">
        <f>IF(AND(P1078&gt;1,COUNTIF($E$6:E1078,E1078)=1),MAX($Q$5:Q1077)+1,"")</f>
        <v/>
      </c>
      <c r="R1078" t="str">
        <f t="shared" si="33"/>
        <v/>
      </c>
    </row>
    <row r="1079" spans="1:18" ht="22.95" customHeight="1">
      <c r="A1079" t="s">
        <v>2990</v>
      </c>
      <c r="B1079" t="s">
        <v>28</v>
      </c>
      <c r="C1079" t="s">
        <v>146</v>
      </c>
      <c r="D1079" t="s">
        <v>147</v>
      </c>
      <c r="E1079" t="s">
        <v>3052</v>
      </c>
      <c r="F1079">
        <v>1</v>
      </c>
      <c r="G1079" t="s">
        <v>92</v>
      </c>
      <c r="I1079" t="s">
        <v>3050</v>
      </c>
      <c r="K1079" t="s">
        <v>109</v>
      </c>
      <c r="L1079" t="s">
        <v>3051</v>
      </c>
      <c r="M1079" t="s">
        <v>73</v>
      </c>
      <c r="P1079">
        <f t="shared" si="32"/>
        <v>1</v>
      </c>
      <c r="Q1079" t="str">
        <f>IF(AND(P1079&gt;1,COUNTIF($E$6:E1079,E1079)=1),MAX($Q$5:Q1078)+1,"")</f>
        <v/>
      </c>
      <c r="R1079" t="str">
        <f t="shared" si="33"/>
        <v/>
      </c>
    </row>
    <row r="1080" spans="1:18" ht="22.95" customHeight="1">
      <c r="A1080" t="s">
        <v>2990</v>
      </c>
      <c r="B1080" t="s">
        <v>30</v>
      </c>
      <c r="C1080" t="s">
        <v>180</v>
      </c>
      <c r="D1080" t="s">
        <v>181</v>
      </c>
      <c r="E1080" t="s">
        <v>3053</v>
      </c>
      <c r="F1080">
        <v>1</v>
      </c>
      <c r="G1080" t="s">
        <v>1495</v>
      </c>
      <c r="H1080" t="s">
        <v>3054</v>
      </c>
      <c r="I1080" t="s">
        <v>3055</v>
      </c>
      <c r="K1080" t="s">
        <v>1371</v>
      </c>
      <c r="L1080" t="s">
        <v>3056</v>
      </c>
      <c r="M1080" t="s">
        <v>73</v>
      </c>
      <c r="P1080">
        <f t="shared" si="32"/>
        <v>1</v>
      </c>
      <c r="Q1080" t="str">
        <f>IF(AND(P1080&gt;1,COUNTIF($E$6:E1080,E1080)=1),MAX($Q$5:Q1079)+1,"")</f>
        <v/>
      </c>
      <c r="R1080" t="str">
        <f t="shared" si="33"/>
        <v/>
      </c>
    </row>
    <row r="1081" spans="1:18" ht="22.95" customHeight="1">
      <c r="A1081" t="s">
        <v>2990</v>
      </c>
      <c r="B1081" t="s">
        <v>30</v>
      </c>
      <c r="C1081" t="s">
        <v>180</v>
      </c>
      <c r="D1081" t="s">
        <v>181</v>
      </c>
      <c r="E1081" t="s">
        <v>3057</v>
      </c>
      <c r="F1081">
        <v>1</v>
      </c>
      <c r="G1081" t="s">
        <v>901</v>
      </c>
      <c r="H1081" t="s">
        <v>3058</v>
      </c>
      <c r="I1081" t="s">
        <v>3055</v>
      </c>
      <c r="K1081" t="s">
        <v>1371</v>
      </c>
      <c r="L1081" t="s">
        <v>3056</v>
      </c>
      <c r="M1081" t="s">
        <v>73</v>
      </c>
      <c r="P1081">
        <f t="shared" si="32"/>
        <v>1</v>
      </c>
      <c r="Q1081" t="str">
        <f>IF(AND(P1081&gt;1,COUNTIF($E$6:E1081,E1081)=1),MAX($Q$5:Q1080)+1,"")</f>
        <v/>
      </c>
      <c r="R1081" t="str">
        <f t="shared" si="33"/>
        <v/>
      </c>
    </row>
    <row r="1082" spans="1:18" ht="22.95" customHeight="1">
      <c r="A1082" t="s">
        <v>2990</v>
      </c>
      <c r="B1082" t="s">
        <v>30</v>
      </c>
      <c r="C1082" t="s">
        <v>180</v>
      </c>
      <c r="D1082" t="s">
        <v>181</v>
      </c>
      <c r="E1082" t="s">
        <v>3059</v>
      </c>
      <c r="F1082">
        <v>1</v>
      </c>
      <c r="G1082" t="s">
        <v>702</v>
      </c>
      <c r="H1082" t="s">
        <v>3060</v>
      </c>
      <c r="I1082" t="s">
        <v>3055</v>
      </c>
      <c r="K1082" t="s">
        <v>1371</v>
      </c>
      <c r="L1082" t="s">
        <v>3056</v>
      </c>
      <c r="M1082" t="s">
        <v>73</v>
      </c>
      <c r="P1082">
        <f t="shared" si="32"/>
        <v>1</v>
      </c>
      <c r="Q1082" t="str">
        <f>IF(AND(P1082&gt;1,COUNTIF($E$6:E1082,E1082)=1),MAX($Q$5:Q1081)+1,"")</f>
        <v/>
      </c>
      <c r="R1082" t="str">
        <f t="shared" si="33"/>
        <v/>
      </c>
    </row>
    <row r="1083" spans="1:18" ht="22.95" customHeight="1">
      <c r="A1083" t="s">
        <v>2990</v>
      </c>
      <c r="B1083" t="s">
        <v>30</v>
      </c>
      <c r="C1083" t="s">
        <v>180</v>
      </c>
      <c r="D1083" t="s">
        <v>181</v>
      </c>
      <c r="E1083" t="s">
        <v>3061</v>
      </c>
      <c r="F1083">
        <v>1</v>
      </c>
      <c r="G1083" t="s">
        <v>702</v>
      </c>
      <c r="H1083" t="s">
        <v>3060</v>
      </c>
      <c r="I1083" t="s">
        <v>3055</v>
      </c>
      <c r="K1083" t="s">
        <v>1371</v>
      </c>
      <c r="L1083" t="s">
        <v>3056</v>
      </c>
      <c r="M1083" t="s">
        <v>73</v>
      </c>
      <c r="P1083">
        <f t="shared" si="32"/>
        <v>1</v>
      </c>
      <c r="Q1083" t="str">
        <f>IF(AND(P1083&gt;1,COUNTIF($E$6:E1083,E1083)=1),MAX($Q$5:Q1082)+1,"")</f>
        <v/>
      </c>
      <c r="R1083" t="str">
        <f t="shared" si="33"/>
        <v/>
      </c>
    </row>
    <row r="1084" spans="1:18" ht="22.95" customHeight="1">
      <c r="A1084" t="s">
        <v>2990</v>
      </c>
      <c r="B1084" t="s">
        <v>30</v>
      </c>
      <c r="C1084" t="s">
        <v>180</v>
      </c>
      <c r="D1084" t="s">
        <v>181</v>
      </c>
      <c r="E1084" t="s">
        <v>3062</v>
      </c>
      <c r="F1084">
        <v>1</v>
      </c>
      <c r="G1084" t="s">
        <v>702</v>
      </c>
      <c r="H1084" t="s">
        <v>3060</v>
      </c>
      <c r="I1084" t="s">
        <v>3055</v>
      </c>
      <c r="K1084" t="s">
        <v>1371</v>
      </c>
      <c r="L1084" t="s">
        <v>3056</v>
      </c>
      <c r="M1084" t="s">
        <v>73</v>
      </c>
      <c r="P1084">
        <f t="shared" si="32"/>
        <v>1</v>
      </c>
      <c r="Q1084" t="str">
        <f>IF(AND(P1084&gt;1,COUNTIF($E$6:E1084,E1084)=1),MAX($Q$5:Q1083)+1,"")</f>
        <v/>
      </c>
      <c r="R1084" t="str">
        <f t="shared" si="33"/>
        <v/>
      </c>
    </row>
    <row r="1085" spans="1:18" ht="22.95" customHeight="1">
      <c r="A1085" t="s">
        <v>2990</v>
      </c>
      <c r="B1085" t="s">
        <v>30</v>
      </c>
      <c r="C1085" t="s">
        <v>188</v>
      </c>
      <c r="D1085" t="s">
        <v>189</v>
      </c>
      <c r="E1085" t="s">
        <v>3063</v>
      </c>
      <c r="F1085">
        <v>1</v>
      </c>
      <c r="G1085" t="s">
        <v>1987</v>
      </c>
      <c r="H1085" t="s">
        <v>3064</v>
      </c>
      <c r="I1085" t="s">
        <v>3065</v>
      </c>
      <c r="K1085" t="s">
        <v>109</v>
      </c>
      <c r="L1085" t="s">
        <v>3066</v>
      </c>
      <c r="M1085" t="s">
        <v>73</v>
      </c>
      <c r="P1085">
        <f t="shared" si="32"/>
        <v>1</v>
      </c>
      <c r="Q1085" t="str">
        <f>IF(AND(P1085&gt;1,COUNTIF($E$6:E1085,E1085)=1),MAX($Q$5:Q1084)+1,"")</f>
        <v/>
      </c>
      <c r="R1085" t="str">
        <f t="shared" si="33"/>
        <v/>
      </c>
    </row>
    <row r="1086" spans="1:18" ht="22.95" customHeight="1">
      <c r="A1086" t="s">
        <v>2990</v>
      </c>
      <c r="B1086" t="s">
        <v>30</v>
      </c>
      <c r="C1086" t="s">
        <v>188</v>
      </c>
      <c r="D1086" t="s">
        <v>189</v>
      </c>
      <c r="E1086" t="s">
        <v>3067</v>
      </c>
      <c r="F1086">
        <v>1</v>
      </c>
      <c r="G1086" t="s">
        <v>3068</v>
      </c>
      <c r="H1086" t="s">
        <v>3069</v>
      </c>
      <c r="I1086" t="s">
        <v>3070</v>
      </c>
      <c r="K1086" t="s">
        <v>109</v>
      </c>
      <c r="L1086" t="s">
        <v>3066</v>
      </c>
      <c r="M1086" t="s">
        <v>73</v>
      </c>
      <c r="P1086">
        <f t="shared" si="32"/>
        <v>1</v>
      </c>
      <c r="Q1086" t="str">
        <f>IF(AND(P1086&gt;1,COUNTIF($E$6:E1086,E1086)=1),MAX($Q$5:Q1085)+1,"")</f>
        <v/>
      </c>
      <c r="R1086" t="str">
        <f t="shared" si="33"/>
        <v/>
      </c>
    </row>
    <row r="1087" spans="1:18" ht="22.95" customHeight="1">
      <c r="A1087" t="s">
        <v>2990</v>
      </c>
      <c r="B1087" t="s">
        <v>26</v>
      </c>
      <c r="C1087" t="s">
        <v>196</v>
      </c>
      <c r="D1087" t="s">
        <v>197</v>
      </c>
      <c r="E1087" t="s">
        <v>3071</v>
      </c>
      <c r="F1087">
        <v>1</v>
      </c>
      <c r="G1087" t="s">
        <v>1512</v>
      </c>
      <c r="H1087" t="s">
        <v>301</v>
      </c>
      <c r="I1087" t="s">
        <v>3072</v>
      </c>
      <c r="K1087" t="s">
        <v>1371</v>
      </c>
      <c r="L1087" t="s">
        <v>3073</v>
      </c>
      <c r="M1087" t="s">
        <v>62</v>
      </c>
      <c r="N1087" t="s">
        <v>2126</v>
      </c>
      <c r="P1087">
        <f t="shared" si="32"/>
        <v>1</v>
      </c>
      <c r="Q1087" t="str">
        <f>IF(AND(P1087&gt;1,COUNTIF($E$6:E1087,E1087)=1),MAX($Q$5:Q1086)+1,"")</f>
        <v/>
      </c>
      <c r="R1087" t="str">
        <f t="shared" si="33"/>
        <v/>
      </c>
    </row>
    <row r="1088" spans="1:18" ht="22.95" customHeight="1">
      <c r="A1088" t="s">
        <v>2990</v>
      </c>
      <c r="B1088" t="s">
        <v>26</v>
      </c>
      <c r="C1088" t="s">
        <v>196</v>
      </c>
      <c r="D1088" t="s">
        <v>197</v>
      </c>
      <c r="E1088" t="s">
        <v>3074</v>
      </c>
      <c r="F1088">
        <v>1</v>
      </c>
      <c r="G1088" t="s">
        <v>139</v>
      </c>
      <c r="I1088" t="s">
        <v>879</v>
      </c>
      <c r="K1088" t="s">
        <v>1324</v>
      </c>
      <c r="L1088" t="s">
        <v>3075</v>
      </c>
      <c r="M1088" t="s">
        <v>102</v>
      </c>
      <c r="P1088">
        <f t="shared" si="32"/>
        <v>1</v>
      </c>
      <c r="Q1088" t="str">
        <f>IF(AND(P1088&gt;1,COUNTIF($E$6:E1088,E1088)=1),MAX($Q$5:Q1087)+1,"")</f>
        <v/>
      </c>
      <c r="R1088" t="str">
        <f t="shared" si="33"/>
        <v/>
      </c>
    </row>
    <row r="1089" spans="1:18" ht="22.95" customHeight="1">
      <c r="A1089" t="s">
        <v>2990</v>
      </c>
      <c r="B1089" t="s">
        <v>26</v>
      </c>
      <c r="C1089" t="s">
        <v>196</v>
      </c>
      <c r="D1089" t="s">
        <v>197</v>
      </c>
      <c r="E1089" t="s">
        <v>3076</v>
      </c>
      <c r="F1089">
        <v>1</v>
      </c>
      <c r="G1089" t="s">
        <v>92</v>
      </c>
      <c r="I1089" t="s">
        <v>733</v>
      </c>
      <c r="K1089" t="s">
        <v>2475</v>
      </c>
      <c r="L1089" t="s">
        <v>3077</v>
      </c>
      <c r="M1089" t="s">
        <v>73</v>
      </c>
      <c r="P1089">
        <f t="shared" si="32"/>
        <v>1</v>
      </c>
      <c r="Q1089" t="str">
        <f>IF(AND(P1089&gt;1,COUNTIF($E$6:E1089,E1089)=1),MAX($Q$5:Q1088)+1,"")</f>
        <v/>
      </c>
      <c r="R1089" t="str">
        <f t="shared" si="33"/>
        <v/>
      </c>
    </row>
    <row r="1090" spans="1:18" ht="22.95" customHeight="1">
      <c r="A1090" t="s">
        <v>2990</v>
      </c>
      <c r="B1090" t="s">
        <v>33</v>
      </c>
      <c r="C1090" t="s">
        <v>2088</v>
      </c>
      <c r="D1090" t="s">
        <v>660</v>
      </c>
      <c r="E1090" t="s">
        <v>3078</v>
      </c>
      <c r="F1090">
        <v>1</v>
      </c>
      <c r="G1090" t="s">
        <v>92</v>
      </c>
      <c r="I1090" t="s">
        <v>3079</v>
      </c>
      <c r="K1090" t="s">
        <v>109</v>
      </c>
      <c r="L1090" t="s">
        <v>3080</v>
      </c>
      <c r="M1090" t="s">
        <v>73</v>
      </c>
      <c r="P1090">
        <f t="shared" si="32"/>
        <v>1</v>
      </c>
      <c r="Q1090" t="str">
        <f>IF(AND(P1090&gt;1,COUNTIF($E$6:E1090,E1090)=1),MAX($Q$5:Q1089)+1,"")</f>
        <v/>
      </c>
      <c r="R1090" t="str">
        <f t="shared" si="33"/>
        <v/>
      </c>
    </row>
    <row r="1091" spans="1:18" ht="22.95" customHeight="1">
      <c r="A1091" t="s">
        <v>2990</v>
      </c>
      <c r="B1091" t="s">
        <v>33</v>
      </c>
      <c r="C1091" t="s">
        <v>2088</v>
      </c>
      <c r="D1091" t="s">
        <v>660</v>
      </c>
      <c r="E1091" t="s">
        <v>3081</v>
      </c>
      <c r="F1091">
        <v>1</v>
      </c>
      <c r="G1091" t="s">
        <v>92</v>
      </c>
      <c r="I1091" t="s">
        <v>3082</v>
      </c>
      <c r="K1091" t="s">
        <v>2556</v>
      </c>
      <c r="L1091" t="s">
        <v>3083</v>
      </c>
      <c r="M1091" t="s">
        <v>73</v>
      </c>
      <c r="P1091">
        <f t="shared" si="32"/>
        <v>1</v>
      </c>
      <c r="Q1091" t="str">
        <f>IF(AND(P1091&gt;1,COUNTIF($E$6:E1091,E1091)=1),MAX($Q$5:Q1090)+1,"")</f>
        <v/>
      </c>
      <c r="R1091" t="str">
        <f t="shared" si="33"/>
        <v/>
      </c>
    </row>
    <row r="1092" spans="1:18" ht="22.95" customHeight="1">
      <c r="A1092" t="s">
        <v>2990</v>
      </c>
      <c r="B1092" t="s">
        <v>33</v>
      </c>
      <c r="C1092" t="s">
        <v>2314</v>
      </c>
      <c r="D1092" t="s">
        <v>2315</v>
      </c>
      <c r="E1092" t="s">
        <v>3084</v>
      </c>
      <c r="F1092">
        <v>1</v>
      </c>
      <c r="G1092" t="s">
        <v>3085</v>
      </c>
      <c r="H1092" t="s">
        <v>3086</v>
      </c>
      <c r="I1092" t="s">
        <v>3087</v>
      </c>
      <c r="K1092" t="s">
        <v>109</v>
      </c>
      <c r="L1092" t="s">
        <v>3088</v>
      </c>
      <c r="M1092" t="s">
        <v>62</v>
      </c>
      <c r="N1092" t="s">
        <v>130</v>
      </c>
      <c r="P1092">
        <f t="shared" si="32"/>
        <v>1</v>
      </c>
      <c r="Q1092" t="str">
        <f>IF(AND(P1092&gt;1,COUNTIF($E$6:E1092,E1092)=1),MAX($Q$5:Q1091)+1,"")</f>
        <v/>
      </c>
      <c r="R1092" t="str">
        <f t="shared" si="33"/>
        <v/>
      </c>
    </row>
    <row r="1093" spans="1:18" ht="22.95" customHeight="1">
      <c r="A1093" t="s">
        <v>2990</v>
      </c>
      <c r="B1093" t="s">
        <v>33</v>
      </c>
      <c r="C1093" t="s">
        <v>2314</v>
      </c>
      <c r="D1093" t="s">
        <v>2897</v>
      </c>
      <c r="E1093" t="s">
        <v>3089</v>
      </c>
      <c r="F1093">
        <v>1</v>
      </c>
      <c r="G1093" t="s">
        <v>3085</v>
      </c>
      <c r="H1093" t="s">
        <v>3086</v>
      </c>
      <c r="I1093" t="s">
        <v>3087</v>
      </c>
      <c r="K1093" t="s">
        <v>109</v>
      </c>
      <c r="L1093" t="s">
        <v>3090</v>
      </c>
      <c r="M1093" t="s">
        <v>62</v>
      </c>
      <c r="N1093" t="s">
        <v>130</v>
      </c>
      <c r="P1093">
        <f t="shared" si="32"/>
        <v>1</v>
      </c>
      <c r="Q1093" t="str">
        <f>IF(AND(P1093&gt;1,COUNTIF($E$6:E1093,E1093)=1),MAX($Q$5:Q1092)+1,"")</f>
        <v/>
      </c>
      <c r="R1093" t="str">
        <f t="shared" si="33"/>
        <v/>
      </c>
    </row>
    <row r="1094" spans="1:18" ht="22.95" customHeight="1">
      <c r="A1094" t="s">
        <v>2990</v>
      </c>
      <c r="B1094" t="s">
        <v>33</v>
      </c>
      <c r="C1094" t="s">
        <v>2314</v>
      </c>
      <c r="D1094" t="s">
        <v>2897</v>
      </c>
      <c r="E1094" t="s">
        <v>3091</v>
      </c>
      <c r="F1094">
        <v>1</v>
      </c>
      <c r="G1094" t="s">
        <v>3085</v>
      </c>
      <c r="H1094" t="s">
        <v>3086</v>
      </c>
      <c r="I1094" t="s">
        <v>3087</v>
      </c>
      <c r="K1094" t="s">
        <v>109</v>
      </c>
      <c r="L1094" t="s">
        <v>3090</v>
      </c>
      <c r="M1094" t="s">
        <v>62</v>
      </c>
      <c r="N1094" t="s">
        <v>130</v>
      </c>
      <c r="P1094">
        <f t="shared" ref="P1094:P1157" si="34">COUNTIF($E$6:$E$1740,E1094)</f>
        <v>1</v>
      </c>
      <c r="Q1094" t="str">
        <f>IF(AND(P1094&gt;1,COUNTIF($E$6:E1094,E1094)=1),MAX($Q$5:Q1093)+1,"")</f>
        <v/>
      </c>
      <c r="R1094" t="str">
        <f t="shared" ref="R1094:R1157" si="35">IF(Q1094="","",IF(COUNTIFS($E$6:$E$1740,E1094,$A$6:$A$1740,A1094,$C$6:$C$1740,C1094)&lt;P1094,"LÉGITIME",IF(COUNTIFS($E$6:$E$1740,E1094,$A$6:$A$1740,A1094,$C$6:$C$1740,C1094,$M$6:$M$1740,M1094)&lt;P1094,"STATUT DIFFÉRENT","VRAI DOUBLON")))</f>
        <v/>
      </c>
    </row>
    <row r="1095" spans="1:18" ht="22.95" customHeight="1">
      <c r="A1095" t="s">
        <v>2990</v>
      </c>
      <c r="B1095" t="s">
        <v>33</v>
      </c>
      <c r="C1095" t="s">
        <v>2314</v>
      </c>
      <c r="D1095" t="s">
        <v>2897</v>
      </c>
      <c r="E1095" t="s">
        <v>3092</v>
      </c>
      <c r="F1095">
        <v>1</v>
      </c>
      <c r="G1095" t="s">
        <v>3085</v>
      </c>
      <c r="H1095" t="s">
        <v>3086</v>
      </c>
      <c r="I1095" t="s">
        <v>140</v>
      </c>
      <c r="K1095" t="s">
        <v>3093</v>
      </c>
      <c r="L1095" t="s">
        <v>3094</v>
      </c>
      <c r="M1095" t="s">
        <v>62</v>
      </c>
      <c r="N1095" t="s">
        <v>130</v>
      </c>
      <c r="P1095">
        <f t="shared" si="34"/>
        <v>1</v>
      </c>
      <c r="Q1095" t="str">
        <f>IF(AND(P1095&gt;1,COUNTIF($E$6:E1095,E1095)=1),MAX($Q$5:Q1094)+1,"")</f>
        <v/>
      </c>
      <c r="R1095" t="str">
        <f t="shared" si="35"/>
        <v/>
      </c>
    </row>
    <row r="1096" spans="1:18" ht="22.95" customHeight="1">
      <c r="A1096" t="s">
        <v>2990</v>
      </c>
      <c r="B1096" t="s">
        <v>33</v>
      </c>
      <c r="C1096" t="s">
        <v>2103</v>
      </c>
      <c r="D1096" t="s">
        <v>2897</v>
      </c>
      <c r="E1096" t="s">
        <v>3095</v>
      </c>
      <c r="F1096">
        <v>1</v>
      </c>
      <c r="G1096" t="s">
        <v>92</v>
      </c>
      <c r="I1096" t="s">
        <v>140</v>
      </c>
      <c r="J1096" t="s">
        <v>446</v>
      </c>
      <c r="K1096" t="s">
        <v>3096</v>
      </c>
      <c r="L1096" t="s">
        <v>3097</v>
      </c>
      <c r="M1096" t="s">
        <v>102</v>
      </c>
      <c r="P1096">
        <f t="shared" si="34"/>
        <v>1</v>
      </c>
      <c r="Q1096" t="str">
        <f>IF(AND(P1096&gt;1,COUNTIF($E$6:E1096,E1096)=1),MAX($Q$5:Q1095)+1,"")</f>
        <v/>
      </c>
      <c r="R1096" t="str">
        <f t="shared" si="35"/>
        <v/>
      </c>
    </row>
    <row r="1097" spans="1:18" ht="22.95" customHeight="1">
      <c r="A1097" t="s">
        <v>2990</v>
      </c>
      <c r="B1097" t="s">
        <v>33</v>
      </c>
      <c r="C1097" t="s">
        <v>2103</v>
      </c>
      <c r="D1097" t="s">
        <v>2897</v>
      </c>
      <c r="E1097" t="s">
        <v>3098</v>
      </c>
      <c r="F1097">
        <v>1</v>
      </c>
      <c r="G1097" t="s">
        <v>92</v>
      </c>
      <c r="I1097" t="s">
        <v>140</v>
      </c>
      <c r="J1097" t="s">
        <v>446</v>
      </c>
      <c r="K1097" t="s">
        <v>3099</v>
      </c>
      <c r="L1097" t="s">
        <v>3097</v>
      </c>
      <c r="M1097" t="s">
        <v>102</v>
      </c>
      <c r="P1097">
        <f t="shared" si="34"/>
        <v>1</v>
      </c>
      <c r="Q1097" t="str">
        <f>IF(AND(P1097&gt;1,COUNTIF($E$6:E1097,E1097)=1),MAX($Q$5:Q1096)+1,"")</f>
        <v/>
      </c>
      <c r="R1097" t="str">
        <f t="shared" si="35"/>
        <v/>
      </c>
    </row>
    <row r="1098" spans="1:18" ht="22.95" customHeight="1">
      <c r="A1098" t="s">
        <v>2990</v>
      </c>
      <c r="B1098" t="s">
        <v>33</v>
      </c>
      <c r="C1098" t="s">
        <v>2314</v>
      </c>
      <c r="D1098" t="s">
        <v>2897</v>
      </c>
      <c r="E1098" t="s">
        <v>3100</v>
      </c>
      <c r="F1098">
        <v>1</v>
      </c>
      <c r="G1098" t="s">
        <v>92</v>
      </c>
      <c r="I1098" t="s">
        <v>1123</v>
      </c>
      <c r="K1098" t="s">
        <v>109</v>
      </c>
      <c r="L1098" t="s">
        <v>3101</v>
      </c>
      <c r="M1098" t="s">
        <v>102</v>
      </c>
      <c r="P1098">
        <f t="shared" si="34"/>
        <v>1</v>
      </c>
      <c r="Q1098" t="str">
        <f>IF(AND(P1098&gt;1,COUNTIF($E$6:E1098,E1098)=1),MAX($Q$5:Q1097)+1,"")</f>
        <v/>
      </c>
      <c r="R1098" t="str">
        <f t="shared" si="35"/>
        <v/>
      </c>
    </row>
    <row r="1099" spans="1:18" ht="22.95" customHeight="1">
      <c r="A1099" t="s">
        <v>2990</v>
      </c>
      <c r="B1099" t="s">
        <v>33</v>
      </c>
      <c r="C1099" t="s">
        <v>2314</v>
      </c>
      <c r="D1099" t="s">
        <v>2897</v>
      </c>
      <c r="E1099" t="s">
        <v>3102</v>
      </c>
      <c r="F1099">
        <v>1</v>
      </c>
      <c r="G1099" t="s">
        <v>92</v>
      </c>
      <c r="I1099" t="s">
        <v>1123</v>
      </c>
      <c r="K1099" t="s">
        <v>109</v>
      </c>
      <c r="L1099" t="s">
        <v>3101</v>
      </c>
      <c r="M1099" t="s">
        <v>102</v>
      </c>
      <c r="P1099">
        <f t="shared" si="34"/>
        <v>1</v>
      </c>
      <c r="Q1099" t="str">
        <f>IF(AND(P1099&gt;1,COUNTIF($E$6:E1099,E1099)=1),MAX($Q$5:Q1098)+1,"")</f>
        <v/>
      </c>
      <c r="R1099" t="str">
        <f t="shared" si="35"/>
        <v/>
      </c>
    </row>
    <row r="1100" spans="1:18" ht="22.95" customHeight="1">
      <c r="A1100" t="s">
        <v>2990</v>
      </c>
      <c r="B1100" t="s">
        <v>33</v>
      </c>
      <c r="C1100" t="s">
        <v>2314</v>
      </c>
      <c r="D1100" t="s">
        <v>2897</v>
      </c>
      <c r="E1100" t="s">
        <v>3103</v>
      </c>
      <c r="F1100">
        <v>1</v>
      </c>
      <c r="G1100" t="s">
        <v>92</v>
      </c>
      <c r="I1100" t="s">
        <v>1123</v>
      </c>
      <c r="K1100" t="s">
        <v>109</v>
      </c>
      <c r="L1100" t="s">
        <v>3101</v>
      </c>
      <c r="M1100" t="s">
        <v>102</v>
      </c>
      <c r="P1100">
        <f t="shared" si="34"/>
        <v>1</v>
      </c>
      <c r="Q1100" t="str">
        <f>IF(AND(P1100&gt;1,COUNTIF($E$6:E1100,E1100)=1),MAX($Q$5:Q1099)+1,"")</f>
        <v/>
      </c>
      <c r="R1100" t="str">
        <f t="shared" si="35"/>
        <v/>
      </c>
    </row>
    <row r="1101" spans="1:18" ht="22.95" customHeight="1">
      <c r="A1101" t="s">
        <v>2990</v>
      </c>
      <c r="B1101" t="s">
        <v>33</v>
      </c>
      <c r="C1101" t="s">
        <v>2314</v>
      </c>
      <c r="D1101" t="s">
        <v>2897</v>
      </c>
      <c r="E1101" t="s">
        <v>3104</v>
      </c>
      <c r="F1101">
        <v>1</v>
      </c>
      <c r="G1101" t="s">
        <v>92</v>
      </c>
      <c r="I1101" t="s">
        <v>1123</v>
      </c>
      <c r="K1101" t="s">
        <v>109</v>
      </c>
      <c r="L1101" t="s">
        <v>3101</v>
      </c>
      <c r="M1101" t="s">
        <v>102</v>
      </c>
      <c r="P1101">
        <f t="shared" si="34"/>
        <v>1</v>
      </c>
      <c r="Q1101" t="str">
        <f>IF(AND(P1101&gt;1,COUNTIF($E$6:E1101,E1101)=1),MAX($Q$5:Q1100)+1,"")</f>
        <v/>
      </c>
      <c r="R1101" t="str">
        <f t="shared" si="35"/>
        <v/>
      </c>
    </row>
    <row r="1102" spans="1:18" ht="22.95" customHeight="1">
      <c r="A1102" t="s">
        <v>2990</v>
      </c>
      <c r="B1102" t="s">
        <v>33</v>
      </c>
      <c r="C1102" t="s">
        <v>2314</v>
      </c>
      <c r="D1102" t="s">
        <v>2897</v>
      </c>
      <c r="E1102" t="s">
        <v>3105</v>
      </c>
      <c r="F1102">
        <v>1</v>
      </c>
      <c r="G1102" t="s">
        <v>92</v>
      </c>
      <c r="I1102" t="s">
        <v>1123</v>
      </c>
      <c r="K1102" t="s">
        <v>109</v>
      </c>
      <c r="L1102" t="s">
        <v>3101</v>
      </c>
      <c r="M1102" t="s">
        <v>102</v>
      </c>
      <c r="P1102">
        <f t="shared" si="34"/>
        <v>1</v>
      </c>
      <c r="Q1102" t="str">
        <f>IF(AND(P1102&gt;1,COUNTIF($E$6:E1102,E1102)=1),MAX($Q$5:Q1101)+1,"")</f>
        <v/>
      </c>
      <c r="R1102" t="str">
        <f t="shared" si="35"/>
        <v/>
      </c>
    </row>
    <row r="1103" spans="1:18" ht="22.95" customHeight="1">
      <c r="A1103" t="s">
        <v>2990</v>
      </c>
      <c r="B1103" t="s">
        <v>33</v>
      </c>
      <c r="C1103" t="s">
        <v>2314</v>
      </c>
      <c r="D1103" t="s">
        <v>2897</v>
      </c>
      <c r="E1103" t="s">
        <v>3106</v>
      </c>
      <c r="F1103">
        <v>1</v>
      </c>
      <c r="G1103" t="s">
        <v>92</v>
      </c>
      <c r="I1103" t="s">
        <v>1123</v>
      </c>
      <c r="K1103" t="s">
        <v>109</v>
      </c>
      <c r="L1103" t="s">
        <v>3101</v>
      </c>
      <c r="M1103" t="s">
        <v>102</v>
      </c>
      <c r="P1103">
        <f t="shared" si="34"/>
        <v>1</v>
      </c>
      <c r="Q1103" t="str">
        <f>IF(AND(P1103&gt;1,COUNTIF($E$6:E1103,E1103)=1),MAX($Q$5:Q1102)+1,"")</f>
        <v/>
      </c>
      <c r="R1103" t="str">
        <f t="shared" si="35"/>
        <v/>
      </c>
    </row>
    <row r="1104" spans="1:18" ht="22.95" customHeight="1">
      <c r="A1104" t="s">
        <v>2990</v>
      </c>
      <c r="B1104" t="s">
        <v>33</v>
      </c>
      <c r="C1104" t="s">
        <v>2314</v>
      </c>
      <c r="D1104" t="s">
        <v>2897</v>
      </c>
      <c r="E1104" t="s">
        <v>3107</v>
      </c>
      <c r="F1104">
        <v>1</v>
      </c>
      <c r="G1104" t="s">
        <v>92</v>
      </c>
      <c r="I1104" t="s">
        <v>1123</v>
      </c>
      <c r="K1104" t="s">
        <v>109</v>
      </c>
      <c r="L1104" t="s">
        <v>3101</v>
      </c>
      <c r="M1104" t="s">
        <v>102</v>
      </c>
      <c r="P1104">
        <f t="shared" si="34"/>
        <v>1</v>
      </c>
      <c r="Q1104" t="str">
        <f>IF(AND(P1104&gt;1,COUNTIF($E$6:E1104,E1104)=1),MAX($Q$5:Q1103)+1,"")</f>
        <v/>
      </c>
      <c r="R1104" t="str">
        <f t="shared" si="35"/>
        <v/>
      </c>
    </row>
    <row r="1105" spans="1:18" ht="22.95" customHeight="1">
      <c r="A1105" t="s">
        <v>2990</v>
      </c>
      <c r="B1105" t="s">
        <v>33</v>
      </c>
      <c r="C1105" t="s">
        <v>2314</v>
      </c>
      <c r="D1105" t="s">
        <v>2897</v>
      </c>
      <c r="E1105" t="s">
        <v>3108</v>
      </c>
      <c r="F1105">
        <v>1</v>
      </c>
      <c r="G1105" t="s">
        <v>92</v>
      </c>
      <c r="I1105" t="s">
        <v>1123</v>
      </c>
      <c r="K1105" t="s">
        <v>109</v>
      </c>
      <c r="L1105" t="s">
        <v>3101</v>
      </c>
      <c r="M1105" t="s">
        <v>102</v>
      </c>
      <c r="P1105">
        <f t="shared" si="34"/>
        <v>1</v>
      </c>
      <c r="Q1105" t="str">
        <f>IF(AND(P1105&gt;1,COUNTIF($E$6:E1105,E1105)=1),MAX($Q$5:Q1104)+1,"")</f>
        <v/>
      </c>
      <c r="R1105" t="str">
        <f t="shared" si="35"/>
        <v/>
      </c>
    </row>
    <row r="1106" spans="1:18" ht="22.95" customHeight="1">
      <c r="A1106" t="s">
        <v>2990</v>
      </c>
      <c r="B1106" t="s">
        <v>33</v>
      </c>
      <c r="C1106" t="s">
        <v>2314</v>
      </c>
      <c r="D1106" t="s">
        <v>2897</v>
      </c>
      <c r="E1106" t="s">
        <v>3109</v>
      </c>
      <c r="F1106">
        <v>1</v>
      </c>
      <c r="G1106" t="s">
        <v>92</v>
      </c>
      <c r="I1106" t="s">
        <v>1123</v>
      </c>
      <c r="K1106" t="s">
        <v>109</v>
      </c>
      <c r="L1106" t="s">
        <v>3101</v>
      </c>
      <c r="M1106" t="s">
        <v>102</v>
      </c>
      <c r="P1106">
        <f t="shared" si="34"/>
        <v>1</v>
      </c>
      <c r="Q1106" t="str">
        <f>IF(AND(P1106&gt;1,COUNTIF($E$6:E1106,E1106)=1),MAX($Q$5:Q1105)+1,"")</f>
        <v/>
      </c>
      <c r="R1106" t="str">
        <f t="shared" si="35"/>
        <v/>
      </c>
    </row>
    <row r="1107" spans="1:18" ht="22.95" customHeight="1">
      <c r="A1107" t="s">
        <v>2990</v>
      </c>
      <c r="B1107" t="s">
        <v>32</v>
      </c>
      <c r="C1107" t="s">
        <v>200</v>
      </c>
      <c r="D1107" t="s">
        <v>201</v>
      </c>
      <c r="E1107" t="s">
        <v>3110</v>
      </c>
      <c r="F1107">
        <v>1</v>
      </c>
      <c r="G1107" t="s">
        <v>92</v>
      </c>
      <c r="I1107" t="s">
        <v>3111</v>
      </c>
      <c r="J1107" t="s">
        <v>446</v>
      </c>
      <c r="K1107" t="s">
        <v>109</v>
      </c>
      <c r="L1107" t="s">
        <v>3112</v>
      </c>
      <c r="M1107" t="s">
        <v>102</v>
      </c>
      <c r="P1107">
        <f t="shared" si="34"/>
        <v>1</v>
      </c>
      <c r="Q1107" t="str">
        <f>IF(AND(P1107&gt;1,COUNTIF($E$6:E1107,E1107)=1),MAX($Q$5:Q1106)+1,"")</f>
        <v/>
      </c>
      <c r="R1107" t="str">
        <f t="shared" si="35"/>
        <v/>
      </c>
    </row>
    <row r="1108" spans="1:18" ht="22.95" customHeight="1">
      <c r="A1108" t="s">
        <v>3113</v>
      </c>
      <c r="B1108" t="s">
        <v>20</v>
      </c>
      <c r="C1108" t="s">
        <v>65</v>
      </c>
      <c r="D1108" t="s">
        <v>66</v>
      </c>
      <c r="E1108" t="s">
        <v>3114</v>
      </c>
      <c r="F1108">
        <v>1</v>
      </c>
      <c r="G1108" t="s">
        <v>3115</v>
      </c>
      <c r="H1108" t="s">
        <v>3116</v>
      </c>
      <c r="I1108" t="s">
        <v>3117</v>
      </c>
      <c r="K1108" t="s">
        <v>3118</v>
      </c>
      <c r="L1108" t="s">
        <v>3119</v>
      </c>
      <c r="M1108" t="s">
        <v>73</v>
      </c>
      <c r="P1108">
        <f t="shared" si="34"/>
        <v>1</v>
      </c>
      <c r="Q1108" t="str">
        <f>IF(AND(P1108&gt;1,COUNTIF($E$6:E1108,E1108)=1),MAX($Q$5:Q1107)+1,"")</f>
        <v/>
      </c>
      <c r="R1108" t="str">
        <f t="shared" si="35"/>
        <v/>
      </c>
    </row>
    <row r="1109" spans="1:18" ht="22.95" customHeight="1">
      <c r="A1109" t="s">
        <v>3113</v>
      </c>
      <c r="B1109" t="s">
        <v>20</v>
      </c>
      <c r="C1109" t="s">
        <v>65</v>
      </c>
      <c r="D1109" t="s">
        <v>66</v>
      </c>
      <c r="E1109" t="s">
        <v>3120</v>
      </c>
      <c r="F1109">
        <v>1</v>
      </c>
      <c r="G1109" t="s">
        <v>1887</v>
      </c>
      <c r="I1109" t="s">
        <v>140</v>
      </c>
      <c r="K1109" t="s">
        <v>141</v>
      </c>
      <c r="L1109" t="s">
        <v>3121</v>
      </c>
      <c r="M1109" t="s">
        <v>102</v>
      </c>
      <c r="P1109">
        <f t="shared" si="34"/>
        <v>1</v>
      </c>
      <c r="Q1109" t="str">
        <f>IF(AND(P1109&gt;1,COUNTIF($E$6:E1109,E1109)=1),MAX($Q$5:Q1108)+1,"")</f>
        <v/>
      </c>
      <c r="R1109" t="str">
        <f t="shared" si="35"/>
        <v/>
      </c>
    </row>
    <row r="1110" spans="1:18" ht="22.95" customHeight="1">
      <c r="A1110" t="s">
        <v>3113</v>
      </c>
      <c r="B1110" t="s">
        <v>22</v>
      </c>
      <c r="C1110" t="s">
        <v>370</v>
      </c>
      <c r="D1110" t="s">
        <v>371</v>
      </c>
      <c r="E1110" t="s">
        <v>3122</v>
      </c>
      <c r="F1110">
        <v>1</v>
      </c>
      <c r="G1110" t="s">
        <v>92</v>
      </c>
      <c r="I1110" t="s">
        <v>2124</v>
      </c>
      <c r="K1110" t="s">
        <v>1919</v>
      </c>
      <c r="L1110" t="s">
        <v>3123</v>
      </c>
      <c r="M1110" t="s">
        <v>73</v>
      </c>
      <c r="P1110">
        <f t="shared" si="34"/>
        <v>1</v>
      </c>
      <c r="Q1110" t="str">
        <f>IF(AND(P1110&gt;1,COUNTIF($E$6:E1110,E1110)=1),MAX($Q$5:Q1109)+1,"")</f>
        <v/>
      </c>
      <c r="R1110" t="str">
        <f t="shared" si="35"/>
        <v/>
      </c>
    </row>
    <row r="1111" spans="1:18" ht="22.95" customHeight="1">
      <c r="A1111" t="s">
        <v>3113</v>
      </c>
      <c r="B1111" t="s">
        <v>22</v>
      </c>
      <c r="C1111" t="s">
        <v>370</v>
      </c>
      <c r="D1111" t="s">
        <v>371</v>
      </c>
      <c r="E1111" t="s">
        <v>3124</v>
      </c>
      <c r="F1111">
        <v>1</v>
      </c>
      <c r="G1111" t="s">
        <v>92</v>
      </c>
      <c r="I1111" t="s">
        <v>2124</v>
      </c>
      <c r="K1111" t="s">
        <v>1919</v>
      </c>
      <c r="L1111" t="s">
        <v>3123</v>
      </c>
      <c r="M1111" t="s">
        <v>73</v>
      </c>
      <c r="P1111">
        <f t="shared" si="34"/>
        <v>1</v>
      </c>
      <c r="Q1111" t="str">
        <f>IF(AND(P1111&gt;1,COUNTIF($E$6:E1111,E1111)=1),MAX($Q$5:Q1110)+1,"")</f>
        <v/>
      </c>
      <c r="R1111" t="str">
        <f t="shared" si="35"/>
        <v/>
      </c>
    </row>
    <row r="1112" spans="1:18" ht="22.95" customHeight="1">
      <c r="A1112" t="s">
        <v>3113</v>
      </c>
      <c r="B1112" t="s">
        <v>22</v>
      </c>
      <c r="C1112" t="s">
        <v>370</v>
      </c>
      <c r="D1112" t="s">
        <v>371</v>
      </c>
      <c r="E1112" t="s">
        <v>3125</v>
      </c>
      <c r="F1112">
        <v>1</v>
      </c>
      <c r="G1112" t="s">
        <v>3126</v>
      </c>
      <c r="H1112" t="s">
        <v>3127</v>
      </c>
      <c r="I1112" t="s">
        <v>3128</v>
      </c>
      <c r="K1112" t="s">
        <v>78</v>
      </c>
      <c r="L1112" t="s">
        <v>3129</v>
      </c>
      <c r="M1112" t="s">
        <v>73</v>
      </c>
      <c r="P1112">
        <f t="shared" si="34"/>
        <v>1</v>
      </c>
      <c r="Q1112" t="str">
        <f>IF(AND(P1112&gt;1,COUNTIF($E$6:E1112,E1112)=1),MAX($Q$5:Q1111)+1,"")</f>
        <v/>
      </c>
      <c r="R1112" t="str">
        <f t="shared" si="35"/>
        <v/>
      </c>
    </row>
    <row r="1113" spans="1:18" ht="22.95" customHeight="1">
      <c r="A1113" t="s">
        <v>3113</v>
      </c>
      <c r="B1113" t="s">
        <v>23</v>
      </c>
      <c r="C1113" t="s">
        <v>103</v>
      </c>
      <c r="D1113" t="s">
        <v>104</v>
      </c>
      <c r="E1113" t="s">
        <v>3130</v>
      </c>
      <c r="F1113">
        <v>1</v>
      </c>
      <c r="G1113" t="s">
        <v>2782</v>
      </c>
      <c r="H1113" t="s">
        <v>3131</v>
      </c>
      <c r="I1113" t="s">
        <v>3132</v>
      </c>
      <c r="K1113" t="s">
        <v>3133</v>
      </c>
      <c r="L1113" t="s">
        <v>3134</v>
      </c>
      <c r="M1113" t="s">
        <v>73</v>
      </c>
      <c r="P1113">
        <f t="shared" si="34"/>
        <v>1</v>
      </c>
      <c r="Q1113" t="str">
        <f>IF(AND(P1113&gt;1,COUNTIF($E$6:E1113,E1113)=1),MAX($Q$5:Q1112)+1,"")</f>
        <v/>
      </c>
      <c r="R1113" t="str">
        <f t="shared" si="35"/>
        <v/>
      </c>
    </row>
    <row r="1114" spans="1:18" ht="22.95" customHeight="1">
      <c r="A1114" t="s">
        <v>3113</v>
      </c>
      <c r="B1114" t="s">
        <v>23</v>
      </c>
      <c r="C1114" t="s">
        <v>103</v>
      </c>
      <c r="D1114" t="s">
        <v>104</v>
      </c>
      <c r="E1114" t="s">
        <v>3135</v>
      </c>
      <c r="F1114">
        <v>1</v>
      </c>
      <c r="G1114" t="s">
        <v>92</v>
      </c>
      <c r="I1114" t="s">
        <v>3136</v>
      </c>
      <c r="J1114" t="s">
        <v>446</v>
      </c>
      <c r="K1114" t="s">
        <v>109</v>
      </c>
      <c r="L1114" t="s">
        <v>3137</v>
      </c>
      <c r="M1114" t="s">
        <v>102</v>
      </c>
      <c r="P1114">
        <f t="shared" si="34"/>
        <v>1</v>
      </c>
      <c r="Q1114" t="str">
        <f>IF(AND(P1114&gt;1,COUNTIF($E$6:E1114,E1114)=1),MAX($Q$5:Q1113)+1,"")</f>
        <v/>
      </c>
      <c r="R1114" t="str">
        <f t="shared" si="35"/>
        <v/>
      </c>
    </row>
    <row r="1115" spans="1:18" ht="22.95" customHeight="1">
      <c r="A1115" t="s">
        <v>3113</v>
      </c>
      <c r="B1115" t="s">
        <v>25</v>
      </c>
      <c r="C1115" t="s">
        <v>115</v>
      </c>
      <c r="D1115" t="s">
        <v>116</v>
      </c>
      <c r="E1115" t="s">
        <v>3138</v>
      </c>
      <c r="F1115">
        <v>1</v>
      </c>
      <c r="G1115" t="s">
        <v>411</v>
      </c>
      <c r="H1115" t="s">
        <v>409</v>
      </c>
      <c r="I1115" t="s">
        <v>415</v>
      </c>
      <c r="K1115" t="s">
        <v>3022</v>
      </c>
      <c r="L1115" t="s">
        <v>3139</v>
      </c>
      <c r="M1115" t="s">
        <v>73</v>
      </c>
      <c r="P1115">
        <f t="shared" si="34"/>
        <v>1</v>
      </c>
      <c r="Q1115" t="str">
        <f>IF(AND(P1115&gt;1,COUNTIF($E$6:E1115,E1115)=1),MAX($Q$5:Q1114)+1,"")</f>
        <v/>
      </c>
      <c r="R1115" t="str">
        <f t="shared" si="35"/>
        <v/>
      </c>
    </row>
    <row r="1116" spans="1:18" ht="22.95" customHeight="1">
      <c r="A1116" t="s">
        <v>3113</v>
      </c>
      <c r="B1116" t="s">
        <v>25</v>
      </c>
      <c r="C1116" t="s">
        <v>115</v>
      </c>
      <c r="D1116" t="s">
        <v>116</v>
      </c>
      <c r="E1116" t="s">
        <v>3140</v>
      </c>
      <c r="F1116">
        <v>1</v>
      </c>
      <c r="G1116" t="s">
        <v>411</v>
      </c>
      <c r="H1116" t="s">
        <v>409</v>
      </c>
      <c r="I1116" t="s">
        <v>415</v>
      </c>
      <c r="K1116" t="s">
        <v>3022</v>
      </c>
      <c r="L1116" t="s">
        <v>3141</v>
      </c>
      <c r="M1116" t="s">
        <v>73</v>
      </c>
      <c r="P1116">
        <f t="shared" si="34"/>
        <v>1</v>
      </c>
      <c r="Q1116" t="str">
        <f>IF(AND(P1116&gt;1,COUNTIF($E$6:E1116,E1116)=1),MAX($Q$5:Q1115)+1,"")</f>
        <v/>
      </c>
      <c r="R1116" t="str">
        <f t="shared" si="35"/>
        <v/>
      </c>
    </row>
    <row r="1117" spans="1:18" ht="22.95" customHeight="1">
      <c r="A1117" t="s">
        <v>3113</v>
      </c>
      <c r="B1117" t="s">
        <v>25</v>
      </c>
      <c r="C1117" t="s">
        <v>131</v>
      </c>
      <c r="D1117" t="s">
        <v>132</v>
      </c>
      <c r="E1117" t="s">
        <v>3142</v>
      </c>
      <c r="F1117">
        <v>1</v>
      </c>
      <c r="G1117" t="s">
        <v>604</v>
      </c>
      <c r="H1117" t="s">
        <v>3143</v>
      </c>
      <c r="I1117" t="s">
        <v>3144</v>
      </c>
      <c r="K1117" t="s">
        <v>3022</v>
      </c>
      <c r="L1117" t="s">
        <v>3145</v>
      </c>
      <c r="M1117" t="s">
        <v>73</v>
      </c>
      <c r="P1117">
        <f t="shared" si="34"/>
        <v>1</v>
      </c>
      <c r="Q1117" t="str">
        <f>IF(AND(P1117&gt;1,COUNTIF($E$6:E1117,E1117)=1),MAX($Q$5:Q1116)+1,"")</f>
        <v/>
      </c>
      <c r="R1117" t="str">
        <f t="shared" si="35"/>
        <v/>
      </c>
    </row>
    <row r="1118" spans="1:18" ht="22.95" customHeight="1">
      <c r="A1118" t="s">
        <v>3113</v>
      </c>
      <c r="B1118" t="s">
        <v>25</v>
      </c>
      <c r="C1118" t="s">
        <v>131</v>
      </c>
      <c r="D1118" t="s">
        <v>132</v>
      </c>
      <c r="E1118" t="s">
        <v>3146</v>
      </c>
      <c r="F1118">
        <v>1</v>
      </c>
      <c r="G1118" t="s">
        <v>604</v>
      </c>
      <c r="H1118" t="s">
        <v>3143</v>
      </c>
      <c r="I1118" t="s">
        <v>415</v>
      </c>
      <c r="K1118" t="s">
        <v>3022</v>
      </c>
      <c r="L1118" t="s">
        <v>3145</v>
      </c>
      <c r="M1118" t="s">
        <v>73</v>
      </c>
      <c r="P1118">
        <f t="shared" si="34"/>
        <v>1</v>
      </c>
      <c r="Q1118" t="str">
        <f>IF(AND(P1118&gt;1,COUNTIF($E$6:E1118,E1118)=1),MAX($Q$5:Q1117)+1,"")</f>
        <v/>
      </c>
      <c r="R1118" t="str">
        <f t="shared" si="35"/>
        <v/>
      </c>
    </row>
    <row r="1119" spans="1:18" ht="22.95" customHeight="1">
      <c r="A1119" t="s">
        <v>3113</v>
      </c>
      <c r="B1119" t="s">
        <v>24</v>
      </c>
      <c r="C1119" t="s">
        <v>426</v>
      </c>
      <c r="D1119" t="s">
        <v>427</v>
      </c>
      <c r="E1119" t="s">
        <v>3147</v>
      </c>
      <c r="F1119">
        <v>1</v>
      </c>
      <c r="G1119" t="s">
        <v>92</v>
      </c>
      <c r="I1119" t="s">
        <v>3148</v>
      </c>
      <c r="K1119" t="s">
        <v>1371</v>
      </c>
      <c r="L1119" t="s">
        <v>3149</v>
      </c>
      <c r="M1119" t="s">
        <v>62</v>
      </c>
      <c r="N1119" t="s">
        <v>187</v>
      </c>
      <c r="P1119">
        <f t="shared" si="34"/>
        <v>1</v>
      </c>
      <c r="Q1119" t="str">
        <f>IF(AND(P1119&gt;1,COUNTIF($E$6:E1119,E1119)=1),MAX($Q$5:Q1118)+1,"")</f>
        <v/>
      </c>
      <c r="R1119" t="str">
        <f t="shared" si="35"/>
        <v/>
      </c>
    </row>
    <row r="1120" spans="1:18" ht="22.95" customHeight="1">
      <c r="A1120" t="s">
        <v>3113</v>
      </c>
      <c r="B1120" t="s">
        <v>24</v>
      </c>
      <c r="C1120" t="s">
        <v>426</v>
      </c>
      <c r="D1120" t="s">
        <v>427</v>
      </c>
      <c r="E1120" t="s">
        <v>3150</v>
      </c>
      <c r="F1120">
        <v>1</v>
      </c>
      <c r="G1120" t="s">
        <v>92</v>
      </c>
      <c r="I1120" t="s">
        <v>3151</v>
      </c>
      <c r="J1120" t="s">
        <v>99</v>
      </c>
      <c r="K1120" t="s">
        <v>141</v>
      </c>
      <c r="L1120" t="s">
        <v>3152</v>
      </c>
      <c r="M1120" t="s">
        <v>102</v>
      </c>
      <c r="P1120">
        <f t="shared" si="34"/>
        <v>1</v>
      </c>
      <c r="Q1120" t="str">
        <f>IF(AND(P1120&gt;1,COUNTIF($E$6:E1120,E1120)=1),MAX($Q$5:Q1119)+1,"")</f>
        <v/>
      </c>
      <c r="R1120" t="str">
        <f t="shared" si="35"/>
        <v/>
      </c>
    </row>
    <row r="1121" spans="1:18" ht="22.95" customHeight="1">
      <c r="A1121" t="s">
        <v>3113</v>
      </c>
      <c r="B1121" t="s">
        <v>24</v>
      </c>
      <c r="C1121" t="s">
        <v>431</v>
      </c>
      <c r="D1121" t="s">
        <v>216</v>
      </c>
      <c r="E1121" t="s">
        <v>3153</v>
      </c>
      <c r="F1121">
        <v>1</v>
      </c>
      <c r="G1121" t="s">
        <v>92</v>
      </c>
      <c r="I1121" t="s">
        <v>3154</v>
      </c>
      <c r="K1121" t="s">
        <v>109</v>
      </c>
      <c r="L1121" t="s">
        <v>3155</v>
      </c>
      <c r="M1121" t="s">
        <v>73</v>
      </c>
      <c r="P1121">
        <f t="shared" si="34"/>
        <v>1</v>
      </c>
      <c r="Q1121" t="str">
        <f>IF(AND(P1121&gt;1,COUNTIF($E$6:E1121,E1121)=1),MAX($Q$5:Q1120)+1,"")</f>
        <v/>
      </c>
      <c r="R1121" t="str">
        <f t="shared" si="35"/>
        <v/>
      </c>
    </row>
    <row r="1122" spans="1:18" ht="22.95" customHeight="1">
      <c r="A1122" t="s">
        <v>3113</v>
      </c>
      <c r="B1122" t="s">
        <v>24</v>
      </c>
      <c r="C1122" t="s">
        <v>431</v>
      </c>
      <c r="D1122" t="s">
        <v>216</v>
      </c>
      <c r="E1122" t="s">
        <v>3156</v>
      </c>
      <c r="F1122">
        <v>1</v>
      </c>
      <c r="G1122" t="s">
        <v>92</v>
      </c>
      <c r="I1122" t="s">
        <v>3157</v>
      </c>
      <c r="J1122" t="s">
        <v>446</v>
      </c>
      <c r="K1122" t="s">
        <v>109</v>
      </c>
      <c r="L1122" t="s">
        <v>3158</v>
      </c>
      <c r="M1122" t="s">
        <v>102</v>
      </c>
      <c r="P1122">
        <f t="shared" si="34"/>
        <v>1</v>
      </c>
      <c r="Q1122" t="str">
        <f>IF(AND(P1122&gt;1,COUNTIF($E$6:E1122,E1122)=1),MAX($Q$5:Q1121)+1,"")</f>
        <v/>
      </c>
      <c r="R1122" t="str">
        <f t="shared" si="35"/>
        <v/>
      </c>
    </row>
    <row r="1123" spans="1:18" ht="22.95" customHeight="1">
      <c r="A1123" t="s">
        <v>3113</v>
      </c>
      <c r="B1123" t="s">
        <v>24</v>
      </c>
      <c r="C1123" t="s">
        <v>436</v>
      </c>
      <c r="D1123" t="s">
        <v>437</v>
      </c>
      <c r="E1123" t="s">
        <v>3159</v>
      </c>
      <c r="F1123">
        <v>1</v>
      </c>
      <c r="G1123" t="s">
        <v>139</v>
      </c>
      <c r="I1123" t="s">
        <v>3160</v>
      </c>
      <c r="K1123" t="s">
        <v>109</v>
      </c>
      <c r="L1123" t="s">
        <v>3161</v>
      </c>
      <c r="M1123" t="s">
        <v>62</v>
      </c>
      <c r="N1123" t="s">
        <v>63</v>
      </c>
      <c r="P1123">
        <f t="shared" si="34"/>
        <v>1</v>
      </c>
      <c r="Q1123" t="str">
        <f>IF(AND(P1123&gt;1,COUNTIF($E$6:E1123,E1123)=1),MAX($Q$5:Q1122)+1,"")</f>
        <v/>
      </c>
      <c r="R1123" t="str">
        <f t="shared" si="35"/>
        <v/>
      </c>
    </row>
    <row r="1124" spans="1:18" ht="22.95" customHeight="1">
      <c r="A1124" t="s">
        <v>3113</v>
      </c>
      <c r="B1124" t="s">
        <v>24</v>
      </c>
      <c r="C1124" t="s">
        <v>436</v>
      </c>
      <c r="D1124" t="s">
        <v>437</v>
      </c>
      <c r="E1124" t="s">
        <v>3162</v>
      </c>
      <c r="F1124">
        <v>1</v>
      </c>
      <c r="G1124" t="s">
        <v>139</v>
      </c>
      <c r="I1124" t="s">
        <v>3160</v>
      </c>
      <c r="K1124" t="s">
        <v>109</v>
      </c>
      <c r="L1124" t="s">
        <v>3161</v>
      </c>
      <c r="M1124" t="s">
        <v>62</v>
      </c>
      <c r="N1124" t="s">
        <v>63</v>
      </c>
      <c r="P1124">
        <f t="shared" si="34"/>
        <v>1</v>
      </c>
      <c r="Q1124" t="str">
        <f>IF(AND(P1124&gt;1,COUNTIF($E$6:E1124,E1124)=1),MAX($Q$5:Q1123)+1,"")</f>
        <v/>
      </c>
      <c r="R1124" t="str">
        <f t="shared" si="35"/>
        <v/>
      </c>
    </row>
    <row r="1125" spans="1:18" ht="22.95" customHeight="1">
      <c r="A1125" t="s">
        <v>3113</v>
      </c>
      <c r="B1125" t="s">
        <v>24</v>
      </c>
      <c r="C1125" t="s">
        <v>136</v>
      </c>
      <c r="D1125" t="s">
        <v>137</v>
      </c>
      <c r="E1125" t="s">
        <v>3163</v>
      </c>
      <c r="F1125">
        <v>1</v>
      </c>
      <c r="G1125" t="s">
        <v>3164</v>
      </c>
      <c r="H1125" t="s">
        <v>1058</v>
      </c>
      <c r="I1125" t="s">
        <v>112</v>
      </c>
      <c r="K1125" t="s">
        <v>109</v>
      </c>
      <c r="L1125" t="s">
        <v>3165</v>
      </c>
      <c r="M1125" t="s">
        <v>62</v>
      </c>
      <c r="N1125" t="s">
        <v>130</v>
      </c>
      <c r="P1125">
        <f t="shared" si="34"/>
        <v>1</v>
      </c>
      <c r="Q1125" t="str">
        <f>IF(AND(P1125&gt;1,COUNTIF($E$6:E1125,E1125)=1),MAX($Q$5:Q1124)+1,"")</f>
        <v/>
      </c>
      <c r="R1125" t="str">
        <f t="shared" si="35"/>
        <v/>
      </c>
    </row>
    <row r="1126" spans="1:18" ht="22.95" customHeight="1">
      <c r="A1126" t="s">
        <v>3113</v>
      </c>
      <c r="B1126" t="s">
        <v>24</v>
      </c>
      <c r="C1126" t="s">
        <v>136</v>
      </c>
      <c r="D1126" t="s">
        <v>137</v>
      </c>
      <c r="E1126" t="s">
        <v>3166</v>
      </c>
      <c r="F1126">
        <v>1</v>
      </c>
      <c r="G1126" t="s">
        <v>2705</v>
      </c>
      <c r="H1126" t="s">
        <v>3167</v>
      </c>
      <c r="I1126" t="s">
        <v>3168</v>
      </c>
      <c r="K1126" t="s">
        <v>109</v>
      </c>
      <c r="L1126" t="s">
        <v>3169</v>
      </c>
      <c r="M1126" t="s">
        <v>73</v>
      </c>
      <c r="P1126">
        <f t="shared" si="34"/>
        <v>1</v>
      </c>
      <c r="Q1126" t="str">
        <f>IF(AND(P1126&gt;1,COUNTIF($E$6:E1126,E1126)=1),MAX($Q$5:Q1125)+1,"")</f>
        <v/>
      </c>
      <c r="R1126" t="str">
        <f t="shared" si="35"/>
        <v/>
      </c>
    </row>
    <row r="1127" spans="1:18" ht="22.95" customHeight="1">
      <c r="A1127" t="s">
        <v>3113</v>
      </c>
      <c r="B1127" t="s">
        <v>24</v>
      </c>
      <c r="C1127" t="s">
        <v>136</v>
      </c>
      <c r="D1127" t="s">
        <v>137</v>
      </c>
      <c r="E1127" t="s">
        <v>3170</v>
      </c>
      <c r="F1127">
        <v>1</v>
      </c>
      <c r="G1127" t="s">
        <v>92</v>
      </c>
      <c r="I1127" t="s">
        <v>3171</v>
      </c>
      <c r="K1127" t="s">
        <v>109</v>
      </c>
      <c r="L1127" t="s">
        <v>3169</v>
      </c>
      <c r="M1127" t="s">
        <v>73</v>
      </c>
      <c r="P1127">
        <f t="shared" si="34"/>
        <v>1</v>
      </c>
      <c r="Q1127" t="str">
        <f>IF(AND(P1127&gt;1,COUNTIF($E$6:E1127,E1127)=1),MAX($Q$5:Q1126)+1,"")</f>
        <v/>
      </c>
      <c r="R1127" t="str">
        <f t="shared" si="35"/>
        <v/>
      </c>
    </row>
    <row r="1128" spans="1:18" ht="22.95" customHeight="1">
      <c r="A1128" t="s">
        <v>3113</v>
      </c>
      <c r="B1128" t="s">
        <v>24</v>
      </c>
      <c r="C1128" t="s">
        <v>136</v>
      </c>
      <c r="D1128" t="s">
        <v>137</v>
      </c>
      <c r="E1128" t="s">
        <v>3172</v>
      </c>
      <c r="F1128">
        <v>1</v>
      </c>
      <c r="G1128" t="s">
        <v>3173</v>
      </c>
      <c r="H1128" t="s">
        <v>3174</v>
      </c>
      <c r="I1128" t="s">
        <v>3175</v>
      </c>
      <c r="J1128" t="s">
        <v>245</v>
      </c>
      <c r="K1128" t="s">
        <v>3176</v>
      </c>
      <c r="L1128" t="s">
        <v>3177</v>
      </c>
      <c r="M1128" t="s">
        <v>62</v>
      </c>
      <c r="N1128" t="s">
        <v>712</v>
      </c>
      <c r="P1128">
        <f t="shared" si="34"/>
        <v>1</v>
      </c>
      <c r="Q1128" t="str">
        <f>IF(AND(P1128&gt;1,COUNTIF($E$6:E1128,E1128)=1),MAX($Q$5:Q1127)+1,"")</f>
        <v/>
      </c>
      <c r="R1128" t="str">
        <f t="shared" si="35"/>
        <v/>
      </c>
    </row>
    <row r="1129" spans="1:18" ht="22.95" customHeight="1">
      <c r="A1129" t="s">
        <v>3113</v>
      </c>
      <c r="B1129" t="s">
        <v>24</v>
      </c>
      <c r="C1129" t="s">
        <v>136</v>
      </c>
      <c r="D1129" t="s">
        <v>137</v>
      </c>
      <c r="E1129" t="s">
        <v>3178</v>
      </c>
      <c r="F1129">
        <v>1</v>
      </c>
      <c r="G1129" t="s">
        <v>3173</v>
      </c>
      <c r="H1129" t="s">
        <v>3174</v>
      </c>
      <c r="I1129" t="s">
        <v>3175</v>
      </c>
      <c r="J1129" t="s">
        <v>245</v>
      </c>
      <c r="K1129" t="s">
        <v>3176</v>
      </c>
      <c r="L1129" t="s">
        <v>3177</v>
      </c>
      <c r="M1129" t="s">
        <v>62</v>
      </c>
      <c r="N1129" t="s">
        <v>712</v>
      </c>
      <c r="P1129">
        <f t="shared" si="34"/>
        <v>1</v>
      </c>
      <c r="Q1129" t="str">
        <f>IF(AND(P1129&gt;1,COUNTIF($E$6:E1129,E1129)=1),MAX($Q$5:Q1128)+1,"")</f>
        <v/>
      </c>
      <c r="R1129" t="str">
        <f t="shared" si="35"/>
        <v/>
      </c>
    </row>
    <row r="1130" spans="1:18" ht="22.95" customHeight="1">
      <c r="A1130" t="s">
        <v>3113</v>
      </c>
      <c r="B1130" t="s">
        <v>24</v>
      </c>
      <c r="C1130" t="s">
        <v>136</v>
      </c>
      <c r="D1130" t="s">
        <v>137</v>
      </c>
      <c r="E1130" t="s">
        <v>3179</v>
      </c>
      <c r="F1130">
        <v>1</v>
      </c>
      <c r="G1130" t="s">
        <v>92</v>
      </c>
      <c r="I1130" t="s">
        <v>140</v>
      </c>
      <c r="J1130" t="s">
        <v>672</v>
      </c>
      <c r="K1130" t="s">
        <v>141</v>
      </c>
      <c r="L1130" t="s">
        <v>3180</v>
      </c>
      <c r="M1130" t="s">
        <v>102</v>
      </c>
      <c r="P1130">
        <f t="shared" si="34"/>
        <v>1</v>
      </c>
      <c r="Q1130" t="str">
        <f>IF(AND(P1130&gt;1,COUNTIF($E$6:E1130,E1130)=1),MAX($Q$5:Q1129)+1,"")</f>
        <v/>
      </c>
      <c r="R1130" t="str">
        <f t="shared" si="35"/>
        <v/>
      </c>
    </row>
    <row r="1131" spans="1:18" ht="22.95" customHeight="1">
      <c r="A1131" t="s">
        <v>3113</v>
      </c>
      <c r="B1131" t="s">
        <v>28</v>
      </c>
      <c r="C1131" t="s">
        <v>146</v>
      </c>
      <c r="D1131" t="s">
        <v>147</v>
      </c>
      <c r="E1131" t="s">
        <v>3181</v>
      </c>
      <c r="F1131">
        <v>1</v>
      </c>
      <c r="G1131" t="s">
        <v>92</v>
      </c>
      <c r="I1131" t="s">
        <v>3182</v>
      </c>
      <c r="K1131" t="s">
        <v>109</v>
      </c>
      <c r="L1131" t="s">
        <v>3183</v>
      </c>
      <c r="M1131" t="s">
        <v>62</v>
      </c>
      <c r="N1131" t="s">
        <v>187</v>
      </c>
      <c r="P1131">
        <f t="shared" si="34"/>
        <v>1</v>
      </c>
      <c r="Q1131" t="str">
        <f>IF(AND(P1131&gt;1,COUNTIF($E$6:E1131,E1131)=1),MAX($Q$5:Q1130)+1,"")</f>
        <v/>
      </c>
      <c r="R1131" t="str">
        <f t="shared" si="35"/>
        <v/>
      </c>
    </row>
    <row r="1132" spans="1:18" ht="22.95" customHeight="1">
      <c r="A1132" t="s">
        <v>3113</v>
      </c>
      <c r="B1132" t="s">
        <v>28</v>
      </c>
      <c r="C1132" t="s">
        <v>167</v>
      </c>
      <c r="D1132" t="s">
        <v>168</v>
      </c>
      <c r="E1132" t="s">
        <v>3184</v>
      </c>
      <c r="F1132">
        <v>1</v>
      </c>
      <c r="G1132" t="s">
        <v>3185</v>
      </c>
      <c r="H1132" t="s">
        <v>2702</v>
      </c>
      <c r="I1132" t="s">
        <v>3186</v>
      </c>
      <c r="K1132" t="s">
        <v>78</v>
      </c>
      <c r="L1132" t="s">
        <v>3187</v>
      </c>
      <c r="M1132" t="s">
        <v>73</v>
      </c>
      <c r="P1132">
        <f t="shared" si="34"/>
        <v>1</v>
      </c>
      <c r="Q1132" t="str">
        <f>IF(AND(P1132&gt;1,COUNTIF($E$6:E1132,E1132)=1),MAX($Q$5:Q1131)+1,"")</f>
        <v/>
      </c>
      <c r="R1132" t="str">
        <f t="shared" si="35"/>
        <v/>
      </c>
    </row>
    <row r="1133" spans="1:18" ht="22.95" customHeight="1">
      <c r="A1133" t="s">
        <v>3113</v>
      </c>
      <c r="B1133" t="s">
        <v>30</v>
      </c>
      <c r="C1133" t="s">
        <v>180</v>
      </c>
      <c r="D1133" t="s">
        <v>181</v>
      </c>
      <c r="E1133" t="s">
        <v>3188</v>
      </c>
      <c r="F1133">
        <v>1</v>
      </c>
      <c r="G1133" t="s">
        <v>3189</v>
      </c>
      <c r="H1133" t="s">
        <v>3190</v>
      </c>
      <c r="I1133" t="s">
        <v>3191</v>
      </c>
      <c r="K1133" t="s">
        <v>3192</v>
      </c>
      <c r="L1133" t="s">
        <v>3193</v>
      </c>
      <c r="M1133" t="s">
        <v>73</v>
      </c>
      <c r="P1133">
        <f t="shared" si="34"/>
        <v>1</v>
      </c>
      <c r="Q1133" t="str">
        <f>IF(AND(P1133&gt;1,COUNTIF($E$6:E1133,E1133)=1),MAX($Q$5:Q1132)+1,"")</f>
        <v/>
      </c>
      <c r="R1133" t="str">
        <f t="shared" si="35"/>
        <v/>
      </c>
    </row>
    <row r="1134" spans="1:18" ht="22.95" customHeight="1">
      <c r="A1134" t="s">
        <v>3113</v>
      </c>
      <c r="B1134" t="s">
        <v>30</v>
      </c>
      <c r="C1134" t="s">
        <v>180</v>
      </c>
      <c r="D1134" t="s">
        <v>181</v>
      </c>
      <c r="E1134" t="s">
        <v>3194</v>
      </c>
      <c r="F1134">
        <v>1</v>
      </c>
      <c r="G1134" t="s">
        <v>1787</v>
      </c>
      <c r="H1134" t="s">
        <v>3195</v>
      </c>
      <c r="I1134" t="s">
        <v>3196</v>
      </c>
      <c r="K1134" t="s">
        <v>3197</v>
      </c>
      <c r="L1134" t="s">
        <v>3198</v>
      </c>
      <c r="M1134" t="s">
        <v>62</v>
      </c>
      <c r="N1134" t="s">
        <v>520</v>
      </c>
      <c r="P1134">
        <f t="shared" si="34"/>
        <v>1</v>
      </c>
      <c r="Q1134" t="str">
        <f>IF(AND(P1134&gt;1,COUNTIF($E$6:E1134,E1134)=1),MAX($Q$5:Q1133)+1,"")</f>
        <v/>
      </c>
      <c r="R1134" t="str">
        <f t="shared" si="35"/>
        <v/>
      </c>
    </row>
    <row r="1135" spans="1:18" ht="22.95" customHeight="1">
      <c r="A1135" t="s">
        <v>3113</v>
      </c>
      <c r="B1135" t="s">
        <v>30</v>
      </c>
      <c r="C1135" t="s">
        <v>188</v>
      </c>
      <c r="D1135" t="s">
        <v>189</v>
      </c>
      <c r="E1135" t="s">
        <v>3199</v>
      </c>
      <c r="F1135">
        <v>1</v>
      </c>
      <c r="G1135" t="s">
        <v>3200</v>
      </c>
      <c r="H1135" t="s">
        <v>3201</v>
      </c>
      <c r="I1135" t="s">
        <v>3202</v>
      </c>
      <c r="J1135" t="s">
        <v>245</v>
      </c>
      <c r="K1135" t="s">
        <v>3203</v>
      </c>
      <c r="L1135" t="s">
        <v>3204</v>
      </c>
      <c r="M1135" t="s">
        <v>73</v>
      </c>
      <c r="P1135">
        <f t="shared" si="34"/>
        <v>1</v>
      </c>
      <c r="Q1135" t="str">
        <f>IF(AND(P1135&gt;1,COUNTIF($E$6:E1135,E1135)=1),MAX($Q$5:Q1134)+1,"")</f>
        <v/>
      </c>
      <c r="R1135" t="str">
        <f t="shared" si="35"/>
        <v/>
      </c>
    </row>
    <row r="1136" spans="1:18" ht="22.95" customHeight="1">
      <c r="A1136" t="s">
        <v>3113</v>
      </c>
      <c r="B1136" t="s">
        <v>30</v>
      </c>
      <c r="C1136" t="s">
        <v>188</v>
      </c>
      <c r="D1136" t="s">
        <v>189</v>
      </c>
      <c r="E1136" t="s">
        <v>3205</v>
      </c>
      <c r="F1136">
        <v>1</v>
      </c>
      <c r="G1136" t="s">
        <v>3200</v>
      </c>
      <c r="H1136" t="s">
        <v>3201</v>
      </c>
      <c r="I1136" t="s">
        <v>3202</v>
      </c>
      <c r="J1136" t="s">
        <v>245</v>
      </c>
      <c r="K1136" t="s">
        <v>3203</v>
      </c>
      <c r="L1136" t="s">
        <v>3204</v>
      </c>
      <c r="M1136" t="s">
        <v>73</v>
      </c>
      <c r="P1136">
        <f t="shared" si="34"/>
        <v>1</v>
      </c>
      <c r="Q1136" t="str">
        <f>IF(AND(P1136&gt;1,COUNTIF($E$6:E1136,E1136)=1),MAX($Q$5:Q1135)+1,"")</f>
        <v/>
      </c>
      <c r="R1136" t="str">
        <f t="shared" si="35"/>
        <v/>
      </c>
    </row>
    <row r="1137" spans="1:18" ht="22.95" customHeight="1">
      <c r="A1137" t="s">
        <v>3113</v>
      </c>
      <c r="B1137" t="s">
        <v>30</v>
      </c>
      <c r="C1137" t="s">
        <v>188</v>
      </c>
      <c r="D1137" t="s">
        <v>189</v>
      </c>
      <c r="E1137" t="s">
        <v>3206</v>
      </c>
      <c r="F1137">
        <v>1</v>
      </c>
      <c r="G1137" t="s">
        <v>3200</v>
      </c>
      <c r="H1137" t="s">
        <v>3201</v>
      </c>
      <c r="I1137" t="s">
        <v>3207</v>
      </c>
      <c r="J1137" t="s">
        <v>245</v>
      </c>
      <c r="K1137" t="s">
        <v>3203</v>
      </c>
      <c r="L1137" t="s">
        <v>3204</v>
      </c>
      <c r="M1137" t="s">
        <v>73</v>
      </c>
      <c r="P1137">
        <f t="shared" si="34"/>
        <v>1</v>
      </c>
      <c r="Q1137" t="str">
        <f>IF(AND(P1137&gt;1,COUNTIF($E$6:E1137,E1137)=1),MAX($Q$5:Q1136)+1,"")</f>
        <v/>
      </c>
      <c r="R1137" t="str">
        <f t="shared" si="35"/>
        <v/>
      </c>
    </row>
    <row r="1138" spans="1:18" ht="22.95" customHeight="1">
      <c r="A1138" t="s">
        <v>3113</v>
      </c>
      <c r="B1138" t="s">
        <v>30</v>
      </c>
      <c r="C1138" t="s">
        <v>188</v>
      </c>
      <c r="D1138" t="s">
        <v>189</v>
      </c>
      <c r="E1138" t="s">
        <v>3208</v>
      </c>
      <c r="F1138">
        <v>1</v>
      </c>
      <c r="G1138" t="s">
        <v>3200</v>
      </c>
      <c r="H1138" t="s">
        <v>3201</v>
      </c>
      <c r="I1138" t="s">
        <v>3209</v>
      </c>
      <c r="J1138" t="s">
        <v>245</v>
      </c>
      <c r="K1138" t="s">
        <v>3203</v>
      </c>
      <c r="L1138" t="s">
        <v>3204</v>
      </c>
      <c r="M1138" t="s">
        <v>73</v>
      </c>
      <c r="P1138">
        <f t="shared" si="34"/>
        <v>1</v>
      </c>
      <c r="Q1138" t="str">
        <f>IF(AND(P1138&gt;1,COUNTIF($E$6:E1138,E1138)=1),MAX($Q$5:Q1137)+1,"")</f>
        <v/>
      </c>
      <c r="R1138" t="str">
        <f t="shared" si="35"/>
        <v/>
      </c>
    </row>
    <row r="1139" spans="1:18" ht="22.95" customHeight="1">
      <c r="A1139" t="s">
        <v>3113</v>
      </c>
      <c r="B1139" t="s">
        <v>30</v>
      </c>
      <c r="C1139" t="s">
        <v>188</v>
      </c>
      <c r="D1139" t="s">
        <v>189</v>
      </c>
      <c r="E1139" t="s">
        <v>3210</v>
      </c>
      <c r="F1139">
        <v>1</v>
      </c>
      <c r="G1139" t="s">
        <v>3200</v>
      </c>
      <c r="H1139" t="s">
        <v>3201</v>
      </c>
      <c r="I1139" t="s">
        <v>3211</v>
      </c>
      <c r="J1139" t="s">
        <v>245</v>
      </c>
      <c r="K1139" t="s">
        <v>3203</v>
      </c>
      <c r="L1139" t="s">
        <v>3204</v>
      </c>
      <c r="M1139" t="s">
        <v>73</v>
      </c>
      <c r="P1139">
        <f t="shared" si="34"/>
        <v>1</v>
      </c>
      <c r="Q1139" t="str">
        <f>IF(AND(P1139&gt;1,COUNTIF($E$6:E1139,E1139)=1),MAX($Q$5:Q1138)+1,"")</f>
        <v/>
      </c>
      <c r="R1139" t="str">
        <f t="shared" si="35"/>
        <v/>
      </c>
    </row>
    <row r="1140" spans="1:18" ht="22.95" customHeight="1">
      <c r="A1140" t="s">
        <v>3113</v>
      </c>
      <c r="B1140" t="s">
        <v>30</v>
      </c>
      <c r="C1140" t="s">
        <v>188</v>
      </c>
      <c r="D1140" t="s">
        <v>189</v>
      </c>
      <c r="E1140" t="s">
        <v>3212</v>
      </c>
      <c r="F1140">
        <v>1</v>
      </c>
      <c r="G1140" t="s">
        <v>3200</v>
      </c>
      <c r="H1140" t="s">
        <v>3201</v>
      </c>
      <c r="I1140" t="s">
        <v>3213</v>
      </c>
      <c r="J1140" t="s">
        <v>245</v>
      </c>
      <c r="K1140" t="s">
        <v>3203</v>
      </c>
      <c r="L1140" t="s">
        <v>3204</v>
      </c>
      <c r="M1140" t="s">
        <v>73</v>
      </c>
      <c r="P1140">
        <f t="shared" si="34"/>
        <v>1</v>
      </c>
      <c r="Q1140" t="str">
        <f>IF(AND(P1140&gt;1,COUNTIF($E$6:E1140,E1140)=1),MAX($Q$5:Q1139)+1,"")</f>
        <v/>
      </c>
      <c r="R1140" t="str">
        <f t="shared" si="35"/>
        <v/>
      </c>
    </row>
    <row r="1141" spans="1:18" ht="22.95" customHeight="1">
      <c r="A1141" t="s">
        <v>3113</v>
      </c>
      <c r="B1141" t="s">
        <v>30</v>
      </c>
      <c r="C1141" t="s">
        <v>188</v>
      </c>
      <c r="D1141" t="s">
        <v>189</v>
      </c>
      <c r="E1141" t="s">
        <v>3214</v>
      </c>
      <c r="F1141">
        <v>1</v>
      </c>
      <c r="G1141" t="s">
        <v>3200</v>
      </c>
      <c r="H1141" t="s">
        <v>3201</v>
      </c>
      <c r="I1141" t="s">
        <v>3215</v>
      </c>
      <c r="J1141" t="s">
        <v>245</v>
      </c>
      <c r="K1141" t="s">
        <v>3203</v>
      </c>
      <c r="L1141" t="s">
        <v>3204</v>
      </c>
      <c r="M1141" t="s">
        <v>73</v>
      </c>
      <c r="P1141">
        <f t="shared" si="34"/>
        <v>1</v>
      </c>
      <c r="Q1141" t="str">
        <f>IF(AND(P1141&gt;1,COUNTIF($E$6:E1141,E1141)=1),MAX($Q$5:Q1140)+1,"")</f>
        <v/>
      </c>
      <c r="R1141" t="str">
        <f t="shared" si="35"/>
        <v/>
      </c>
    </row>
    <row r="1142" spans="1:18" ht="22.95" customHeight="1">
      <c r="A1142" t="s">
        <v>3113</v>
      </c>
      <c r="B1142" t="s">
        <v>30</v>
      </c>
      <c r="C1142" t="s">
        <v>188</v>
      </c>
      <c r="D1142" t="s">
        <v>189</v>
      </c>
      <c r="E1142" t="s">
        <v>3216</v>
      </c>
      <c r="F1142">
        <v>1</v>
      </c>
      <c r="G1142" t="s">
        <v>3200</v>
      </c>
      <c r="H1142" t="s">
        <v>3201</v>
      </c>
      <c r="I1142" t="s">
        <v>3217</v>
      </c>
      <c r="J1142" t="s">
        <v>245</v>
      </c>
      <c r="K1142" t="s">
        <v>3203</v>
      </c>
      <c r="L1142" t="s">
        <v>3218</v>
      </c>
      <c r="M1142" t="s">
        <v>73</v>
      </c>
      <c r="P1142">
        <f t="shared" si="34"/>
        <v>1</v>
      </c>
      <c r="Q1142" t="str">
        <f>IF(AND(P1142&gt;1,COUNTIF($E$6:E1142,E1142)=1),MAX($Q$5:Q1141)+1,"")</f>
        <v/>
      </c>
      <c r="R1142" t="str">
        <f t="shared" si="35"/>
        <v/>
      </c>
    </row>
    <row r="1143" spans="1:18" ht="22.95" customHeight="1">
      <c r="A1143" t="s">
        <v>3113</v>
      </c>
      <c r="B1143" t="s">
        <v>30</v>
      </c>
      <c r="C1143" t="s">
        <v>188</v>
      </c>
      <c r="D1143" t="s">
        <v>189</v>
      </c>
      <c r="E1143" t="s">
        <v>3219</v>
      </c>
      <c r="F1143">
        <v>1</v>
      </c>
      <c r="G1143" t="s">
        <v>3200</v>
      </c>
      <c r="H1143" t="s">
        <v>3201</v>
      </c>
      <c r="I1143" t="s">
        <v>3220</v>
      </c>
      <c r="J1143" t="s">
        <v>245</v>
      </c>
      <c r="K1143" t="s">
        <v>3203</v>
      </c>
      <c r="L1143" t="s">
        <v>3204</v>
      </c>
      <c r="M1143" t="s">
        <v>73</v>
      </c>
      <c r="P1143">
        <f t="shared" si="34"/>
        <v>1</v>
      </c>
      <c r="Q1143" t="str">
        <f>IF(AND(P1143&gt;1,COUNTIF($E$6:E1143,E1143)=1),MAX($Q$5:Q1142)+1,"")</f>
        <v/>
      </c>
      <c r="R1143" t="str">
        <f t="shared" si="35"/>
        <v/>
      </c>
    </row>
    <row r="1144" spans="1:18" ht="22.95" customHeight="1">
      <c r="A1144" t="s">
        <v>3113</v>
      </c>
      <c r="B1144" t="s">
        <v>30</v>
      </c>
      <c r="C1144" t="s">
        <v>188</v>
      </c>
      <c r="D1144" t="s">
        <v>189</v>
      </c>
      <c r="E1144" t="s">
        <v>3221</v>
      </c>
      <c r="F1144">
        <v>1</v>
      </c>
      <c r="G1144" t="s">
        <v>3200</v>
      </c>
      <c r="H1144" t="s">
        <v>3201</v>
      </c>
      <c r="I1144" t="s">
        <v>3222</v>
      </c>
      <c r="J1144" t="s">
        <v>245</v>
      </c>
      <c r="K1144" t="s">
        <v>3203</v>
      </c>
      <c r="L1144" t="s">
        <v>3218</v>
      </c>
      <c r="M1144" t="s">
        <v>73</v>
      </c>
      <c r="P1144">
        <f t="shared" si="34"/>
        <v>1</v>
      </c>
      <c r="Q1144" t="str">
        <f>IF(AND(P1144&gt;1,COUNTIF($E$6:E1144,E1144)=1),MAX($Q$5:Q1143)+1,"")</f>
        <v/>
      </c>
      <c r="R1144" t="str">
        <f t="shared" si="35"/>
        <v/>
      </c>
    </row>
    <row r="1145" spans="1:18" ht="22.95" customHeight="1">
      <c r="A1145" t="s">
        <v>3113</v>
      </c>
      <c r="B1145" t="s">
        <v>30</v>
      </c>
      <c r="C1145" t="s">
        <v>188</v>
      </c>
      <c r="D1145" t="s">
        <v>189</v>
      </c>
      <c r="E1145" t="s">
        <v>3223</v>
      </c>
      <c r="F1145">
        <v>1</v>
      </c>
      <c r="G1145" t="s">
        <v>3224</v>
      </c>
      <c r="H1145" t="s">
        <v>3225</v>
      </c>
      <c r="I1145" t="s">
        <v>3226</v>
      </c>
      <c r="J1145" t="s">
        <v>245</v>
      </c>
      <c r="K1145" t="s">
        <v>3227</v>
      </c>
      <c r="L1145" t="s">
        <v>3228</v>
      </c>
      <c r="M1145" t="s">
        <v>73</v>
      </c>
      <c r="P1145">
        <f t="shared" si="34"/>
        <v>1</v>
      </c>
      <c r="Q1145" t="str">
        <f>IF(AND(P1145&gt;1,COUNTIF($E$6:E1145,E1145)=1),MAX($Q$5:Q1144)+1,"")</f>
        <v/>
      </c>
      <c r="R1145" t="str">
        <f t="shared" si="35"/>
        <v/>
      </c>
    </row>
    <row r="1146" spans="1:18" ht="22.95" customHeight="1">
      <c r="A1146" t="s">
        <v>3113</v>
      </c>
      <c r="B1146" t="s">
        <v>30</v>
      </c>
      <c r="C1146" t="s">
        <v>188</v>
      </c>
      <c r="D1146" t="s">
        <v>189</v>
      </c>
      <c r="E1146" t="s">
        <v>3229</v>
      </c>
      <c r="F1146">
        <v>1</v>
      </c>
      <c r="G1146" t="s">
        <v>1787</v>
      </c>
      <c r="H1146" t="s">
        <v>3195</v>
      </c>
      <c r="I1146" t="s">
        <v>3230</v>
      </c>
      <c r="J1146" t="s">
        <v>245</v>
      </c>
      <c r="K1146" t="s">
        <v>3176</v>
      </c>
      <c r="L1146" t="s">
        <v>3231</v>
      </c>
      <c r="M1146" t="s">
        <v>73</v>
      </c>
      <c r="P1146">
        <f t="shared" si="34"/>
        <v>1</v>
      </c>
      <c r="Q1146" t="str">
        <f>IF(AND(P1146&gt;1,COUNTIF($E$6:E1146,E1146)=1),MAX($Q$5:Q1145)+1,"")</f>
        <v/>
      </c>
      <c r="R1146" t="str">
        <f t="shared" si="35"/>
        <v/>
      </c>
    </row>
    <row r="1147" spans="1:18" ht="22.95" customHeight="1">
      <c r="A1147" t="s">
        <v>3113</v>
      </c>
      <c r="B1147" t="s">
        <v>30</v>
      </c>
      <c r="C1147" t="s">
        <v>188</v>
      </c>
      <c r="D1147" t="s">
        <v>189</v>
      </c>
      <c r="E1147" t="s">
        <v>3232</v>
      </c>
      <c r="F1147">
        <v>1</v>
      </c>
      <c r="G1147" t="s">
        <v>1787</v>
      </c>
      <c r="H1147" t="s">
        <v>3195</v>
      </c>
      <c r="I1147" t="s">
        <v>3226</v>
      </c>
      <c r="J1147" t="s">
        <v>245</v>
      </c>
      <c r="K1147" t="s">
        <v>3176</v>
      </c>
      <c r="L1147" t="s">
        <v>3233</v>
      </c>
      <c r="M1147" t="s">
        <v>73</v>
      </c>
      <c r="P1147">
        <f t="shared" si="34"/>
        <v>1</v>
      </c>
      <c r="Q1147" t="str">
        <f>IF(AND(P1147&gt;1,COUNTIF($E$6:E1147,E1147)=1),MAX($Q$5:Q1146)+1,"")</f>
        <v/>
      </c>
      <c r="R1147" t="str">
        <f t="shared" si="35"/>
        <v/>
      </c>
    </row>
    <row r="1148" spans="1:18" ht="22.95" customHeight="1">
      <c r="A1148" t="s">
        <v>3113</v>
      </c>
      <c r="B1148" t="s">
        <v>30</v>
      </c>
      <c r="C1148" t="s">
        <v>188</v>
      </c>
      <c r="D1148" t="s">
        <v>189</v>
      </c>
      <c r="E1148" t="s">
        <v>3234</v>
      </c>
      <c r="F1148">
        <v>1</v>
      </c>
      <c r="G1148" t="s">
        <v>1787</v>
      </c>
      <c r="H1148" t="s">
        <v>3195</v>
      </c>
      <c r="I1148" t="s">
        <v>3226</v>
      </c>
      <c r="J1148" t="s">
        <v>245</v>
      </c>
      <c r="K1148" t="s">
        <v>3176</v>
      </c>
      <c r="L1148" t="s">
        <v>3233</v>
      </c>
      <c r="M1148" t="s">
        <v>73</v>
      </c>
      <c r="P1148">
        <f t="shared" si="34"/>
        <v>1</v>
      </c>
      <c r="Q1148" t="str">
        <f>IF(AND(P1148&gt;1,COUNTIF($E$6:E1148,E1148)=1),MAX($Q$5:Q1147)+1,"")</f>
        <v/>
      </c>
      <c r="R1148" t="str">
        <f t="shared" si="35"/>
        <v/>
      </c>
    </row>
    <row r="1149" spans="1:18" ht="22.95" customHeight="1">
      <c r="A1149" t="s">
        <v>3113</v>
      </c>
      <c r="B1149" t="s">
        <v>30</v>
      </c>
      <c r="C1149" t="s">
        <v>188</v>
      </c>
      <c r="D1149" t="s">
        <v>189</v>
      </c>
      <c r="E1149" t="s">
        <v>3235</v>
      </c>
      <c r="F1149">
        <v>1</v>
      </c>
      <c r="G1149" t="s">
        <v>1534</v>
      </c>
      <c r="H1149" t="s">
        <v>3236</v>
      </c>
      <c r="I1149" t="s">
        <v>1542</v>
      </c>
      <c r="K1149" t="s">
        <v>78</v>
      </c>
      <c r="L1149" t="s">
        <v>3237</v>
      </c>
      <c r="M1149" t="s">
        <v>73</v>
      </c>
      <c r="P1149">
        <f t="shared" si="34"/>
        <v>2</v>
      </c>
      <c r="Q1149">
        <f>IF(AND(P1149&gt;1,COUNTIF($E$6:E1149,E1149)=1),MAX($Q$5:Q1148)+1,"")</f>
        <v>15</v>
      </c>
      <c r="R1149" t="str">
        <f t="shared" si="35"/>
        <v>VRAI DOUBLON</v>
      </c>
    </row>
    <row r="1150" spans="1:18" ht="22.95" customHeight="1">
      <c r="A1150" t="s">
        <v>3113</v>
      </c>
      <c r="B1150" t="s">
        <v>30</v>
      </c>
      <c r="C1150" t="s">
        <v>188</v>
      </c>
      <c r="D1150" t="s">
        <v>189</v>
      </c>
      <c r="E1150" t="s">
        <v>3238</v>
      </c>
      <c r="F1150">
        <v>1</v>
      </c>
      <c r="G1150" t="s">
        <v>1534</v>
      </c>
      <c r="H1150" t="s">
        <v>3236</v>
      </c>
      <c r="I1150" t="s">
        <v>1542</v>
      </c>
      <c r="K1150" t="s">
        <v>78</v>
      </c>
      <c r="L1150" t="s">
        <v>3237</v>
      </c>
      <c r="M1150" t="s">
        <v>73</v>
      </c>
      <c r="P1150">
        <f t="shared" si="34"/>
        <v>1</v>
      </c>
      <c r="Q1150" t="str">
        <f>IF(AND(P1150&gt;1,COUNTIF($E$6:E1150,E1150)=1),MAX($Q$5:Q1149)+1,"")</f>
        <v/>
      </c>
      <c r="R1150" t="str">
        <f t="shared" si="35"/>
        <v/>
      </c>
    </row>
    <row r="1151" spans="1:18" ht="22.95" customHeight="1">
      <c r="A1151" t="s">
        <v>3113</v>
      </c>
      <c r="B1151" t="s">
        <v>30</v>
      </c>
      <c r="C1151" t="s">
        <v>188</v>
      </c>
      <c r="D1151" t="s">
        <v>189</v>
      </c>
      <c r="E1151" t="s">
        <v>3239</v>
      </c>
      <c r="F1151">
        <v>1</v>
      </c>
      <c r="G1151" t="s">
        <v>1534</v>
      </c>
      <c r="H1151" t="s">
        <v>3236</v>
      </c>
      <c r="I1151" t="s">
        <v>3240</v>
      </c>
      <c r="K1151" t="s">
        <v>78</v>
      </c>
      <c r="L1151" t="s">
        <v>3237</v>
      </c>
      <c r="M1151" t="s">
        <v>73</v>
      </c>
      <c r="P1151">
        <f t="shared" si="34"/>
        <v>1</v>
      </c>
      <c r="Q1151" t="str">
        <f>IF(AND(P1151&gt;1,COUNTIF($E$6:E1151,E1151)=1),MAX($Q$5:Q1150)+1,"")</f>
        <v/>
      </c>
      <c r="R1151" t="str">
        <f t="shared" si="35"/>
        <v/>
      </c>
    </row>
    <row r="1152" spans="1:18" ht="22.95" customHeight="1">
      <c r="A1152" t="s">
        <v>3113</v>
      </c>
      <c r="B1152" t="s">
        <v>30</v>
      </c>
      <c r="C1152" t="s">
        <v>188</v>
      </c>
      <c r="D1152" t="s">
        <v>189</v>
      </c>
      <c r="E1152" t="s">
        <v>3241</v>
      </c>
      <c r="F1152">
        <v>1</v>
      </c>
      <c r="G1152" t="s">
        <v>1534</v>
      </c>
      <c r="H1152" t="s">
        <v>3236</v>
      </c>
      <c r="I1152" t="s">
        <v>3242</v>
      </c>
      <c r="K1152" t="s">
        <v>78</v>
      </c>
      <c r="L1152" t="s">
        <v>3237</v>
      </c>
      <c r="M1152" t="s">
        <v>73</v>
      </c>
      <c r="P1152">
        <f t="shared" si="34"/>
        <v>1</v>
      </c>
      <c r="Q1152" t="str">
        <f>IF(AND(P1152&gt;1,COUNTIF($E$6:E1152,E1152)=1),MAX($Q$5:Q1151)+1,"")</f>
        <v/>
      </c>
      <c r="R1152" t="str">
        <f t="shared" si="35"/>
        <v/>
      </c>
    </row>
    <row r="1153" spans="1:18" ht="22.95" customHeight="1">
      <c r="A1153" t="s">
        <v>3113</v>
      </c>
      <c r="B1153" t="s">
        <v>30</v>
      </c>
      <c r="C1153" t="s">
        <v>188</v>
      </c>
      <c r="D1153" t="s">
        <v>189</v>
      </c>
      <c r="E1153" t="s">
        <v>3243</v>
      </c>
      <c r="F1153">
        <v>1</v>
      </c>
      <c r="G1153" t="s">
        <v>1987</v>
      </c>
      <c r="H1153" t="s">
        <v>2276</v>
      </c>
      <c r="I1153" t="s">
        <v>3244</v>
      </c>
      <c r="K1153" t="s">
        <v>78</v>
      </c>
      <c r="L1153" t="s">
        <v>3245</v>
      </c>
      <c r="M1153" t="s">
        <v>73</v>
      </c>
      <c r="P1153">
        <f t="shared" si="34"/>
        <v>1</v>
      </c>
      <c r="Q1153" t="str">
        <f>IF(AND(P1153&gt;1,COUNTIF($E$6:E1153,E1153)=1),MAX($Q$5:Q1152)+1,"")</f>
        <v/>
      </c>
      <c r="R1153" t="str">
        <f t="shared" si="35"/>
        <v/>
      </c>
    </row>
    <row r="1154" spans="1:18" ht="22.95" customHeight="1">
      <c r="A1154" t="s">
        <v>3113</v>
      </c>
      <c r="B1154" t="s">
        <v>30</v>
      </c>
      <c r="C1154" t="s">
        <v>188</v>
      </c>
      <c r="D1154" t="s">
        <v>189</v>
      </c>
      <c r="E1154" t="s">
        <v>3246</v>
      </c>
      <c r="F1154">
        <v>1</v>
      </c>
      <c r="G1154" t="s">
        <v>1987</v>
      </c>
      <c r="H1154" t="s">
        <v>2276</v>
      </c>
      <c r="I1154" t="s">
        <v>3247</v>
      </c>
      <c r="K1154" t="s">
        <v>78</v>
      </c>
      <c r="L1154" t="s">
        <v>3245</v>
      </c>
      <c r="M1154" t="s">
        <v>73</v>
      </c>
      <c r="P1154">
        <f t="shared" si="34"/>
        <v>1</v>
      </c>
      <c r="Q1154" t="str">
        <f>IF(AND(P1154&gt;1,COUNTIF($E$6:E1154,E1154)=1),MAX($Q$5:Q1153)+1,"")</f>
        <v/>
      </c>
      <c r="R1154" t="str">
        <f t="shared" si="35"/>
        <v/>
      </c>
    </row>
    <row r="1155" spans="1:18" ht="22.95" customHeight="1">
      <c r="A1155" t="s">
        <v>3113</v>
      </c>
      <c r="B1155" t="s">
        <v>30</v>
      </c>
      <c r="C1155" t="s">
        <v>188</v>
      </c>
      <c r="D1155" t="s">
        <v>189</v>
      </c>
      <c r="E1155" t="s">
        <v>3248</v>
      </c>
      <c r="F1155">
        <v>1</v>
      </c>
      <c r="G1155" t="s">
        <v>92</v>
      </c>
      <c r="I1155" t="s">
        <v>3249</v>
      </c>
      <c r="J1155" t="s">
        <v>446</v>
      </c>
      <c r="K1155" t="s">
        <v>3250</v>
      </c>
      <c r="L1155" t="s">
        <v>3251</v>
      </c>
      <c r="M1155" t="s">
        <v>102</v>
      </c>
      <c r="P1155">
        <f t="shared" si="34"/>
        <v>1</v>
      </c>
      <c r="Q1155" t="str">
        <f>IF(AND(P1155&gt;1,COUNTIF($E$6:E1155,E1155)=1),MAX($Q$5:Q1154)+1,"")</f>
        <v/>
      </c>
      <c r="R1155" t="str">
        <f t="shared" si="35"/>
        <v/>
      </c>
    </row>
    <row r="1156" spans="1:18" ht="22.95" customHeight="1">
      <c r="A1156" t="s">
        <v>3113</v>
      </c>
      <c r="B1156" t="s">
        <v>30</v>
      </c>
      <c r="C1156" t="s">
        <v>188</v>
      </c>
      <c r="D1156" t="s">
        <v>189</v>
      </c>
      <c r="E1156" t="s">
        <v>3252</v>
      </c>
      <c r="F1156">
        <v>1</v>
      </c>
      <c r="G1156" t="s">
        <v>1987</v>
      </c>
      <c r="H1156" t="s">
        <v>2276</v>
      </c>
      <c r="I1156" t="s">
        <v>3253</v>
      </c>
      <c r="K1156" t="s">
        <v>78</v>
      </c>
      <c r="L1156" t="s">
        <v>3254</v>
      </c>
      <c r="M1156" t="s">
        <v>62</v>
      </c>
      <c r="N1156" t="s">
        <v>811</v>
      </c>
      <c r="P1156">
        <f t="shared" si="34"/>
        <v>1</v>
      </c>
      <c r="Q1156" t="str">
        <f>IF(AND(P1156&gt;1,COUNTIF($E$6:E1156,E1156)=1),MAX($Q$5:Q1155)+1,"")</f>
        <v/>
      </c>
      <c r="R1156" t="str">
        <f t="shared" si="35"/>
        <v/>
      </c>
    </row>
    <row r="1157" spans="1:18" ht="22.95" customHeight="1">
      <c r="A1157" t="s">
        <v>3113</v>
      </c>
      <c r="B1157" t="s">
        <v>30</v>
      </c>
      <c r="C1157" t="s">
        <v>188</v>
      </c>
      <c r="D1157" t="s">
        <v>189</v>
      </c>
      <c r="E1157" t="s">
        <v>3255</v>
      </c>
      <c r="F1157">
        <v>1</v>
      </c>
      <c r="G1157" t="s">
        <v>92</v>
      </c>
      <c r="I1157" t="s">
        <v>140</v>
      </c>
      <c r="J1157" t="s">
        <v>672</v>
      </c>
      <c r="K1157" t="s">
        <v>141</v>
      </c>
      <c r="L1157" t="s">
        <v>3256</v>
      </c>
      <c r="M1157" t="s">
        <v>102</v>
      </c>
      <c r="P1157">
        <f t="shared" si="34"/>
        <v>1</v>
      </c>
      <c r="Q1157" t="str">
        <f>IF(AND(P1157&gt;1,COUNTIF($E$6:E1157,E1157)=1),MAX($Q$5:Q1156)+1,"")</f>
        <v/>
      </c>
      <c r="R1157" t="str">
        <f t="shared" si="35"/>
        <v/>
      </c>
    </row>
    <row r="1158" spans="1:18" ht="22.95" customHeight="1">
      <c r="A1158" t="s">
        <v>3113</v>
      </c>
      <c r="B1158" t="s">
        <v>31</v>
      </c>
      <c r="C1158" t="s">
        <v>491</v>
      </c>
      <c r="D1158" t="s">
        <v>492</v>
      </c>
      <c r="E1158" t="s">
        <v>3257</v>
      </c>
      <c r="F1158">
        <v>1</v>
      </c>
      <c r="G1158" t="s">
        <v>2192</v>
      </c>
      <c r="H1158" t="s">
        <v>3258</v>
      </c>
      <c r="I1158" t="s">
        <v>3259</v>
      </c>
      <c r="K1158" t="s">
        <v>3260</v>
      </c>
      <c r="L1158" t="s">
        <v>3261</v>
      </c>
      <c r="M1158" t="s">
        <v>62</v>
      </c>
      <c r="N1158" t="s">
        <v>303</v>
      </c>
      <c r="P1158">
        <f t="shared" ref="P1158:P1221" si="36">COUNTIF($E$6:$E$1740,E1158)</f>
        <v>1</v>
      </c>
      <c r="Q1158" t="str">
        <f>IF(AND(P1158&gt;1,COUNTIF($E$6:E1158,E1158)=1),MAX($Q$5:Q1157)+1,"")</f>
        <v/>
      </c>
      <c r="R1158" t="str">
        <f t="shared" ref="R1158:R1221" si="37">IF(Q1158="","",IF(COUNTIFS($E$6:$E$1740,E1158,$A$6:$A$1740,A1158,$C$6:$C$1740,C1158)&lt;P1158,"LÉGITIME",IF(COUNTIFS($E$6:$E$1740,E1158,$A$6:$A$1740,A1158,$C$6:$C$1740,C1158,$M$6:$M$1740,M1158)&lt;P1158,"STATUT DIFFÉRENT","VRAI DOUBLON")))</f>
        <v/>
      </c>
    </row>
    <row r="1159" spans="1:18" ht="22.95" customHeight="1">
      <c r="A1159" t="s">
        <v>3113</v>
      </c>
      <c r="B1159" t="s">
        <v>31</v>
      </c>
      <c r="C1159" t="s">
        <v>491</v>
      </c>
      <c r="D1159" t="s">
        <v>492</v>
      </c>
      <c r="E1159" t="s">
        <v>3262</v>
      </c>
      <c r="F1159">
        <v>1</v>
      </c>
      <c r="G1159" t="s">
        <v>2192</v>
      </c>
      <c r="H1159" t="s">
        <v>3258</v>
      </c>
      <c r="I1159" t="s">
        <v>3259</v>
      </c>
      <c r="K1159" t="s">
        <v>3260</v>
      </c>
      <c r="L1159" t="s">
        <v>3261</v>
      </c>
      <c r="M1159" t="s">
        <v>62</v>
      </c>
      <c r="N1159" t="s">
        <v>303</v>
      </c>
      <c r="P1159">
        <f t="shared" si="36"/>
        <v>1</v>
      </c>
      <c r="Q1159" t="str">
        <f>IF(AND(P1159&gt;1,COUNTIF($E$6:E1159,E1159)=1),MAX($Q$5:Q1158)+1,"")</f>
        <v/>
      </c>
      <c r="R1159" t="str">
        <f t="shared" si="37"/>
        <v/>
      </c>
    </row>
    <row r="1160" spans="1:18" ht="22.95" customHeight="1">
      <c r="A1160" t="s">
        <v>3113</v>
      </c>
      <c r="B1160" t="s">
        <v>31</v>
      </c>
      <c r="C1160" t="s">
        <v>491</v>
      </c>
      <c r="D1160" t="s">
        <v>492</v>
      </c>
      <c r="E1160" t="s">
        <v>3263</v>
      </c>
      <c r="F1160">
        <v>1</v>
      </c>
      <c r="G1160" t="s">
        <v>2192</v>
      </c>
      <c r="H1160" t="s">
        <v>3258</v>
      </c>
      <c r="I1160" t="s">
        <v>3259</v>
      </c>
      <c r="K1160" t="s">
        <v>3260</v>
      </c>
      <c r="L1160" t="s">
        <v>3261</v>
      </c>
      <c r="M1160" t="s">
        <v>62</v>
      </c>
      <c r="N1160" t="s">
        <v>303</v>
      </c>
      <c r="P1160">
        <f t="shared" si="36"/>
        <v>1</v>
      </c>
      <c r="Q1160" t="str">
        <f>IF(AND(P1160&gt;1,COUNTIF($E$6:E1160,E1160)=1),MAX($Q$5:Q1159)+1,"")</f>
        <v/>
      </c>
      <c r="R1160" t="str">
        <f t="shared" si="37"/>
        <v/>
      </c>
    </row>
    <row r="1161" spans="1:18" ht="22.95" customHeight="1">
      <c r="A1161" t="s">
        <v>3113</v>
      </c>
      <c r="B1161" t="s">
        <v>31</v>
      </c>
      <c r="C1161" t="s">
        <v>491</v>
      </c>
      <c r="D1161" t="s">
        <v>492</v>
      </c>
      <c r="E1161" t="s">
        <v>3264</v>
      </c>
      <c r="F1161">
        <v>1</v>
      </c>
      <c r="G1161" t="s">
        <v>2192</v>
      </c>
      <c r="H1161" t="s">
        <v>3258</v>
      </c>
      <c r="I1161" t="s">
        <v>3259</v>
      </c>
      <c r="K1161" t="s">
        <v>3260</v>
      </c>
      <c r="L1161" t="s">
        <v>3261</v>
      </c>
      <c r="M1161" t="s">
        <v>62</v>
      </c>
      <c r="N1161" t="s">
        <v>303</v>
      </c>
      <c r="P1161">
        <f t="shared" si="36"/>
        <v>1</v>
      </c>
      <c r="Q1161" t="str">
        <f>IF(AND(P1161&gt;1,COUNTIF($E$6:E1161,E1161)=1),MAX($Q$5:Q1160)+1,"")</f>
        <v/>
      </c>
      <c r="R1161" t="str">
        <f t="shared" si="37"/>
        <v/>
      </c>
    </row>
    <row r="1162" spans="1:18" ht="22.95" customHeight="1">
      <c r="A1162" t="s">
        <v>3113</v>
      </c>
      <c r="B1162" t="s">
        <v>31</v>
      </c>
      <c r="C1162" t="s">
        <v>491</v>
      </c>
      <c r="D1162" t="s">
        <v>492</v>
      </c>
      <c r="E1162" t="s">
        <v>3265</v>
      </c>
      <c r="F1162">
        <v>1</v>
      </c>
      <c r="G1162" t="s">
        <v>2192</v>
      </c>
      <c r="H1162" t="s">
        <v>3258</v>
      </c>
      <c r="I1162" t="s">
        <v>3259</v>
      </c>
      <c r="K1162" t="s">
        <v>3260</v>
      </c>
      <c r="L1162" t="s">
        <v>3261</v>
      </c>
      <c r="M1162" t="s">
        <v>62</v>
      </c>
      <c r="N1162" t="s">
        <v>303</v>
      </c>
      <c r="P1162">
        <f t="shared" si="36"/>
        <v>1</v>
      </c>
      <c r="Q1162" t="str">
        <f>IF(AND(P1162&gt;1,COUNTIF($E$6:E1162,E1162)=1),MAX($Q$5:Q1161)+1,"")</f>
        <v/>
      </c>
      <c r="R1162" t="str">
        <f t="shared" si="37"/>
        <v/>
      </c>
    </row>
    <row r="1163" spans="1:18" ht="22.95" customHeight="1">
      <c r="A1163" t="s">
        <v>3113</v>
      </c>
      <c r="B1163" t="s">
        <v>32</v>
      </c>
      <c r="C1163" t="s">
        <v>3266</v>
      </c>
      <c r="D1163" t="s">
        <v>3054</v>
      </c>
      <c r="E1163" t="s">
        <v>3267</v>
      </c>
      <c r="F1163">
        <v>1</v>
      </c>
      <c r="G1163" t="s">
        <v>92</v>
      </c>
      <c r="I1163" t="s">
        <v>3268</v>
      </c>
      <c r="K1163" t="s">
        <v>1714</v>
      </c>
      <c r="L1163" t="s">
        <v>3269</v>
      </c>
      <c r="M1163" t="s">
        <v>73</v>
      </c>
      <c r="P1163">
        <f t="shared" si="36"/>
        <v>1</v>
      </c>
      <c r="Q1163" t="str">
        <f>IF(AND(P1163&gt;1,COUNTIF($E$6:E1163,E1163)=1),MAX($Q$5:Q1162)+1,"")</f>
        <v/>
      </c>
      <c r="R1163" t="str">
        <f t="shared" si="37"/>
        <v/>
      </c>
    </row>
    <row r="1164" spans="1:18" ht="22.95" customHeight="1">
      <c r="A1164" t="s">
        <v>3113</v>
      </c>
      <c r="B1164" t="s">
        <v>32</v>
      </c>
      <c r="C1164" t="s">
        <v>200</v>
      </c>
      <c r="D1164" t="s">
        <v>201</v>
      </c>
      <c r="E1164" t="s">
        <v>3270</v>
      </c>
      <c r="F1164">
        <v>1</v>
      </c>
      <c r="G1164" t="s">
        <v>92</v>
      </c>
      <c r="I1164" t="s">
        <v>3271</v>
      </c>
      <c r="K1164" t="s">
        <v>109</v>
      </c>
      <c r="L1164" t="s">
        <v>3272</v>
      </c>
      <c r="M1164" t="s">
        <v>73</v>
      </c>
      <c r="P1164">
        <f t="shared" si="36"/>
        <v>1</v>
      </c>
      <c r="Q1164" t="str">
        <f>IF(AND(P1164&gt;1,COUNTIF($E$6:E1164,E1164)=1),MAX($Q$5:Q1163)+1,"")</f>
        <v/>
      </c>
      <c r="R1164" t="str">
        <f t="shared" si="37"/>
        <v/>
      </c>
    </row>
    <row r="1165" spans="1:18" ht="22.95" customHeight="1">
      <c r="A1165" t="s">
        <v>3113</v>
      </c>
      <c r="B1165" t="s">
        <v>30</v>
      </c>
      <c r="C1165" t="s">
        <v>188</v>
      </c>
      <c r="D1165" t="s">
        <v>189</v>
      </c>
      <c r="E1165" t="s">
        <v>3235</v>
      </c>
      <c r="F1165">
        <v>1</v>
      </c>
      <c r="G1165" t="s">
        <v>1534</v>
      </c>
      <c r="H1165" t="s">
        <v>3236</v>
      </c>
      <c r="I1165" t="s">
        <v>1542</v>
      </c>
      <c r="K1165" t="s">
        <v>78</v>
      </c>
      <c r="L1165" t="s">
        <v>3237</v>
      </c>
      <c r="M1165" t="s">
        <v>73</v>
      </c>
      <c r="P1165">
        <f t="shared" si="36"/>
        <v>2</v>
      </c>
      <c r="Q1165" t="str">
        <f>IF(AND(P1165&gt;1,COUNTIF($E$6:E1165,E1165)=1),MAX($Q$5:Q1164)+1,"")</f>
        <v/>
      </c>
      <c r="R1165" t="str">
        <f t="shared" si="37"/>
        <v/>
      </c>
    </row>
    <row r="1166" spans="1:18" ht="22.95" customHeight="1">
      <c r="A1166" t="s">
        <v>3273</v>
      </c>
      <c r="B1166" t="s">
        <v>22</v>
      </c>
      <c r="C1166" t="s">
        <v>779</v>
      </c>
      <c r="D1166" t="s">
        <v>780</v>
      </c>
      <c r="E1166" t="s">
        <v>3274</v>
      </c>
      <c r="F1166">
        <v>1</v>
      </c>
      <c r="G1166" t="s">
        <v>139</v>
      </c>
      <c r="I1166" t="s">
        <v>3275</v>
      </c>
      <c r="K1166" t="s">
        <v>109</v>
      </c>
      <c r="L1166" t="s">
        <v>3276</v>
      </c>
      <c r="M1166" t="s">
        <v>73</v>
      </c>
      <c r="P1166">
        <f t="shared" si="36"/>
        <v>1</v>
      </c>
      <c r="Q1166" t="str">
        <f>IF(AND(P1166&gt;1,COUNTIF($E$6:E1166,E1166)=1),MAX($Q$5:Q1165)+1,"")</f>
        <v/>
      </c>
      <c r="R1166" t="str">
        <f t="shared" si="37"/>
        <v/>
      </c>
    </row>
    <row r="1167" spans="1:18" ht="22.95" customHeight="1">
      <c r="A1167" t="s">
        <v>3273</v>
      </c>
      <c r="B1167" t="s">
        <v>22</v>
      </c>
      <c r="C1167" t="s">
        <v>779</v>
      </c>
      <c r="D1167" t="s">
        <v>1476</v>
      </c>
      <c r="E1167" t="s">
        <v>3277</v>
      </c>
      <c r="F1167">
        <v>1</v>
      </c>
      <c r="G1167" t="s">
        <v>92</v>
      </c>
      <c r="I1167" t="s">
        <v>733</v>
      </c>
      <c r="K1167" t="s">
        <v>3278</v>
      </c>
      <c r="L1167" t="s">
        <v>3279</v>
      </c>
      <c r="M1167" t="s">
        <v>62</v>
      </c>
      <c r="N1167" t="s">
        <v>951</v>
      </c>
      <c r="P1167">
        <f t="shared" si="36"/>
        <v>1</v>
      </c>
      <c r="Q1167" t="str">
        <f>IF(AND(P1167&gt;1,COUNTIF($E$6:E1167,E1167)=1),MAX($Q$5:Q1166)+1,"")</f>
        <v/>
      </c>
      <c r="R1167" t="str">
        <f t="shared" si="37"/>
        <v/>
      </c>
    </row>
    <row r="1168" spans="1:18" ht="22.95" customHeight="1">
      <c r="A1168" t="s">
        <v>3273</v>
      </c>
      <c r="B1168" t="s">
        <v>22</v>
      </c>
      <c r="C1168" t="s">
        <v>779</v>
      </c>
      <c r="D1168" t="s">
        <v>1476</v>
      </c>
      <c r="E1168" t="s">
        <v>3280</v>
      </c>
      <c r="F1168">
        <v>1</v>
      </c>
      <c r="G1168" t="s">
        <v>92</v>
      </c>
      <c r="I1168" t="s">
        <v>2579</v>
      </c>
      <c r="L1168" t="s">
        <v>3281</v>
      </c>
      <c r="M1168" t="s">
        <v>102</v>
      </c>
      <c r="P1168">
        <f t="shared" si="36"/>
        <v>1</v>
      </c>
      <c r="Q1168" t="str">
        <f>IF(AND(P1168&gt;1,COUNTIF($E$6:E1168,E1168)=1),MAX($Q$5:Q1167)+1,"")</f>
        <v/>
      </c>
      <c r="R1168" t="str">
        <f t="shared" si="37"/>
        <v/>
      </c>
    </row>
    <row r="1169" spans="1:18" ht="22.95" customHeight="1">
      <c r="A1169" t="s">
        <v>3273</v>
      </c>
      <c r="B1169" t="s">
        <v>22</v>
      </c>
      <c r="C1169" t="s">
        <v>779</v>
      </c>
      <c r="D1169" t="s">
        <v>1476</v>
      </c>
      <c r="E1169" t="s">
        <v>3282</v>
      </c>
      <c r="F1169">
        <v>1</v>
      </c>
      <c r="G1169" t="s">
        <v>92</v>
      </c>
      <c r="I1169" t="s">
        <v>2579</v>
      </c>
      <c r="L1169" t="s">
        <v>3281</v>
      </c>
      <c r="M1169" t="s">
        <v>102</v>
      </c>
      <c r="P1169">
        <f t="shared" si="36"/>
        <v>1</v>
      </c>
      <c r="Q1169" t="str">
        <f>IF(AND(P1169&gt;1,COUNTIF($E$6:E1169,E1169)=1),MAX($Q$5:Q1168)+1,"")</f>
        <v/>
      </c>
      <c r="R1169" t="str">
        <f t="shared" si="37"/>
        <v/>
      </c>
    </row>
    <row r="1170" spans="1:18" ht="22.95" customHeight="1">
      <c r="A1170" t="s">
        <v>3273</v>
      </c>
      <c r="B1170" t="s">
        <v>22</v>
      </c>
      <c r="C1170" t="s">
        <v>779</v>
      </c>
      <c r="D1170" t="s">
        <v>1476</v>
      </c>
      <c r="E1170" t="s">
        <v>3283</v>
      </c>
      <c r="F1170">
        <v>1</v>
      </c>
      <c r="G1170" t="s">
        <v>92</v>
      </c>
      <c r="I1170" t="s">
        <v>2579</v>
      </c>
      <c r="L1170" t="s">
        <v>3281</v>
      </c>
      <c r="M1170" t="s">
        <v>102</v>
      </c>
      <c r="P1170">
        <f t="shared" si="36"/>
        <v>1</v>
      </c>
      <c r="Q1170" t="str">
        <f>IF(AND(P1170&gt;1,COUNTIF($E$6:E1170,E1170)=1),MAX($Q$5:Q1169)+1,"")</f>
        <v/>
      </c>
      <c r="R1170" t="str">
        <f t="shared" si="37"/>
        <v/>
      </c>
    </row>
    <row r="1171" spans="1:18" ht="22.95" customHeight="1">
      <c r="A1171" t="s">
        <v>3273</v>
      </c>
      <c r="B1171" t="s">
        <v>22</v>
      </c>
      <c r="C1171" t="s">
        <v>2021</v>
      </c>
      <c r="D1171" t="s">
        <v>197</v>
      </c>
      <c r="E1171" t="s">
        <v>3284</v>
      </c>
      <c r="F1171">
        <v>1</v>
      </c>
      <c r="G1171" t="s">
        <v>92</v>
      </c>
      <c r="I1171" t="s">
        <v>3285</v>
      </c>
      <c r="K1171" t="s">
        <v>109</v>
      </c>
      <c r="L1171" t="s">
        <v>3286</v>
      </c>
      <c r="M1171" t="s">
        <v>102</v>
      </c>
      <c r="P1171">
        <f t="shared" si="36"/>
        <v>1</v>
      </c>
      <c r="Q1171" t="str">
        <f>IF(AND(P1171&gt;1,COUNTIF($E$6:E1171,E1171)=1),MAX($Q$5:Q1170)+1,"")</f>
        <v/>
      </c>
      <c r="R1171" t="str">
        <f t="shared" si="37"/>
        <v/>
      </c>
    </row>
    <row r="1172" spans="1:18" ht="22.95" customHeight="1">
      <c r="A1172" t="s">
        <v>3273</v>
      </c>
      <c r="B1172" t="s">
        <v>22</v>
      </c>
      <c r="C1172" t="s">
        <v>370</v>
      </c>
      <c r="D1172" t="s">
        <v>371</v>
      </c>
      <c r="E1172" t="s">
        <v>3287</v>
      </c>
      <c r="F1172">
        <v>1</v>
      </c>
      <c r="G1172" t="s">
        <v>92</v>
      </c>
      <c r="I1172" t="s">
        <v>3288</v>
      </c>
      <c r="J1172" t="s">
        <v>446</v>
      </c>
      <c r="K1172" t="s">
        <v>3289</v>
      </c>
      <c r="L1172" t="s">
        <v>3290</v>
      </c>
      <c r="M1172" t="s">
        <v>73</v>
      </c>
      <c r="P1172">
        <f t="shared" si="36"/>
        <v>1</v>
      </c>
      <c r="Q1172" t="str">
        <f>IF(AND(P1172&gt;1,COUNTIF($E$6:E1172,E1172)=1),MAX($Q$5:Q1171)+1,"")</f>
        <v/>
      </c>
      <c r="R1172" t="str">
        <f t="shared" si="37"/>
        <v/>
      </c>
    </row>
    <row r="1173" spans="1:18" ht="22.95" customHeight="1">
      <c r="A1173" t="s">
        <v>3273</v>
      </c>
      <c r="B1173" t="s">
        <v>22</v>
      </c>
      <c r="C1173" t="s">
        <v>370</v>
      </c>
      <c r="D1173" t="s">
        <v>371</v>
      </c>
      <c r="E1173" t="s">
        <v>3291</v>
      </c>
      <c r="F1173">
        <v>1</v>
      </c>
      <c r="G1173" t="s">
        <v>92</v>
      </c>
      <c r="I1173" t="s">
        <v>140</v>
      </c>
      <c r="K1173" t="s">
        <v>3292</v>
      </c>
      <c r="L1173" t="s">
        <v>3293</v>
      </c>
      <c r="M1173" t="s">
        <v>73</v>
      </c>
      <c r="P1173">
        <f t="shared" si="36"/>
        <v>1</v>
      </c>
      <c r="Q1173" t="str">
        <f>IF(AND(P1173&gt;1,COUNTIF($E$6:E1173,E1173)=1),MAX($Q$5:Q1172)+1,"")</f>
        <v/>
      </c>
      <c r="R1173" t="str">
        <f t="shared" si="37"/>
        <v/>
      </c>
    </row>
    <row r="1174" spans="1:18" ht="22.95" customHeight="1">
      <c r="A1174" t="s">
        <v>3273</v>
      </c>
      <c r="B1174" t="s">
        <v>22</v>
      </c>
      <c r="C1174" t="s">
        <v>370</v>
      </c>
      <c r="D1174" t="s">
        <v>371</v>
      </c>
      <c r="E1174" t="s">
        <v>3294</v>
      </c>
      <c r="F1174">
        <v>1</v>
      </c>
      <c r="G1174" t="s">
        <v>3295</v>
      </c>
      <c r="H1174" t="s">
        <v>104</v>
      </c>
      <c r="I1174" t="s">
        <v>3296</v>
      </c>
      <c r="K1174" t="s">
        <v>3297</v>
      </c>
      <c r="L1174" t="s">
        <v>3298</v>
      </c>
      <c r="M1174" t="s">
        <v>73</v>
      </c>
      <c r="P1174">
        <f t="shared" si="36"/>
        <v>1</v>
      </c>
      <c r="Q1174" t="str">
        <f>IF(AND(P1174&gt;1,COUNTIF($E$6:E1174,E1174)=1),MAX($Q$5:Q1173)+1,"")</f>
        <v/>
      </c>
      <c r="R1174" t="str">
        <f t="shared" si="37"/>
        <v/>
      </c>
    </row>
    <row r="1175" spans="1:18" ht="22.95" customHeight="1">
      <c r="A1175" t="s">
        <v>3273</v>
      </c>
      <c r="B1175" t="s">
        <v>25</v>
      </c>
      <c r="C1175" t="s">
        <v>3299</v>
      </c>
      <c r="D1175" t="s">
        <v>698</v>
      </c>
      <c r="E1175" t="s">
        <v>3300</v>
      </c>
      <c r="F1175">
        <v>1</v>
      </c>
      <c r="G1175" t="s">
        <v>92</v>
      </c>
      <c r="J1175" t="s">
        <v>99</v>
      </c>
      <c r="L1175" t="s">
        <v>3301</v>
      </c>
      <c r="M1175" t="s">
        <v>102</v>
      </c>
      <c r="P1175">
        <f t="shared" si="36"/>
        <v>1</v>
      </c>
      <c r="Q1175" t="str">
        <f>IF(AND(P1175&gt;1,COUNTIF($E$6:E1175,E1175)=1),MAX($Q$5:Q1174)+1,"")</f>
        <v/>
      </c>
      <c r="R1175" t="str">
        <f t="shared" si="37"/>
        <v/>
      </c>
    </row>
    <row r="1176" spans="1:18" ht="22.95" customHeight="1">
      <c r="A1176" t="s">
        <v>3273</v>
      </c>
      <c r="B1176" t="s">
        <v>25</v>
      </c>
      <c r="C1176" t="s">
        <v>3299</v>
      </c>
      <c r="D1176" t="s">
        <v>698</v>
      </c>
      <c r="E1176" t="s">
        <v>3302</v>
      </c>
      <c r="F1176">
        <v>1</v>
      </c>
      <c r="G1176" t="s">
        <v>92</v>
      </c>
      <c r="J1176" t="s">
        <v>99</v>
      </c>
      <c r="L1176" t="s">
        <v>3301</v>
      </c>
      <c r="M1176" t="s">
        <v>102</v>
      </c>
      <c r="P1176">
        <f t="shared" si="36"/>
        <v>1</v>
      </c>
      <c r="Q1176" t="str">
        <f>IF(AND(P1176&gt;1,COUNTIF($E$6:E1176,E1176)=1),MAX($Q$5:Q1175)+1,"")</f>
        <v/>
      </c>
      <c r="R1176" t="str">
        <f t="shared" si="37"/>
        <v/>
      </c>
    </row>
    <row r="1177" spans="1:18" ht="22.95" customHeight="1">
      <c r="A1177" t="s">
        <v>3273</v>
      </c>
      <c r="B1177" t="s">
        <v>25</v>
      </c>
      <c r="C1177" t="s">
        <v>3299</v>
      </c>
      <c r="D1177" t="s">
        <v>698</v>
      </c>
      <c r="E1177" t="s">
        <v>3303</v>
      </c>
      <c r="F1177">
        <v>1</v>
      </c>
      <c r="G1177" t="s">
        <v>92</v>
      </c>
      <c r="J1177" t="s">
        <v>99</v>
      </c>
      <c r="L1177" t="s">
        <v>3301</v>
      </c>
      <c r="M1177" t="s">
        <v>102</v>
      </c>
      <c r="P1177">
        <f t="shared" si="36"/>
        <v>1</v>
      </c>
      <c r="Q1177" t="str">
        <f>IF(AND(P1177&gt;1,COUNTIF($E$6:E1177,E1177)=1),MAX($Q$5:Q1176)+1,"")</f>
        <v/>
      </c>
      <c r="R1177" t="str">
        <f t="shared" si="37"/>
        <v/>
      </c>
    </row>
    <row r="1178" spans="1:18" ht="22.95" customHeight="1">
      <c r="A1178" t="s">
        <v>3273</v>
      </c>
      <c r="B1178" t="s">
        <v>25</v>
      </c>
      <c r="C1178" t="s">
        <v>3299</v>
      </c>
      <c r="D1178" t="s">
        <v>698</v>
      </c>
      <c r="E1178" t="s">
        <v>3304</v>
      </c>
      <c r="F1178">
        <v>1</v>
      </c>
      <c r="G1178" t="s">
        <v>92</v>
      </c>
      <c r="J1178" t="s">
        <v>99</v>
      </c>
      <c r="L1178" t="s">
        <v>3301</v>
      </c>
      <c r="M1178" t="s">
        <v>102</v>
      </c>
      <c r="P1178">
        <f t="shared" si="36"/>
        <v>1</v>
      </c>
      <c r="Q1178" t="str">
        <f>IF(AND(P1178&gt;1,COUNTIF($E$6:E1178,E1178)=1),MAX($Q$5:Q1177)+1,"")</f>
        <v/>
      </c>
      <c r="R1178" t="str">
        <f t="shared" si="37"/>
        <v/>
      </c>
    </row>
    <row r="1179" spans="1:18" ht="22.95" customHeight="1">
      <c r="A1179" t="s">
        <v>3273</v>
      </c>
      <c r="B1179" t="s">
        <v>25</v>
      </c>
      <c r="C1179" t="s">
        <v>3299</v>
      </c>
      <c r="D1179" t="s">
        <v>698</v>
      </c>
      <c r="E1179" t="s">
        <v>3305</v>
      </c>
      <c r="F1179">
        <v>1</v>
      </c>
      <c r="G1179" t="s">
        <v>92</v>
      </c>
      <c r="J1179" t="s">
        <v>99</v>
      </c>
      <c r="L1179" t="s">
        <v>3301</v>
      </c>
      <c r="M1179" t="s">
        <v>102</v>
      </c>
      <c r="P1179">
        <f t="shared" si="36"/>
        <v>1</v>
      </c>
      <c r="Q1179" t="str">
        <f>IF(AND(P1179&gt;1,COUNTIF($E$6:E1179,E1179)=1),MAX($Q$5:Q1178)+1,"")</f>
        <v/>
      </c>
      <c r="R1179" t="str">
        <f t="shared" si="37"/>
        <v/>
      </c>
    </row>
    <row r="1180" spans="1:18" ht="22.95" customHeight="1">
      <c r="A1180" t="s">
        <v>3273</v>
      </c>
      <c r="B1180" t="s">
        <v>25</v>
      </c>
      <c r="C1180" t="s">
        <v>3299</v>
      </c>
      <c r="D1180" t="s">
        <v>698</v>
      </c>
      <c r="E1180" t="s">
        <v>3306</v>
      </c>
      <c r="F1180">
        <v>1</v>
      </c>
      <c r="G1180" t="s">
        <v>92</v>
      </c>
      <c r="J1180" t="s">
        <v>99</v>
      </c>
      <c r="L1180" t="s">
        <v>3301</v>
      </c>
      <c r="M1180" t="s">
        <v>102</v>
      </c>
      <c r="P1180">
        <f t="shared" si="36"/>
        <v>1</v>
      </c>
      <c r="Q1180" t="str">
        <f>IF(AND(P1180&gt;1,COUNTIF($E$6:E1180,E1180)=1),MAX($Q$5:Q1179)+1,"")</f>
        <v/>
      </c>
      <c r="R1180" t="str">
        <f t="shared" si="37"/>
        <v/>
      </c>
    </row>
    <row r="1181" spans="1:18" ht="22.95" customHeight="1">
      <c r="A1181" t="s">
        <v>3273</v>
      </c>
      <c r="B1181" t="s">
        <v>25</v>
      </c>
      <c r="C1181" t="s">
        <v>3299</v>
      </c>
      <c r="D1181" t="s">
        <v>698</v>
      </c>
      <c r="E1181" t="s">
        <v>3307</v>
      </c>
      <c r="F1181">
        <v>1</v>
      </c>
      <c r="G1181" t="s">
        <v>92</v>
      </c>
      <c r="J1181" t="s">
        <v>99</v>
      </c>
      <c r="L1181" t="s">
        <v>3301</v>
      </c>
      <c r="M1181" t="s">
        <v>102</v>
      </c>
      <c r="P1181">
        <f t="shared" si="36"/>
        <v>1</v>
      </c>
      <c r="Q1181" t="str">
        <f>IF(AND(P1181&gt;1,COUNTIF($E$6:E1181,E1181)=1),MAX($Q$5:Q1180)+1,"")</f>
        <v/>
      </c>
      <c r="R1181" t="str">
        <f t="shared" si="37"/>
        <v/>
      </c>
    </row>
    <row r="1182" spans="1:18" ht="22.95" customHeight="1">
      <c r="A1182" t="s">
        <v>3273</v>
      </c>
      <c r="B1182" t="s">
        <v>25</v>
      </c>
      <c r="C1182" t="s">
        <v>3299</v>
      </c>
      <c r="D1182" t="s">
        <v>698</v>
      </c>
      <c r="E1182" t="s">
        <v>3308</v>
      </c>
      <c r="F1182">
        <v>1</v>
      </c>
      <c r="G1182" t="s">
        <v>92</v>
      </c>
      <c r="J1182" t="s">
        <v>99</v>
      </c>
      <c r="L1182" t="s">
        <v>3301</v>
      </c>
      <c r="M1182" t="s">
        <v>102</v>
      </c>
      <c r="P1182">
        <f t="shared" si="36"/>
        <v>1</v>
      </c>
      <c r="Q1182" t="str">
        <f>IF(AND(P1182&gt;1,COUNTIF($E$6:E1182,E1182)=1),MAX($Q$5:Q1181)+1,"")</f>
        <v/>
      </c>
      <c r="R1182" t="str">
        <f t="shared" si="37"/>
        <v/>
      </c>
    </row>
    <row r="1183" spans="1:18" ht="22.95" customHeight="1">
      <c r="A1183" t="s">
        <v>3273</v>
      </c>
      <c r="B1183" t="s">
        <v>25</v>
      </c>
      <c r="C1183" t="s">
        <v>3299</v>
      </c>
      <c r="D1183" t="s">
        <v>698</v>
      </c>
      <c r="E1183" t="s">
        <v>3309</v>
      </c>
      <c r="F1183">
        <v>1</v>
      </c>
      <c r="G1183" t="s">
        <v>92</v>
      </c>
      <c r="J1183" t="s">
        <v>99</v>
      </c>
      <c r="L1183" t="s">
        <v>3301</v>
      </c>
      <c r="M1183" t="s">
        <v>102</v>
      </c>
      <c r="P1183">
        <f t="shared" si="36"/>
        <v>1</v>
      </c>
      <c r="Q1183" t="str">
        <f>IF(AND(P1183&gt;1,COUNTIF($E$6:E1183,E1183)=1),MAX($Q$5:Q1182)+1,"")</f>
        <v/>
      </c>
      <c r="R1183" t="str">
        <f t="shared" si="37"/>
        <v/>
      </c>
    </row>
    <row r="1184" spans="1:18" ht="22.95" customHeight="1">
      <c r="A1184" t="s">
        <v>3273</v>
      </c>
      <c r="B1184" t="s">
        <v>25</v>
      </c>
      <c r="C1184" t="s">
        <v>3299</v>
      </c>
      <c r="D1184" t="s">
        <v>698</v>
      </c>
      <c r="E1184" t="s">
        <v>3310</v>
      </c>
      <c r="F1184">
        <v>1</v>
      </c>
      <c r="G1184" t="s">
        <v>92</v>
      </c>
      <c r="J1184" t="s">
        <v>99</v>
      </c>
      <c r="L1184" t="s">
        <v>3301</v>
      </c>
      <c r="M1184" t="s">
        <v>102</v>
      </c>
      <c r="P1184">
        <f t="shared" si="36"/>
        <v>1</v>
      </c>
      <c r="Q1184" t="str">
        <f>IF(AND(P1184&gt;1,COUNTIF($E$6:E1184,E1184)=1),MAX($Q$5:Q1183)+1,"")</f>
        <v/>
      </c>
      <c r="R1184" t="str">
        <f t="shared" si="37"/>
        <v/>
      </c>
    </row>
    <row r="1185" spans="1:18" ht="22.95" customHeight="1">
      <c r="A1185" t="s">
        <v>3273</v>
      </c>
      <c r="B1185" t="s">
        <v>25</v>
      </c>
      <c r="C1185" t="s">
        <v>3299</v>
      </c>
      <c r="D1185" t="s">
        <v>698</v>
      </c>
      <c r="E1185" t="s">
        <v>3311</v>
      </c>
      <c r="F1185">
        <v>1</v>
      </c>
      <c r="G1185" t="s">
        <v>92</v>
      </c>
      <c r="J1185" t="s">
        <v>99</v>
      </c>
      <c r="L1185" t="s">
        <v>3301</v>
      </c>
      <c r="M1185" t="s">
        <v>102</v>
      </c>
      <c r="P1185">
        <f t="shared" si="36"/>
        <v>1</v>
      </c>
      <c r="Q1185" t="str">
        <f>IF(AND(P1185&gt;1,COUNTIF($E$6:E1185,E1185)=1),MAX($Q$5:Q1184)+1,"")</f>
        <v/>
      </c>
      <c r="R1185" t="str">
        <f t="shared" si="37"/>
        <v/>
      </c>
    </row>
    <row r="1186" spans="1:18" ht="22.95" customHeight="1">
      <c r="A1186" t="s">
        <v>3273</v>
      </c>
      <c r="B1186" t="s">
        <v>25</v>
      </c>
      <c r="C1186" t="s">
        <v>3299</v>
      </c>
      <c r="D1186" t="s">
        <v>698</v>
      </c>
      <c r="E1186" t="s">
        <v>3312</v>
      </c>
      <c r="F1186">
        <v>1</v>
      </c>
      <c r="G1186" t="s">
        <v>92</v>
      </c>
      <c r="J1186" t="s">
        <v>99</v>
      </c>
      <c r="L1186" t="s">
        <v>3301</v>
      </c>
      <c r="M1186" t="s">
        <v>102</v>
      </c>
      <c r="P1186">
        <f t="shared" si="36"/>
        <v>1</v>
      </c>
      <c r="Q1186" t="str">
        <f>IF(AND(P1186&gt;1,COUNTIF($E$6:E1186,E1186)=1),MAX($Q$5:Q1185)+1,"")</f>
        <v/>
      </c>
      <c r="R1186" t="str">
        <f t="shared" si="37"/>
        <v/>
      </c>
    </row>
    <row r="1187" spans="1:18" ht="22.95" customHeight="1">
      <c r="A1187" t="s">
        <v>3273</v>
      </c>
      <c r="B1187" t="s">
        <v>25</v>
      </c>
      <c r="C1187" t="s">
        <v>3299</v>
      </c>
      <c r="D1187" t="s">
        <v>698</v>
      </c>
      <c r="E1187" t="s">
        <v>3313</v>
      </c>
      <c r="F1187">
        <v>1</v>
      </c>
      <c r="G1187" t="s">
        <v>92</v>
      </c>
      <c r="J1187" t="s">
        <v>99</v>
      </c>
      <c r="L1187" t="s">
        <v>3301</v>
      </c>
      <c r="M1187" t="s">
        <v>102</v>
      </c>
      <c r="P1187">
        <f t="shared" si="36"/>
        <v>1</v>
      </c>
      <c r="Q1187" t="str">
        <f>IF(AND(P1187&gt;1,COUNTIF($E$6:E1187,E1187)=1),MAX($Q$5:Q1186)+1,"")</f>
        <v/>
      </c>
      <c r="R1187" t="str">
        <f t="shared" si="37"/>
        <v/>
      </c>
    </row>
    <row r="1188" spans="1:18" ht="22.95" customHeight="1">
      <c r="A1188" t="s">
        <v>3273</v>
      </c>
      <c r="B1188" t="s">
        <v>25</v>
      </c>
      <c r="C1188" t="s">
        <v>115</v>
      </c>
      <c r="D1188" t="s">
        <v>116</v>
      </c>
      <c r="E1188" t="s">
        <v>3314</v>
      </c>
      <c r="F1188">
        <v>1</v>
      </c>
      <c r="G1188" t="s">
        <v>92</v>
      </c>
      <c r="I1188" t="s">
        <v>3315</v>
      </c>
      <c r="J1188" t="s">
        <v>99</v>
      </c>
      <c r="K1188" t="s">
        <v>3316</v>
      </c>
      <c r="L1188" t="s">
        <v>3317</v>
      </c>
      <c r="M1188" t="s">
        <v>62</v>
      </c>
      <c r="N1188" t="s">
        <v>712</v>
      </c>
      <c r="P1188">
        <f t="shared" si="36"/>
        <v>1</v>
      </c>
      <c r="Q1188" t="str">
        <f>IF(AND(P1188&gt;1,COUNTIF($E$6:E1188,E1188)=1),MAX($Q$5:Q1187)+1,"")</f>
        <v/>
      </c>
      <c r="R1188" t="str">
        <f t="shared" si="37"/>
        <v/>
      </c>
    </row>
    <row r="1189" spans="1:18" ht="22.95" customHeight="1">
      <c r="A1189" t="s">
        <v>3273</v>
      </c>
      <c r="B1189" t="s">
        <v>25</v>
      </c>
      <c r="C1189" t="s">
        <v>115</v>
      </c>
      <c r="D1189" t="s">
        <v>116</v>
      </c>
      <c r="E1189" t="s">
        <v>3318</v>
      </c>
      <c r="F1189">
        <v>1</v>
      </c>
      <c r="G1189" t="s">
        <v>92</v>
      </c>
      <c r="I1189" t="s">
        <v>3319</v>
      </c>
      <c r="J1189" t="s">
        <v>99</v>
      </c>
      <c r="K1189" t="s">
        <v>3316</v>
      </c>
      <c r="L1189" t="s">
        <v>3317</v>
      </c>
      <c r="M1189" t="s">
        <v>62</v>
      </c>
      <c r="N1189" t="s">
        <v>712</v>
      </c>
      <c r="P1189">
        <f t="shared" si="36"/>
        <v>1</v>
      </c>
      <c r="Q1189" t="str">
        <f>IF(AND(P1189&gt;1,COUNTIF($E$6:E1189,E1189)=1),MAX($Q$5:Q1188)+1,"")</f>
        <v/>
      </c>
      <c r="R1189" t="str">
        <f t="shared" si="37"/>
        <v/>
      </c>
    </row>
    <row r="1190" spans="1:18" ht="22.95" customHeight="1">
      <c r="A1190" t="s">
        <v>3273</v>
      </c>
      <c r="B1190" t="s">
        <v>25</v>
      </c>
      <c r="C1190" t="s">
        <v>115</v>
      </c>
      <c r="D1190" t="s">
        <v>116</v>
      </c>
      <c r="E1190" t="s">
        <v>3320</v>
      </c>
      <c r="F1190">
        <v>1</v>
      </c>
      <c r="G1190" t="s">
        <v>92</v>
      </c>
      <c r="I1190" t="s">
        <v>3321</v>
      </c>
      <c r="K1190" t="s">
        <v>3316</v>
      </c>
      <c r="L1190" t="s">
        <v>3322</v>
      </c>
      <c r="M1190" t="s">
        <v>62</v>
      </c>
      <c r="N1190" t="s">
        <v>712</v>
      </c>
      <c r="P1190">
        <f t="shared" si="36"/>
        <v>1</v>
      </c>
      <c r="Q1190" t="str">
        <f>IF(AND(P1190&gt;1,COUNTIF($E$6:E1190,E1190)=1),MAX($Q$5:Q1189)+1,"")</f>
        <v/>
      </c>
      <c r="R1190" t="str">
        <f t="shared" si="37"/>
        <v/>
      </c>
    </row>
    <row r="1191" spans="1:18" ht="22.95" customHeight="1">
      <c r="A1191" t="s">
        <v>3273</v>
      </c>
      <c r="B1191" t="s">
        <v>24</v>
      </c>
      <c r="C1191" t="s">
        <v>426</v>
      </c>
      <c r="D1191" t="s">
        <v>427</v>
      </c>
      <c r="E1191" t="s">
        <v>3323</v>
      </c>
      <c r="F1191">
        <v>1</v>
      </c>
      <c r="G1191" t="s">
        <v>92</v>
      </c>
      <c r="I1191" t="s">
        <v>141</v>
      </c>
      <c r="J1191" t="s">
        <v>99</v>
      </c>
      <c r="K1191" t="s">
        <v>141</v>
      </c>
      <c r="L1191" t="s">
        <v>3324</v>
      </c>
      <c r="M1191" t="s">
        <v>102</v>
      </c>
      <c r="P1191">
        <f t="shared" si="36"/>
        <v>1</v>
      </c>
      <c r="Q1191" t="str">
        <f>IF(AND(P1191&gt;1,COUNTIF($E$6:E1191,E1191)=1),MAX($Q$5:Q1190)+1,"")</f>
        <v/>
      </c>
      <c r="R1191" t="str">
        <f t="shared" si="37"/>
        <v/>
      </c>
    </row>
    <row r="1192" spans="1:18" ht="22.95" customHeight="1">
      <c r="A1192" t="s">
        <v>3273</v>
      </c>
      <c r="B1192" t="s">
        <v>24</v>
      </c>
      <c r="C1192" t="s">
        <v>426</v>
      </c>
      <c r="D1192" t="s">
        <v>427</v>
      </c>
      <c r="E1192" t="s">
        <v>3325</v>
      </c>
      <c r="F1192">
        <v>1</v>
      </c>
      <c r="G1192" t="s">
        <v>92</v>
      </c>
      <c r="I1192" t="s">
        <v>141</v>
      </c>
      <c r="J1192" t="s">
        <v>99</v>
      </c>
      <c r="K1192" t="s">
        <v>141</v>
      </c>
      <c r="L1192" t="s">
        <v>3324</v>
      </c>
      <c r="M1192" t="s">
        <v>102</v>
      </c>
      <c r="P1192">
        <f t="shared" si="36"/>
        <v>1</v>
      </c>
      <c r="Q1192" t="str">
        <f>IF(AND(P1192&gt;1,COUNTIF($E$6:E1192,E1192)=1),MAX($Q$5:Q1191)+1,"")</f>
        <v/>
      </c>
      <c r="R1192" t="str">
        <f t="shared" si="37"/>
        <v/>
      </c>
    </row>
    <row r="1193" spans="1:18" ht="22.95" customHeight="1">
      <c r="A1193" t="s">
        <v>3273</v>
      </c>
      <c r="B1193" t="s">
        <v>24</v>
      </c>
      <c r="C1193" t="s">
        <v>426</v>
      </c>
      <c r="D1193" t="s">
        <v>427</v>
      </c>
      <c r="E1193" t="s">
        <v>3326</v>
      </c>
      <c r="F1193">
        <v>1</v>
      </c>
      <c r="G1193" t="s">
        <v>92</v>
      </c>
      <c r="I1193" t="s">
        <v>733</v>
      </c>
      <c r="K1193" t="s">
        <v>2579</v>
      </c>
      <c r="L1193" t="s">
        <v>3327</v>
      </c>
      <c r="M1193" t="s">
        <v>102</v>
      </c>
      <c r="P1193">
        <f t="shared" si="36"/>
        <v>1</v>
      </c>
      <c r="Q1193" t="str">
        <f>IF(AND(P1193&gt;1,COUNTIF($E$6:E1193,E1193)=1),MAX($Q$5:Q1192)+1,"")</f>
        <v/>
      </c>
      <c r="R1193" t="str">
        <f t="shared" si="37"/>
        <v/>
      </c>
    </row>
    <row r="1194" spans="1:18" ht="22.95" customHeight="1">
      <c r="A1194" t="s">
        <v>3273</v>
      </c>
      <c r="B1194" t="s">
        <v>24</v>
      </c>
      <c r="C1194" t="s">
        <v>426</v>
      </c>
      <c r="D1194" t="s">
        <v>427</v>
      </c>
      <c r="E1194" t="s">
        <v>3328</v>
      </c>
      <c r="F1194">
        <v>1</v>
      </c>
      <c r="G1194" t="s">
        <v>139</v>
      </c>
      <c r="I1194" t="s">
        <v>3329</v>
      </c>
      <c r="K1194" t="s">
        <v>3330</v>
      </c>
      <c r="L1194" t="s">
        <v>3331</v>
      </c>
      <c r="M1194" t="s">
        <v>62</v>
      </c>
      <c r="N1194" t="s">
        <v>63</v>
      </c>
      <c r="P1194">
        <f t="shared" si="36"/>
        <v>1</v>
      </c>
      <c r="Q1194" t="str">
        <f>IF(AND(P1194&gt;1,COUNTIF($E$6:E1194,E1194)=1),MAX($Q$5:Q1193)+1,"")</f>
        <v/>
      </c>
      <c r="R1194" t="str">
        <f t="shared" si="37"/>
        <v/>
      </c>
    </row>
    <row r="1195" spans="1:18" ht="22.95" customHeight="1">
      <c r="A1195" t="s">
        <v>3273</v>
      </c>
      <c r="B1195" t="s">
        <v>24</v>
      </c>
      <c r="C1195" t="s">
        <v>426</v>
      </c>
      <c r="D1195" t="s">
        <v>427</v>
      </c>
      <c r="E1195" t="s">
        <v>3332</v>
      </c>
      <c r="F1195">
        <v>1</v>
      </c>
      <c r="G1195" t="s">
        <v>92</v>
      </c>
      <c r="I1195" t="s">
        <v>3333</v>
      </c>
      <c r="J1195" t="s">
        <v>446</v>
      </c>
      <c r="K1195" t="s">
        <v>3334</v>
      </c>
      <c r="L1195" t="s">
        <v>3335</v>
      </c>
      <c r="M1195" t="s">
        <v>102</v>
      </c>
      <c r="P1195">
        <f t="shared" si="36"/>
        <v>1</v>
      </c>
      <c r="Q1195" t="str">
        <f>IF(AND(P1195&gt;1,COUNTIF($E$6:E1195,E1195)=1),MAX($Q$5:Q1194)+1,"")</f>
        <v/>
      </c>
      <c r="R1195" t="str">
        <f t="shared" si="37"/>
        <v/>
      </c>
    </row>
    <row r="1196" spans="1:18" ht="22.95" customHeight="1">
      <c r="A1196" t="s">
        <v>3273</v>
      </c>
      <c r="B1196" t="s">
        <v>24</v>
      </c>
      <c r="C1196" t="s">
        <v>426</v>
      </c>
      <c r="D1196" t="s">
        <v>427</v>
      </c>
      <c r="E1196" t="s">
        <v>3336</v>
      </c>
      <c r="F1196">
        <v>1</v>
      </c>
      <c r="G1196" t="s">
        <v>92</v>
      </c>
      <c r="I1196" t="s">
        <v>3337</v>
      </c>
      <c r="J1196" t="s">
        <v>446</v>
      </c>
      <c r="K1196" t="s">
        <v>3334</v>
      </c>
      <c r="L1196" t="s">
        <v>3338</v>
      </c>
      <c r="M1196" t="s">
        <v>102</v>
      </c>
      <c r="P1196">
        <f t="shared" si="36"/>
        <v>1</v>
      </c>
      <c r="Q1196" t="str">
        <f>IF(AND(P1196&gt;1,COUNTIF($E$6:E1196,E1196)=1),MAX($Q$5:Q1195)+1,"")</f>
        <v/>
      </c>
      <c r="R1196" t="str">
        <f t="shared" si="37"/>
        <v/>
      </c>
    </row>
    <row r="1197" spans="1:18" ht="22.95" customHeight="1">
      <c r="A1197" t="s">
        <v>3273</v>
      </c>
      <c r="B1197" t="s">
        <v>24</v>
      </c>
      <c r="C1197" t="s">
        <v>426</v>
      </c>
      <c r="D1197" t="s">
        <v>427</v>
      </c>
      <c r="E1197" t="s">
        <v>3339</v>
      </c>
      <c r="F1197">
        <v>1</v>
      </c>
      <c r="G1197" t="s">
        <v>92</v>
      </c>
      <c r="I1197" t="s">
        <v>3337</v>
      </c>
      <c r="J1197" t="s">
        <v>446</v>
      </c>
      <c r="K1197" t="s">
        <v>3334</v>
      </c>
      <c r="L1197" t="s">
        <v>3338</v>
      </c>
      <c r="M1197" t="s">
        <v>102</v>
      </c>
      <c r="P1197">
        <f t="shared" si="36"/>
        <v>1</v>
      </c>
      <c r="Q1197" t="str">
        <f>IF(AND(P1197&gt;1,COUNTIF($E$6:E1197,E1197)=1),MAX($Q$5:Q1196)+1,"")</f>
        <v/>
      </c>
      <c r="R1197" t="str">
        <f t="shared" si="37"/>
        <v/>
      </c>
    </row>
    <row r="1198" spans="1:18" ht="22.95" customHeight="1">
      <c r="A1198" t="s">
        <v>3273</v>
      </c>
      <c r="B1198" t="s">
        <v>24</v>
      </c>
      <c r="C1198" t="s">
        <v>619</v>
      </c>
      <c r="D1198" t="s">
        <v>3340</v>
      </c>
      <c r="E1198" t="s">
        <v>3341</v>
      </c>
      <c r="F1198">
        <v>1</v>
      </c>
      <c r="G1198" t="s">
        <v>92</v>
      </c>
      <c r="I1198" t="s">
        <v>3342</v>
      </c>
      <c r="K1198" t="s">
        <v>109</v>
      </c>
      <c r="L1198" t="s">
        <v>3343</v>
      </c>
      <c r="M1198" t="s">
        <v>73</v>
      </c>
      <c r="P1198">
        <f t="shared" si="36"/>
        <v>1</v>
      </c>
      <c r="Q1198" t="str">
        <f>IF(AND(P1198&gt;1,COUNTIF($E$6:E1198,E1198)=1),MAX($Q$5:Q1197)+1,"")</f>
        <v/>
      </c>
      <c r="R1198" t="str">
        <f t="shared" si="37"/>
        <v/>
      </c>
    </row>
    <row r="1199" spans="1:18" ht="22.95" customHeight="1">
      <c r="A1199" t="s">
        <v>3273</v>
      </c>
      <c r="B1199" t="s">
        <v>24</v>
      </c>
      <c r="C1199" t="s">
        <v>619</v>
      </c>
      <c r="D1199" t="s">
        <v>3340</v>
      </c>
      <c r="E1199" t="s">
        <v>3344</v>
      </c>
      <c r="F1199">
        <v>1</v>
      </c>
      <c r="G1199" t="s">
        <v>92</v>
      </c>
      <c r="I1199" t="s">
        <v>3342</v>
      </c>
      <c r="K1199" t="s">
        <v>109</v>
      </c>
      <c r="L1199" t="s">
        <v>3343</v>
      </c>
      <c r="M1199" t="s">
        <v>73</v>
      </c>
      <c r="P1199">
        <f t="shared" si="36"/>
        <v>1</v>
      </c>
      <c r="Q1199" t="str">
        <f>IF(AND(P1199&gt;1,COUNTIF($E$6:E1199,E1199)=1),MAX($Q$5:Q1198)+1,"")</f>
        <v/>
      </c>
      <c r="R1199" t="str">
        <f t="shared" si="37"/>
        <v/>
      </c>
    </row>
    <row r="1200" spans="1:18" ht="22.95" customHeight="1">
      <c r="A1200" t="s">
        <v>3273</v>
      </c>
      <c r="B1200" t="s">
        <v>24</v>
      </c>
      <c r="C1200" t="s">
        <v>436</v>
      </c>
      <c r="D1200" t="s">
        <v>437</v>
      </c>
      <c r="E1200" t="s">
        <v>3345</v>
      </c>
      <c r="F1200">
        <v>1</v>
      </c>
      <c r="G1200" t="s">
        <v>92</v>
      </c>
      <c r="I1200" t="s">
        <v>141</v>
      </c>
      <c r="K1200" t="s">
        <v>406</v>
      </c>
      <c r="L1200" t="s">
        <v>3346</v>
      </c>
      <c r="M1200" t="s">
        <v>102</v>
      </c>
      <c r="P1200">
        <f t="shared" si="36"/>
        <v>1</v>
      </c>
      <c r="Q1200" t="str">
        <f>IF(AND(P1200&gt;1,COUNTIF($E$6:E1200,E1200)=1),MAX($Q$5:Q1199)+1,"")</f>
        <v/>
      </c>
      <c r="R1200" t="str">
        <f t="shared" si="37"/>
        <v/>
      </c>
    </row>
    <row r="1201" spans="1:18" ht="22.95" customHeight="1">
      <c r="A1201" t="s">
        <v>3273</v>
      </c>
      <c r="B1201" t="s">
        <v>24</v>
      </c>
      <c r="C1201" t="s">
        <v>136</v>
      </c>
      <c r="D1201" t="s">
        <v>674</v>
      </c>
      <c r="E1201" t="s">
        <v>3347</v>
      </c>
      <c r="F1201">
        <v>1</v>
      </c>
      <c r="G1201" t="s">
        <v>3348</v>
      </c>
      <c r="H1201" t="s">
        <v>1155</v>
      </c>
      <c r="I1201" t="s">
        <v>3349</v>
      </c>
      <c r="K1201" t="s">
        <v>2638</v>
      </c>
      <c r="L1201" t="s">
        <v>3350</v>
      </c>
      <c r="M1201" t="s">
        <v>102</v>
      </c>
      <c r="P1201">
        <f t="shared" si="36"/>
        <v>1</v>
      </c>
      <c r="Q1201" t="str">
        <f>IF(AND(P1201&gt;1,COUNTIF($E$6:E1201,E1201)=1),MAX($Q$5:Q1200)+1,"")</f>
        <v/>
      </c>
      <c r="R1201" t="str">
        <f t="shared" si="37"/>
        <v/>
      </c>
    </row>
    <row r="1202" spans="1:18" ht="22.95" customHeight="1">
      <c r="A1202" t="s">
        <v>3273</v>
      </c>
      <c r="B1202" t="s">
        <v>24</v>
      </c>
      <c r="C1202" t="s">
        <v>136</v>
      </c>
      <c r="D1202" t="s">
        <v>674</v>
      </c>
      <c r="E1202" t="s">
        <v>3351</v>
      </c>
      <c r="F1202">
        <v>1</v>
      </c>
      <c r="G1202" t="s">
        <v>3348</v>
      </c>
      <c r="H1202" t="s">
        <v>1155</v>
      </c>
      <c r="I1202" t="s">
        <v>3352</v>
      </c>
      <c r="K1202" t="s">
        <v>2638</v>
      </c>
      <c r="L1202" t="s">
        <v>3353</v>
      </c>
      <c r="M1202" t="s">
        <v>102</v>
      </c>
      <c r="P1202">
        <f t="shared" si="36"/>
        <v>1</v>
      </c>
      <c r="Q1202" t="str">
        <f>IF(AND(P1202&gt;1,COUNTIF($E$6:E1202,E1202)=1),MAX($Q$5:Q1201)+1,"")</f>
        <v/>
      </c>
      <c r="R1202" t="str">
        <f t="shared" si="37"/>
        <v/>
      </c>
    </row>
    <row r="1203" spans="1:18" ht="22.95" customHeight="1">
      <c r="A1203" t="s">
        <v>3273</v>
      </c>
      <c r="B1203" t="s">
        <v>24</v>
      </c>
      <c r="C1203" t="s">
        <v>136</v>
      </c>
      <c r="D1203" t="s">
        <v>674</v>
      </c>
      <c r="E1203" t="s">
        <v>3354</v>
      </c>
      <c r="F1203">
        <v>1</v>
      </c>
      <c r="G1203" t="s">
        <v>3348</v>
      </c>
      <c r="H1203" t="s">
        <v>1155</v>
      </c>
      <c r="I1203" t="s">
        <v>3355</v>
      </c>
      <c r="K1203" t="s">
        <v>2638</v>
      </c>
      <c r="L1203" t="s">
        <v>3356</v>
      </c>
      <c r="M1203" t="s">
        <v>62</v>
      </c>
      <c r="N1203" t="s">
        <v>712</v>
      </c>
      <c r="P1203">
        <f t="shared" si="36"/>
        <v>1</v>
      </c>
      <c r="Q1203" t="str">
        <f>IF(AND(P1203&gt;1,COUNTIF($E$6:E1203,E1203)=1),MAX($Q$5:Q1202)+1,"")</f>
        <v/>
      </c>
      <c r="R1203" t="str">
        <f t="shared" si="37"/>
        <v/>
      </c>
    </row>
    <row r="1204" spans="1:18" ht="22.95" customHeight="1">
      <c r="A1204" t="s">
        <v>3273</v>
      </c>
      <c r="B1204" t="s">
        <v>24</v>
      </c>
      <c r="C1204" t="s">
        <v>136</v>
      </c>
      <c r="D1204" t="s">
        <v>674</v>
      </c>
      <c r="E1204" t="s">
        <v>3357</v>
      </c>
      <c r="F1204">
        <v>1</v>
      </c>
      <c r="G1204" t="s">
        <v>92</v>
      </c>
      <c r="K1204" t="s">
        <v>109</v>
      </c>
      <c r="L1204" t="s">
        <v>3358</v>
      </c>
      <c r="M1204" t="s">
        <v>102</v>
      </c>
      <c r="P1204">
        <f t="shared" si="36"/>
        <v>1</v>
      </c>
      <c r="Q1204" t="str">
        <f>IF(AND(P1204&gt;1,COUNTIF($E$6:E1204,E1204)=1),MAX($Q$5:Q1203)+1,"")</f>
        <v/>
      </c>
      <c r="R1204" t="str">
        <f t="shared" si="37"/>
        <v/>
      </c>
    </row>
    <row r="1205" spans="1:18" ht="22.95" customHeight="1">
      <c r="A1205" t="s">
        <v>3273</v>
      </c>
      <c r="B1205" t="s">
        <v>24</v>
      </c>
      <c r="C1205" t="s">
        <v>136</v>
      </c>
      <c r="D1205" t="s">
        <v>3359</v>
      </c>
      <c r="E1205" t="s">
        <v>3360</v>
      </c>
      <c r="F1205">
        <v>1</v>
      </c>
      <c r="G1205" t="s">
        <v>92</v>
      </c>
      <c r="K1205" t="s">
        <v>109</v>
      </c>
      <c r="L1205" t="s">
        <v>3361</v>
      </c>
      <c r="M1205" t="s">
        <v>102</v>
      </c>
      <c r="P1205">
        <f t="shared" si="36"/>
        <v>1</v>
      </c>
      <c r="Q1205" t="str">
        <f>IF(AND(P1205&gt;1,COUNTIF($E$6:E1205,E1205)=1),MAX($Q$5:Q1204)+1,"")</f>
        <v/>
      </c>
      <c r="R1205" t="str">
        <f t="shared" si="37"/>
        <v/>
      </c>
    </row>
    <row r="1206" spans="1:18" ht="22.95" customHeight="1">
      <c r="A1206" t="s">
        <v>3273</v>
      </c>
      <c r="B1206" t="s">
        <v>24</v>
      </c>
      <c r="C1206" t="s">
        <v>136</v>
      </c>
      <c r="D1206" t="s">
        <v>3362</v>
      </c>
      <c r="E1206" t="s">
        <v>3363</v>
      </c>
      <c r="F1206">
        <v>1</v>
      </c>
      <c r="G1206" t="s">
        <v>92</v>
      </c>
      <c r="K1206" t="s">
        <v>109</v>
      </c>
      <c r="L1206" t="s">
        <v>3364</v>
      </c>
      <c r="M1206" t="s">
        <v>102</v>
      </c>
      <c r="P1206">
        <f t="shared" si="36"/>
        <v>1</v>
      </c>
      <c r="Q1206" t="str">
        <f>IF(AND(P1206&gt;1,COUNTIF($E$6:E1206,E1206)=1),MAX($Q$5:Q1205)+1,"")</f>
        <v/>
      </c>
      <c r="R1206" t="str">
        <f t="shared" si="37"/>
        <v/>
      </c>
    </row>
    <row r="1207" spans="1:18" ht="22.95" customHeight="1">
      <c r="A1207" t="s">
        <v>3273</v>
      </c>
      <c r="B1207" t="s">
        <v>24</v>
      </c>
      <c r="C1207" t="s">
        <v>136</v>
      </c>
      <c r="D1207" t="s">
        <v>3365</v>
      </c>
      <c r="E1207" t="s">
        <v>3366</v>
      </c>
      <c r="F1207">
        <v>1</v>
      </c>
      <c r="G1207" t="s">
        <v>92</v>
      </c>
      <c r="K1207" t="s">
        <v>109</v>
      </c>
      <c r="L1207" t="s">
        <v>3364</v>
      </c>
      <c r="M1207" t="s">
        <v>102</v>
      </c>
      <c r="P1207">
        <f t="shared" si="36"/>
        <v>1</v>
      </c>
      <c r="Q1207" t="str">
        <f>IF(AND(P1207&gt;1,COUNTIF($E$6:E1207,E1207)=1),MAX($Q$5:Q1206)+1,"")</f>
        <v/>
      </c>
      <c r="R1207" t="str">
        <f t="shared" si="37"/>
        <v/>
      </c>
    </row>
    <row r="1208" spans="1:18" ht="22.95" customHeight="1">
      <c r="A1208" t="s">
        <v>3273</v>
      </c>
      <c r="B1208" t="s">
        <v>24</v>
      </c>
      <c r="C1208" t="s">
        <v>136</v>
      </c>
      <c r="D1208" t="s">
        <v>3367</v>
      </c>
      <c r="E1208" t="s">
        <v>3368</v>
      </c>
      <c r="F1208">
        <v>1</v>
      </c>
      <c r="G1208" t="s">
        <v>92</v>
      </c>
      <c r="K1208" t="s">
        <v>109</v>
      </c>
      <c r="L1208" t="s">
        <v>3361</v>
      </c>
      <c r="M1208" t="s">
        <v>102</v>
      </c>
      <c r="P1208">
        <f t="shared" si="36"/>
        <v>1</v>
      </c>
      <c r="Q1208" t="str">
        <f>IF(AND(P1208&gt;1,COUNTIF($E$6:E1208,E1208)=1),MAX($Q$5:Q1207)+1,"")</f>
        <v/>
      </c>
      <c r="R1208" t="str">
        <f t="shared" si="37"/>
        <v/>
      </c>
    </row>
    <row r="1209" spans="1:18" ht="22.95" customHeight="1">
      <c r="A1209" t="s">
        <v>3273</v>
      </c>
      <c r="B1209" t="s">
        <v>28</v>
      </c>
      <c r="C1209" t="s">
        <v>146</v>
      </c>
      <c r="D1209" t="s">
        <v>147</v>
      </c>
      <c r="E1209" t="s">
        <v>3369</v>
      </c>
      <c r="F1209">
        <v>1</v>
      </c>
      <c r="G1209" t="s">
        <v>3370</v>
      </c>
      <c r="H1209" t="s">
        <v>3371</v>
      </c>
      <c r="I1209" t="s">
        <v>140</v>
      </c>
      <c r="K1209" t="s">
        <v>140</v>
      </c>
      <c r="L1209" t="s">
        <v>3372</v>
      </c>
      <c r="M1209" t="s">
        <v>62</v>
      </c>
      <c r="N1209" t="s">
        <v>520</v>
      </c>
      <c r="P1209">
        <f t="shared" si="36"/>
        <v>1</v>
      </c>
      <c r="Q1209" t="str">
        <f>IF(AND(P1209&gt;1,COUNTIF($E$6:E1209,E1209)=1),MAX($Q$5:Q1208)+1,"")</f>
        <v/>
      </c>
      <c r="R1209" t="str">
        <f t="shared" si="37"/>
        <v/>
      </c>
    </row>
    <row r="1210" spans="1:18" ht="22.95" customHeight="1">
      <c r="A1210" t="s">
        <v>3273</v>
      </c>
      <c r="B1210" t="s">
        <v>28</v>
      </c>
      <c r="C1210" t="s">
        <v>146</v>
      </c>
      <c r="D1210" t="s">
        <v>147</v>
      </c>
      <c r="E1210" t="s">
        <v>3373</v>
      </c>
      <c r="F1210">
        <v>1</v>
      </c>
      <c r="G1210" t="s">
        <v>3370</v>
      </c>
      <c r="H1210" t="s">
        <v>3371</v>
      </c>
      <c r="I1210" t="s">
        <v>140</v>
      </c>
      <c r="K1210" t="s">
        <v>140</v>
      </c>
      <c r="L1210" t="s">
        <v>3372</v>
      </c>
      <c r="M1210" t="s">
        <v>62</v>
      </c>
      <c r="N1210" t="s">
        <v>520</v>
      </c>
      <c r="P1210">
        <f t="shared" si="36"/>
        <v>1</v>
      </c>
      <c r="Q1210" t="str">
        <f>IF(AND(P1210&gt;1,COUNTIF($E$6:E1210,E1210)=1),MAX($Q$5:Q1209)+1,"")</f>
        <v/>
      </c>
      <c r="R1210" t="str">
        <f t="shared" si="37"/>
        <v/>
      </c>
    </row>
    <row r="1211" spans="1:18" ht="22.95" customHeight="1">
      <c r="A1211" t="s">
        <v>3273</v>
      </c>
      <c r="B1211" t="s">
        <v>28</v>
      </c>
      <c r="C1211" t="s">
        <v>146</v>
      </c>
      <c r="D1211" t="s">
        <v>147</v>
      </c>
      <c r="E1211" t="s">
        <v>3374</v>
      </c>
      <c r="F1211">
        <v>1</v>
      </c>
      <c r="G1211" t="s">
        <v>3370</v>
      </c>
      <c r="H1211" t="s">
        <v>3371</v>
      </c>
      <c r="I1211" t="s">
        <v>140</v>
      </c>
      <c r="K1211" t="s">
        <v>140</v>
      </c>
      <c r="L1211" t="s">
        <v>3372</v>
      </c>
      <c r="M1211" t="s">
        <v>62</v>
      </c>
      <c r="N1211" t="s">
        <v>520</v>
      </c>
      <c r="P1211">
        <f t="shared" si="36"/>
        <v>1</v>
      </c>
      <c r="Q1211" t="str">
        <f>IF(AND(P1211&gt;1,COUNTIF($E$6:E1211,E1211)=1),MAX($Q$5:Q1210)+1,"")</f>
        <v/>
      </c>
      <c r="R1211" t="str">
        <f t="shared" si="37"/>
        <v/>
      </c>
    </row>
    <row r="1212" spans="1:18" ht="22.95" customHeight="1">
      <c r="A1212" t="s">
        <v>3273</v>
      </c>
      <c r="B1212" t="s">
        <v>28</v>
      </c>
      <c r="C1212" t="s">
        <v>146</v>
      </c>
      <c r="D1212" t="s">
        <v>147</v>
      </c>
      <c r="E1212" t="s">
        <v>3375</v>
      </c>
      <c r="F1212">
        <v>1</v>
      </c>
      <c r="G1212" t="s">
        <v>3370</v>
      </c>
      <c r="H1212" t="s">
        <v>3371</v>
      </c>
      <c r="I1212" t="s">
        <v>140</v>
      </c>
      <c r="K1212" t="s">
        <v>140</v>
      </c>
      <c r="L1212" t="s">
        <v>3372</v>
      </c>
      <c r="M1212" t="s">
        <v>62</v>
      </c>
      <c r="N1212" t="s">
        <v>520</v>
      </c>
      <c r="P1212">
        <f t="shared" si="36"/>
        <v>1</v>
      </c>
      <c r="Q1212" t="str">
        <f>IF(AND(P1212&gt;1,COUNTIF($E$6:E1212,E1212)=1),MAX($Q$5:Q1211)+1,"")</f>
        <v/>
      </c>
      <c r="R1212" t="str">
        <f t="shared" si="37"/>
        <v/>
      </c>
    </row>
    <row r="1213" spans="1:18" ht="22.95" customHeight="1">
      <c r="A1213" t="s">
        <v>3273</v>
      </c>
      <c r="B1213" t="s">
        <v>28</v>
      </c>
      <c r="C1213" t="s">
        <v>146</v>
      </c>
      <c r="D1213" t="s">
        <v>147</v>
      </c>
      <c r="E1213" t="s">
        <v>3376</v>
      </c>
      <c r="F1213">
        <v>1</v>
      </c>
      <c r="G1213" t="s">
        <v>92</v>
      </c>
      <c r="I1213" t="s">
        <v>3377</v>
      </c>
      <c r="K1213" t="s">
        <v>109</v>
      </c>
      <c r="L1213" t="s">
        <v>3378</v>
      </c>
      <c r="M1213" t="s">
        <v>73</v>
      </c>
      <c r="P1213">
        <f t="shared" si="36"/>
        <v>1</v>
      </c>
      <c r="Q1213" t="str">
        <f>IF(AND(P1213&gt;1,COUNTIF($E$6:E1213,E1213)=1),MAX($Q$5:Q1212)+1,"")</f>
        <v/>
      </c>
      <c r="R1213" t="str">
        <f t="shared" si="37"/>
        <v/>
      </c>
    </row>
    <row r="1214" spans="1:18" ht="22.95" customHeight="1">
      <c r="A1214" t="s">
        <v>3273</v>
      </c>
      <c r="B1214" t="s">
        <v>28</v>
      </c>
      <c r="C1214" t="s">
        <v>146</v>
      </c>
      <c r="D1214" t="s">
        <v>147</v>
      </c>
      <c r="E1214" t="s">
        <v>3379</v>
      </c>
      <c r="F1214">
        <v>1</v>
      </c>
      <c r="G1214" t="s">
        <v>92</v>
      </c>
      <c r="I1214" t="s">
        <v>3380</v>
      </c>
      <c r="J1214" t="s">
        <v>446</v>
      </c>
      <c r="K1214" t="s">
        <v>1371</v>
      </c>
      <c r="L1214" t="s">
        <v>3381</v>
      </c>
      <c r="M1214" t="s">
        <v>102</v>
      </c>
      <c r="P1214">
        <f t="shared" si="36"/>
        <v>1</v>
      </c>
      <c r="Q1214" t="str">
        <f>IF(AND(P1214&gt;1,COUNTIF($E$6:E1214,E1214)=1),MAX($Q$5:Q1213)+1,"")</f>
        <v/>
      </c>
      <c r="R1214" t="str">
        <f t="shared" si="37"/>
        <v/>
      </c>
    </row>
    <row r="1215" spans="1:18" ht="22.95" customHeight="1">
      <c r="A1215" t="s">
        <v>3273</v>
      </c>
      <c r="B1215" t="s">
        <v>28</v>
      </c>
      <c r="C1215" t="s">
        <v>167</v>
      </c>
      <c r="D1215" t="s">
        <v>168</v>
      </c>
      <c r="E1215" t="s">
        <v>3382</v>
      </c>
      <c r="F1215">
        <v>1</v>
      </c>
      <c r="G1215" t="s">
        <v>92</v>
      </c>
      <c r="I1215" t="s">
        <v>3383</v>
      </c>
      <c r="K1215" t="s">
        <v>109</v>
      </c>
      <c r="L1215" t="s">
        <v>3384</v>
      </c>
      <c r="M1215" t="s">
        <v>73</v>
      </c>
      <c r="P1215">
        <f t="shared" si="36"/>
        <v>1</v>
      </c>
      <c r="Q1215" t="str">
        <f>IF(AND(P1215&gt;1,COUNTIF($E$6:E1215,E1215)=1),MAX($Q$5:Q1214)+1,"")</f>
        <v/>
      </c>
      <c r="R1215" t="str">
        <f t="shared" si="37"/>
        <v/>
      </c>
    </row>
    <row r="1216" spans="1:18" ht="22.95" customHeight="1">
      <c r="A1216" t="s">
        <v>3273</v>
      </c>
      <c r="B1216" t="s">
        <v>28</v>
      </c>
      <c r="C1216" t="s">
        <v>167</v>
      </c>
      <c r="D1216" t="s">
        <v>168</v>
      </c>
      <c r="E1216" t="s">
        <v>3385</v>
      </c>
      <c r="F1216">
        <v>1</v>
      </c>
      <c r="G1216" t="s">
        <v>92</v>
      </c>
      <c r="I1216" t="s">
        <v>3386</v>
      </c>
      <c r="K1216" t="s">
        <v>109</v>
      </c>
      <c r="L1216" t="s">
        <v>3384</v>
      </c>
      <c r="M1216" t="s">
        <v>73</v>
      </c>
      <c r="P1216">
        <f t="shared" si="36"/>
        <v>1</v>
      </c>
      <c r="Q1216" t="str">
        <f>IF(AND(P1216&gt;1,COUNTIF($E$6:E1216,E1216)=1),MAX($Q$5:Q1215)+1,"")</f>
        <v/>
      </c>
      <c r="R1216" t="str">
        <f t="shared" si="37"/>
        <v/>
      </c>
    </row>
    <row r="1217" spans="1:18" ht="22.95" customHeight="1">
      <c r="A1217" t="s">
        <v>3273</v>
      </c>
      <c r="B1217" t="s">
        <v>28</v>
      </c>
      <c r="C1217" t="s">
        <v>167</v>
      </c>
      <c r="D1217" t="s">
        <v>168</v>
      </c>
      <c r="E1217" t="s">
        <v>3387</v>
      </c>
      <c r="F1217">
        <v>1</v>
      </c>
      <c r="G1217" t="s">
        <v>139</v>
      </c>
      <c r="I1217" t="s">
        <v>140</v>
      </c>
      <c r="K1217" t="s">
        <v>3388</v>
      </c>
      <c r="L1217" t="s">
        <v>3389</v>
      </c>
      <c r="M1217" t="s">
        <v>62</v>
      </c>
      <c r="N1217" t="s">
        <v>63</v>
      </c>
      <c r="P1217">
        <f t="shared" si="36"/>
        <v>1</v>
      </c>
      <c r="Q1217" t="str">
        <f>IF(AND(P1217&gt;1,COUNTIF($E$6:E1217,E1217)=1),MAX($Q$5:Q1216)+1,"")</f>
        <v/>
      </c>
      <c r="R1217" t="str">
        <f t="shared" si="37"/>
        <v/>
      </c>
    </row>
    <row r="1218" spans="1:18" ht="22.95" customHeight="1">
      <c r="A1218" t="s">
        <v>3273</v>
      </c>
      <c r="B1218" t="s">
        <v>30</v>
      </c>
      <c r="C1218" t="s">
        <v>180</v>
      </c>
      <c r="D1218" t="s">
        <v>181</v>
      </c>
      <c r="E1218" t="s">
        <v>3390</v>
      </c>
      <c r="F1218">
        <v>1</v>
      </c>
      <c r="G1218" t="s">
        <v>3391</v>
      </c>
      <c r="H1218" t="s">
        <v>3060</v>
      </c>
      <c r="I1218" t="s">
        <v>3392</v>
      </c>
      <c r="K1218" t="s">
        <v>1417</v>
      </c>
      <c r="L1218" t="s">
        <v>3393</v>
      </c>
      <c r="M1218" t="s">
        <v>62</v>
      </c>
      <c r="N1218" t="s">
        <v>130</v>
      </c>
      <c r="P1218">
        <f t="shared" si="36"/>
        <v>1</v>
      </c>
      <c r="Q1218" t="str">
        <f>IF(AND(P1218&gt;1,COUNTIF($E$6:E1218,E1218)=1),MAX($Q$5:Q1217)+1,"")</f>
        <v/>
      </c>
      <c r="R1218" t="str">
        <f t="shared" si="37"/>
        <v/>
      </c>
    </row>
    <row r="1219" spans="1:18" ht="22.95" customHeight="1">
      <c r="A1219" t="s">
        <v>3273</v>
      </c>
      <c r="B1219" t="s">
        <v>30</v>
      </c>
      <c r="C1219" t="s">
        <v>180</v>
      </c>
      <c r="D1219" t="s">
        <v>181</v>
      </c>
      <c r="E1219" t="s">
        <v>3394</v>
      </c>
      <c r="F1219">
        <v>1</v>
      </c>
      <c r="G1219" t="s">
        <v>3395</v>
      </c>
      <c r="H1219" t="s">
        <v>3396</v>
      </c>
      <c r="I1219" t="s">
        <v>3397</v>
      </c>
      <c r="L1219" t="s">
        <v>3398</v>
      </c>
      <c r="M1219" t="s">
        <v>62</v>
      </c>
      <c r="N1219" t="s">
        <v>130</v>
      </c>
      <c r="P1219">
        <f t="shared" si="36"/>
        <v>1</v>
      </c>
      <c r="Q1219" t="str">
        <f>IF(AND(P1219&gt;1,COUNTIF($E$6:E1219,E1219)=1),MAX($Q$5:Q1218)+1,"")</f>
        <v/>
      </c>
      <c r="R1219" t="str">
        <f t="shared" si="37"/>
        <v/>
      </c>
    </row>
    <row r="1220" spans="1:18" ht="22.95" customHeight="1">
      <c r="A1220" t="s">
        <v>3273</v>
      </c>
      <c r="B1220" t="s">
        <v>30</v>
      </c>
      <c r="C1220" t="s">
        <v>180</v>
      </c>
      <c r="D1220" t="s">
        <v>181</v>
      </c>
      <c r="E1220" t="s">
        <v>3399</v>
      </c>
      <c r="F1220">
        <v>1</v>
      </c>
      <c r="G1220" t="s">
        <v>702</v>
      </c>
      <c r="H1220" t="s">
        <v>780</v>
      </c>
      <c r="I1220" t="s">
        <v>3400</v>
      </c>
      <c r="L1220" t="s">
        <v>3401</v>
      </c>
      <c r="M1220" t="s">
        <v>62</v>
      </c>
      <c r="N1220" t="s">
        <v>130</v>
      </c>
      <c r="P1220">
        <f t="shared" si="36"/>
        <v>1</v>
      </c>
      <c r="Q1220" t="str">
        <f>IF(AND(P1220&gt;1,COUNTIF($E$6:E1220,E1220)=1),MAX($Q$5:Q1219)+1,"")</f>
        <v/>
      </c>
      <c r="R1220" t="str">
        <f t="shared" si="37"/>
        <v/>
      </c>
    </row>
    <row r="1221" spans="1:18" ht="22.95" customHeight="1">
      <c r="A1221" t="s">
        <v>3273</v>
      </c>
      <c r="B1221" t="s">
        <v>30</v>
      </c>
      <c r="C1221" t="s">
        <v>188</v>
      </c>
      <c r="D1221" t="s">
        <v>189</v>
      </c>
      <c r="E1221" t="s">
        <v>3402</v>
      </c>
      <c r="F1221">
        <v>1</v>
      </c>
      <c r="G1221" t="s">
        <v>92</v>
      </c>
      <c r="I1221" t="s">
        <v>3403</v>
      </c>
      <c r="K1221" t="s">
        <v>109</v>
      </c>
      <c r="L1221" t="s">
        <v>3404</v>
      </c>
      <c r="M1221" t="s">
        <v>73</v>
      </c>
      <c r="P1221">
        <f t="shared" si="36"/>
        <v>1</v>
      </c>
      <c r="Q1221" t="str">
        <f>IF(AND(P1221&gt;1,COUNTIF($E$6:E1221,E1221)=1),MAX($Q$5:Q1220)+1,"")</f>
        <v/>
      </c>
      <c r="R1221" t="str">
        <f t="shared" si="37"/>
        <v/>
      </c>
    </row>
    <row r="1222" spans="1:18" ht="22.95" customHeight="1">
      <c r="A1222" t="s">
        <v>3273</v>
      </c>
      <c r="B1222" t="s">
        <v>33</v>
      </c>
      <c r="C1222" t="s">
        <v>2103</v>
      </c>
      <c r="D1222" t="s">
        <v>2104</v>
      </c>
      <c r="E1222" t="s">
        <v>3405</v>
      </c>
      <c r="F1222">
        <v>1</v>
      </c>
      <c r="G1222" t="s">
        <v>3406</v>
      </c>
      <c r="H1222" t="s">
        <v>698</v>
      </c>
      <c r="I1222" t="s">
        <v>3407</v>
      </c>
      <c r="J1222" t="s">
        <v>245</v>
      </c>
      <c r="K1222" t="s">
        <v>109</v>
      </c>
      <c r="L1222" t="s">
        <v>3408</v>
      </c>
      <c r="M1222" t="s">
        <v>62</v>
      </c>
      <c r="P1222">
        <f t="shared" ref="P1222:P1285" si="38">COUNTIF($E$6:$E$1740,E1222)</f>
        <v>1</v>
      </c>
      <c r="Q1222" t="str">
        <f>IF(AND(P1222&gt;1,COUNTIF($E$6:E1222,E1222)=1),MAX($Q$5:Q1221)+1,"")</f>
        <v/>
      </c>
      <c r="R1222" t="str">
        <f t="shared" ref="R1222:R1285" si="39">IF(Q1222="","",IF(COUNTIFS($E$6:$E$1740,E1222,$A$6:$A$1740,A1222,$C$6:$C$1740,C1222)&lt;P1222,"LÉGITIME",IF(COUNTIFS($E$6:$E$1740,E1222,$A$6:$A$1740,A1222,$C$6:$C$1740,C1222,$M$6:$M$1740,M1222)&lt;P1222,"STATUT DIFFÉRENT","VRAI DOUBLON")))</f>
        <v/>
      </c>
    </row>
    <row r="1223" spans="1:18" ht="22.95" customHeight="1">
      <c r="A1223" t="s">
        <v>3273</v>
      </c>
      <c r="B1223" t="s">
        <v>33</v>
      </c>
      <c r="C1223" t="s">
        <v>2103</v>
      </c>
      <c r="D1223" t="s">
        <v>2104</v>
      </c>
      <c r="E1223" t="s">
        <v>3409</v>
      </c>
      <c r="F1223">
        <v>1</v>
      </c>
      <c r="G1223" t="s">
        <v>3410</v>
      </c>
      <c r="H1223" t="s">
        <v>735</v>
      </c>
      <c r="I1223" t="s">
        <v>140</v>
      </c>
      <c r="J1223" t="s">
        <v>245</v>
      </c>
      <c r="K1223" t="s">
        <v>141</v>
      </c>
      <c r="L1223" t="s">
        <v>3411</v>
      </c>
      <c r="M1223" t="s">
        <v>62</v>
      </c>
      <c r="N1223" t="s">
        <v>1435</v>
      </c>
      <c r="P1223">
        <f t="shared" si="38"/>
        <v>1</v>
      </c>
      <c r="Q1223" t="str">
        <f>IF(AND(P1223&gt;1,COUNTIF($E$6:E1223,E1223)=1),MAX($Q$5:Q1222)+1,"")</f>
        <v/>
      </c>
      <c r="R1223" t="str">
        <f t="shared" si="39"/>
        <v/>
      </c>
    </row>
    <row r="1224" spans="1:18" ht="22.95" customHeight="1">
      <c r="A1224" t="s">
        <v>3273</v>
      </c>
      <c r="B1224" t="s">
        <v>33</v>
      </c>
      <c r="C1224" t="s">
        <v>2103</v>
      </c>
      <c r="D1224" t="s">
        <v>2104</v>
      </c>
      <c r="E1224" t="s">
        <v>3412</v>
      </c>
      <c r="F1224">
        <v>1</v>
      </c>
      <c r="G1224" t="s">
        <v>92</v>
      </c>
      <c r="I1224" t="s">
        <v>3413</v>
      </c>
      <c r="K1224" t="s">
        <v>3414</v>
      </c>
      <c r="L1224" t="s">
        <v>3415</v>
      </c>
      <c r="M1224" t="s">
        <v>73</v>
      </c>
      <c r="P1224">
        <f t="shared" si="38"/>
        <v>1</v>
      </c>
      <c r="Q1224" t="str">
        <f>IF(AND(P1224&gt;1,COUNTIF($E$6:E1224,E1224)=1),MAX($Q$5:Q1223)+1,"")</f>
        <v/>
      </c>
      <c r="R1224" t="str">
        <f t="shared" si="39"/>
        <v/>
      </c>
    </row>
    <row r="1225" spans="1:18" ht="22.95" customHeight="1">
      <c r="A1225" t="s">
        <v>3273</v>
      </c>
      <c r="B1225" t="s">
        <v>33</v>
      </c>
      <c r="C1225" t="s">
        <v>2103</v>
      </c>
      <c r="D1225" t="s">
        <v>2104</v>
      </c>
      <c r="E1225" t="s">
        <v>3416</v>
      </c>
      <c r="F1225">
        <v>1</v>
      </c>
      <c r="G1225" t="s">
        <v>3406</v>
      </c>
      <c r="H1225" t="s">
        <v>698</v>
      </c>
      <c r="I1225" t="s">
        <v>3417</v>
      </c>
      <c r="K1225" t="s">
        <v>3418</v>
      </c>
      <c r="L1225" t="s">
        <v>3419</v>
      </c>
      <c r="M1225" t="s">
        <v>73</v>
      </c>
      <c r="P1225">
        <f t="shared" si="38"/>
        <v>1</v>
      </c>
      <c r="Q1225" t="str">
        <f>IF(AND(P1225&gt;1,COUNTIF($E$6:E1225,E1225)=1),MAX($Q$5:Q1224)+1,"")</f>
        <v/>
      </c>
      <c r="R1225" t="str">
        <f t="shared" si="39"/>
        <v/>
      </c>
    </row>
    <row r="1226" spans="1:18" ht="22.95" customHeight="1">
      <c r="A1226" t="s">
        <v>3273</v>
      </c>
      <c r="B1226" t="s">
        <v>33</v>
      </c>
      <c r="C1226" t="s">
        <v>2103</v>
      </c>
      <c r="D1226" t="s">
        <v>2104</v>
      </c>
      <c r="E1226" t="s">
        <v>3420</v>
      </c>
      <c r="F1226">
        <v>1</v>
      </c>
      <c r="G1226" t="s">
        <v>3406</v>
      </c>
      <c r="H1226" t="s">
        <v>698</v>
      </c>
      <c r="I1226" t="s">
        <v>3417</v>
      </c>
      <c r="K1226" t="s">
        <v>3421</v>
      </c>
      <c r="L1226" t="s">
        <v>3419</v>
      </c>
      <c r="M1226" t="s">
        <v>73</v>
      </c>
      <c r="P1226">
        <f t="shared" si="38"/>
        <v>1</v>
      </c>
      <c r="Q1226" t="str">
        <f>IF(AND(P1226&gt;1,COUNTIF($E$6:E1226,E1226)=1),MAX($Q$5:Q1225)+1,"")</f>
        <v/>
      </c>
      <c r="R1226" t="str">
        <f t="shared" si="39"/>
        <v/>
      </c>
    </row>
    <row r="1227" spans="1:18" ht="22.95" customHeight="1">
      <c r="A1227" t="s">
        <v>3273</v>
      </c>
      <c r="B1227" t="s">
        <v>33</v>
      </c>
      <c r="C1227" t="s">
        <v>2103</v>
      </c>
      <c r="D1227" t="s">
        <v>2104</v>
      </c>
      <c r="E1227" t="s">
        <v>3422</v>
      </c>
      <c r="F1227">
        <v>1</v>
      </c>
      <c r="G1227" t="s">
        <v>3423</v>
      </c>
      <c r="H1227" t="s">
        <v>2272</v>
      </c>
      <c r="I1227" t="s">
        <v>3417</v>
      </c>
      <c r="K1227" t="s">
        <v>3418</v>
      </c>
      <c r="L1227" t="s">
        <v>3419</v>
      </c>
      <c r="M1227" t="s">
        <v>73</v>
      </c>
      <c r="P1227">
        <f t="shared" si="38"/>
        <v>1</v>
      </c>
      <c r="Q1227" t="str">
        <f>IF(AND(P1227&gt;1,COUNTIF($E$6:E1227,E1227)=1),MAX($Q$5:Q1226)+1,"")</f>
        <v/>
      </c>
      <c r="R1227" t="str">
        <f t="shared" si="39"/>
        <v/>
      </c>
    </row>
    <row r="1228" spans="1:18" ht="22.95" customHeight="1">
      <c r="A1228" t="s">
        <v>3273</v>
      </c>
      <c r="B1228" t="s">
        <v>31</v>
      </c>
      <c r="C1228" t="s">
        <v>491</v>
      </c>
      <c r="D1228" t="s">
        <v>492</v>
      </c>
      <c r="E1228" t="s">
        <v>3424</v>
      </c>
      <c r="F1228">
        <v>1</v>
      </c>
      <c r="G1228" t="s">
        <v>92</v>
      </c>
      <c r="I1228" t="s">
        <v>3425</v>
      </c>
      <c r="K1228" t="s">
        <v>3426</v>
      </c>
      <c r="L1228" t="s">
        <v>3427</v>
      </c>
      <c r="M1228" t="s">
        <v>62</v>
      </c>
      <c r="N1228" t="s">
        <v>957</v>
      </c>
      <c r="P1228">
        <f t="shared" si="38"/>
        <v>1</v>
      </c>
      <c r="Q1228" t="str">
        <f>IF(AND(P1228&gt;1,COUNTIF($E$6:E1228,E1228)=1),MAX($Q$5:Q1227)+1,"")</f>
        <v/>
      </c>
      <c r="R1228" t="str">
        <f t="shared" si="39"/>
        <v/>
      </c>
    </row>
    <row r="1229" spans="1:18" ht="22.95" customHeight="1">
      <c r="A1229" t="s">
        <v>3273</v>
      </c>
      <c r="B1229" t="s">
        <v>31</v>
      </c>
      <c r="C1229" t="s">
        <v>491</v>
      </c>
      <c r="D1229" t="s">
        <v>492</v>
      </c>
      <c r="E1229" t="s">
        <v>3428</v>
      </c>
      <c r="F1229">
        <v>1</v>
      </c>
      <c r="G1229" t="s">
        <v>92</v>
      </c>
      <c r="I1229" t="s">
        <v>3425</v>
      </c>
      <c r="K1229" t="s">
        <v>3426</v>
      </c>
      <c r="L1229" t="s">
        <v>3429</v>
      </c>
      <c r="M1229" t="s">
        <v>62</v>
      </c>
      <c r="N1229" t="s">
        <v>957</v>
      </c>
      <c r="P1229">
        <f t="shared" si="38"/>
        <v>1</v>
      </c>
      <c r="Q1229" t="str">
        <f>IF(AND(P1229&gt;1,COUNTIF($E$6:E1229,E1229)=1),MAX($Q$5:Q1228)+1,"")</f>
        <v/>
      </c>
      <c r="R1229" t="str">
        <f t="shared" si="39"/>
        <v/>
      </c>
    </row>
    <row r="1230" spans="1:18" ht="22.95" customHeight="1">
      <c r="A1230" t="s">
        <v>3273</v>
      </c>
      <c r="B1230" t="s">
        <v>31</v>
      </c>
      <c r="C1230" t="s">
        <v>491</v>
      </c>
      <c r="D1230" t="s">
        <v>492</v>
      </c>
      <c r="E1230" t="s">
        <v>3430</v>
      </c>
      <c r="F1230">
        <v>1</v>
      </c>
      <c r="G1230" t="s">
        <v>92</v>
      </c>
      <c r="I1230" t="s">
        <v>3425</v>
      </c>
      <c r="K1230" t="s">
        <v>3426</v>
      </c>
      <c r="L1230" t="s">
        <v>3429</v>
      </c>
      <c r="M1230" t="s">
        <v>62</v>
      </c>
      <c r="N1230" t="s">
        <v>957</v>
      </c>
      <c r="P1230">
        <f t="shared" si="38"/>
        <v>1</v>
      </c>
      <c r="Q1230" t="str">
        <f>IF(AND(P1230&gt;1,COUNTIF($E$6:E1230,E1230)=1),MAX($Q$5:Q1229)+1,"")</f>
        <v/>
      </c>
      <c r="R1230" t="str">
        <f t="shared" si="39"/>
        <v/>
      </c>
    </row>
    <row r="1231" spans="1:18" ht="22.95" customHeight="1">
      <c r="A1231" t="s">
        <v>3273</v>
      </c>
      <c r="B1231" t="s">
        <v>32</v>
      </c>
      <c r="C1231" t="s">
        <v>200</v>
      </c>
      <c r="D1231" t="s">
        <v>201</v>
      </c>
      <c r="E1231" t="s">
        <v>3431</v>
      </c>
      <c r="F1231">
        <v>1</v>
      </c>
      <c r="G1231" t="s">
        <v>3432</v>
      </c>
      <c r="H1231" t="s">
        <v>3433</v>
      </c>
      <c r="I1231" t="s">
        <v>3434</v>
      </c>
      <c r="K1231" t="s">
        <v>3435</v>
      </c>
      <c r="L1231" t="s">
        <v>3436</v>
      </c>
      <c r="M1231" t="s">
        <v>102</v>
      </c>
      <c r="P1231">
        <f t="shared" si="38"/>
        <v>1</v>
      </c>
      <c r="Q1231" t="str">
        <f>IF(AND(P1231&gt;1,COUNTIF($E$6:E1231,E1231)=1),MAX($Q$5:Q1230)+1,"")</f>
        <v/>
      </c>
      <c r="R1231" t="str">
        <f t="shared" si="39"/>
        <v/>
      </c>
    </row>
    <row r="1232" spans="1:18" ht="22.95" customHeight="1">
      <c r="A1232" t="s">
        <v>3273</v>
      </c>
      <c r="B1232" t="s">
        <v>32</v>
      </c>
      <c r="C1232" t="s">
        <v>200</v>
      </c>
      <c r="D1232" t="s">
        <v>201</v>
      </c>
      <c r="E1232" t="s">
        <v>3437</v>
      </c>
      <c r="F1232">
        <v>1</v>
      </c>
      <c r="G1232" t="s">
        <v>3432</v>
      </c>
      <c r="H1232" t="s">
        <v>3438</v>
      </c>
      <c r="I1232" t="s">
        <v>3439</v>
      </c>
      <c r="K1232" t="s">
        <v>3435</v>
      </c>
      <c r="L1232" t="s">
        <v>3436</v>
      </c>
      <c r="M1232" t="s">
        <v>102</v>
      </c>
      <c r="P1232">
        <f t="shared" si="38"/>
        <v>1</v>
      </c>
      <c r="Q1232" t="str">
        <f>IF(AND(P1232&gt;1,COUNTIF($E$6:E1232,E1232)=1),MAX($Q$5:Q1231)+1,"")</f>
        <v/>
      </c>
      <c r="R1232" t="str">
        <f t="shared" si="39"/>
        <v/>
      </c>
    </row>
    <row r="1233" spans="1:18" ht="22.95" customHeight="1">
      <c r="A1233" t="s">
        <v>3273</v>
      </c>
      <c r="B1233" t="s">
        <v>32</v>
      </c>
      <c r="C1233" t="s">
        <v>200</v>
      </c>
      <c r="D1233" t="s">
        <v>201</v>
      </c>
      <c r="E1233" t="s">
        <v>3440</v>
      </c>
      <c r="F1233">
        <v>1</v>
      </c>
      <c r="G1233" t="s">
        <v>3432</v>
      </c>
      <c r="H1233" t="s">
        <v>3441</v>
      </c>
      <c r="I1233" t="s">
        <v>3442</v>
      </c>
      <c r="K1233" t="s">
        <v>3435</v>
      </c>
      <c r="L1233" t="s">
        <v>3436</v>
      </c>
      <c r="M1233" t="s">
        <v>102</v>
      </c>
      <c r="P1233">
        <f t="shared" si="38"/>
        <v>1</v>
      </c>
      <c r="Q1233" t="str">
        <f>IF(AND(P1233&gt;1,COUNTIF($E$6:E1233,E1233)=1),MAX($Q$5:Q1232)+1,"")</f>
        <v/>
      </c>
      <c r="R1233" t="str">
        <f t="shared" si="39"/>
        <v/>
      </c>
    </row>
    <row r="1234" spans="1:18" ht="22.95" customHeight="1">
      <c r="A1234" t="s">
        <v>3273</v>
      </c>
      <c r="B1234" t="s">
        <v>32</v>
      </c>
      <c r="C1234" t="s">
        <v>200</v>
      </c>
      <c r="D1234" t="s">
        <v>201</v>
      </c>
      <c r="E1234" t="s">
        <v>3443</v>
      </c>
      <c r="F1234">
        <v>1</v>
      </c>
      <c r="G1234" t="s">
        <v>1236</v>
      </c>
      <c r="H1234" t="s">
        <v>3444</v>
      </c>
      <c r="I1234" t="s">
        <v>3445</v>
      </c>
      <c r="K1234" t="s">
        <v>1398</v>
      </c>
      <c r="L1234" t="s">
        <v>3446</v>
      </c>
      <c r="M1234" t="s">
        <v>102</v>
      </c>
      <c r="P1234">
        <f t="shared" si="38"/>
        <v>1</v>
      </c>
      <c r="Q1234" t="str">
        <f>IF(AND(P1234&gt;1,COUNTIF($E$6:E1234,E1234)=1),MAX($Q$5:Q1233)+1,"")</f>
        <v/>
      </c>
      <c r="R1234" t="str">
        <f t="shared" si="39"/>
        <v/>
      </c>
    </row>
    <row r="1235" spans="1:18" ht="22.95" customHeight="1">
      <c r="A1235" t="s">
        <v>3273</v>
      </c>
      <c r="B1235" t="s">
        <v>32</v>
      </c>
      <c r="C1235" t="s">
        <v>200</v>
      </c>
      <c r="D1235" t="s">
        <v>201</v>
      </c>
      <c r="E1235" t="s">
        <v>3447</v>
      </c>
      <c r="F1235">
        <v>1</v>
      </c>
      <c r="G1235" t="s">
        <v>3448</v>
      </c>
      <c r="H1235" t="s">
        <v>3444</v>
      </c>
      <c r="I1235" t="s">
        <v>3449</v>
      </c>
      <c r="K1235" t="s">
        <v>1398</v>
      </c>
      <c r="L1235" t="s">
        <v>3446</v>
      </c>
      <c r="M1235" t="s">
        <v>102</v>
      </c>
      <c r="P1235">
        <f t="shared" si="38"/>
        <v>1</v>
      </c>
      <c r="Q1235" t="str">
        <f>IF(AND(P1235&gt;1,COUNTIF($E$6:E1235,E1235)=1),MAX($Q$5:Q1234)+1,"")</f>
        <v/>
      </c>
      <c r="R1235" t="str">
        <f t="shared" si="39"/>
        <v/>
      </c>
    </row>
    <row r="1236" spans="1:18" ht="22.95" customHeight="1">
      <c r="A1236" t="s">
        <v>3273</v>
      </c>
      <c r="B1236" t="s">
        <v>32</v>
      </c>
      <c r="C1236" t="s">
        <v>200</v>
      </c>
      <c r="D1236" t="s">
        <v>201</v>
      </c>
      <c r="E1236" t="s">
        <v>3450</v>
      </c>
      <c r="F1236">
        <v>1</v>
      </c>
      <c r="G1236" t="s">
        <v>3451</v>
      </c>
      <c r="H1236" t="s">
        <v>3452</v>
      </c>
      <c r="I1236" t="s">
        <v>3453</v>
      </c>
      <c r="K1236" t="s">
        <v>2638</v>
      </c>
      <c r="L1236" t="s">
        <v>3454</v>
      </c>
      <c r="M1236" t="s">
        <v>102</v>
      </c>
      <c r="P1236">
        <f t="shared" si="38"/>
        <v>1</v>
      </c>
      <c r="Q1236" t="str">
        <f>IF(AND(P1236&gt;1,COUNTIF($E$6:E1236,E1236)=1),MAX($Q$5:Q1235)+1,"")</f>
        <v/>
      </c>
      <c r="R1236" t="str">
        <f t="shared" si="39"/>
        <v/>
      </c>
    </row>
    <row r="1237" spans="1:18" ht="22.95" customHeight="1">
      <c r="A1237" t="s">
        <v>3455</v>
      </c>
      <c r="B1237" t="s">
        <v>20</v>
      </c>
      <c r="C1237" t="s">
        <v>55</v>
      </c>
      <c r="D1237" t="s">
        <v>56</v>
      </c>
      <c r="E1237" t="s">
        <v>3456</v>
      </c>
      <c r="F1237">
        <v>1</v>
      </c>
      <c r="G1237" t="s">
        <v>296</v>
      </c>
      <c r="H1237" t="s">
        <v>3457</v>
      </c>
      <c r="I1237" t="s">
        <v>3458</v>
      </c>
      <c r="L1237" t="s">
        <v>3459</v>
      </c>
      <c r="M1237" t="s">
        <v>62</v>
      </c>
      <c r="N1237" t="s">
        <v>63</v>
      </c>
      <c r="P1237">
        <f t="shared" si="38"/>
        <v>1</v>
      </c>
      <c r="Q1237" t="str">
        <f>IF(AND(P1237&gt;1,COUNTIF($E$6:E1237,E1237)=1),MAX($Q$5:Q1236)+1,"")</f>
        <v/>
      </c>
      <c r="R1237" t="str">
        <f t="shared" si="39"/>
        <v/>
      </c>
    </row>
    <row r="1238" spans="1:18" ht="22.95" customHeight="1">
      <c r="A1238" t="s">
        <v>3455</v>
      </c>
      <c r="B1238" t="s">
        <v>20</v>
      </c>
      <c r="C1238" t="s">
        <v>55</v>
      </c>
      <c r="D1238" t="s">
        <v>56</v>
      </c>
      <c r="E1238" t="s">
        <v>3460</v>
      </c>
      <c r="F1238">
        <v>1</v>
      </c>
      <c r="G1238" t="s">
        <v>92</v>
      </c>
      <c r="I1238" t="s">
        <v>60</v>
      </c>
      <c r="L1238" t="s">
        <v>3461</v>
      </c>
      <c r="M1238" t="s">
        <v>102</v>
      </c>
      <c r="P1238">
        <f t="shared" si="38"/>
        <v>1</v>
      </c>
      <c r="Q1238" t="str">
        <f>IF(AND(P1238&gt;1,COUNTIF($E$6:E1238,E1238)=1),MAX($Q$5:Q1237)+1,"")</f>
        <v/>
      </c>
      <c r="R1238" t="str">
        <f t="shared" si="39"/>
        <v/>
      </c>
    </row>
    <row r="1239" spans="1:18" ht="22.95" customHeight="1">
      <c r="A1239" t="s">
        <v>3455</v>
      </c>
      <c r="B1239" t="s">
        <v>22</v>
      </c>
      <c r="C1239" t="s">
        <v>370</v>
      </c>
      <c r="D1239" t="s">
        <v>371</v>
      </c>
      <c r="E1239" t="s">
        <v>3462</v>
      </c>
      <c r="F1239">
        <v>1</v>
      </c>
      <c r="G1239" t="s">
        <v>92</v>
      </c>
      <c r="I1239" t="s">
        <v>3463</v>
      </c>
      <c r="K1239" t="s">
        <v>109</v>
      </c>
      <c r="L1239" t="s">
        <v>3464</v>
      </c>
      <c r="M1239" t="s">
        <v>73</v>
      </c>
      <c r="P1239">
        <f t="shared" si="38"/>
        <v>1</v>
      </c>
      <c r="Q1239" t="str">
        <f>IF(AND(P1239&gt;1,COUNTIF($E$6:E1239,E1239)=1),MAX($Q$5:Q1238)+1,"")</f>
        <v/>
      </c>
      <c r="R1239" t="str">
        <f t="shared" si="39"/>
        <v/>
      </c>
    </row>
    <row r="1240" spans="1:18" ht="22.95" customHeight="1">
      <c r="A1240" t="s">
        <v>3455</v>
      </c>
      <c r="B1240" t="s">
        <v>22</v>
      </c>
      <c r="C1240" t="s">
        <v>370</v>
      </c>
      <c r="D1240" t="s">
        <v>371</v>
      </c>
      <c r="E1240" t="s">
        <v>3465</v>
      </c>
      <c r="F1240">
        <v>1</v>
      </c>
      <c r="G1240" t="s">
        <v>92</v>
      </c>
      <c r="I1240" t="s">
        <v>3466</v>
      </c>
      <c r="K1240" t="s">
        <v>1398</v>
      </c>
      <c r="L1240" t="s">
        <v>3467</v>
      </c>
      <c r="M1240" t="s">
        <v>62</v>
      </c>
      <c r="N1240" t="s">
        <v>624</v>
      </c>
      <c r="P1240">
        <f t="shared" si="38"/>
        <v>1</v>
      </c>
      <c r="Q1240" t="str">
        <f>IF(AND(P1240&gt;1,COUNTIF($E$6:E1240,E1240)=1),MAX($Q$5:Q1239)+1,"")</f>
        <v/>
      </c>
      <c r="R1240" t="str">
        <f t="shared" si="39"/>
        <v/>
      </c>
    </row>
    <row r="1241" spans="1:18" ht="22.95" customHeight="1">
      <c r="A1241" t="s">
        <v>3455</v>
      </c>
      <c r="B1241" t="s">
        <v>23</v>
      </c>
      <c r="C1241" t="s">
        <v>103</v>
      </c>
      <c r="D1241" t="s">
        <v>104</v>
      </c>
      <c r="E1241" t="s">
        <v>3468</v>
      </c>
      <c r="F1241">
        <v>1</v>
      </c>
      <c r="G1241" t="s">
        <v>2782</v>
      </c>
      <c r="H1241" t="s">
        <v>3469</v>
      </c>
      <c r="I1241" t="s">
        <v>885</v>
      </c>
      <c r="K1241" t="s">
        <v>886</v>
      </c>
      <c r="L1241" t="s">
        <v>3470</v>
      </c>
      <c r="M1241" t="s">
        <v>73</v>
      </c>
      <c r="P1241">
        <f t="shared" si="38"/>
        <v>1</v>
      </c>
      <c r="Q1241" t="str">
        <f>IF(AND(P1241&gt;1,COUNTIF($E$6:E1241,E1241)=1),MAX($Q$5:Q1240)+1,"")</f>
        <v/>
      </c>
      <c r="R1241" t="str">
        <f t="shared" si="39"/>
        <v/>
      </c>
    </row>
    <row r="1242" spans="1:18" ht="22.95" customHeight="1">
      <c r="A1242" t="s">
        <v>3455</v>
      </c>
      <c r="B1242" t="s">
        <v>23</v>
      </c>
      <c r="C1242" t="s">
        <v>103</v>
      </c>
      <c r="D1242" t="s">
        <v>104</v>
      </c>
      <c r="E1242" t="s">
        <v>3471</v>
      </c>
      <c r="F1242">
        <v>1</v>
      </c>
      <c r="G1242" t="s">
        <v>2782</v>
      </c>
      <c r="H1242" t="s">
        <v>3469</v>
      </c>
      <c r="I1242" t="s">
        <v>885</v>
      </c>
      <c r="K1242" t="s">
        <v>886</v>
      </c>
      <c r="L1242" t="s">
        <v>3470</v>
      </c>
      <c r="M1242" t="s">
        <v>73</v>
      </c>
      <c r="P1242">
        <f t="shared" si="38"/>
        <v>1</v>
      </c>
      <c r="Q1242" t="str">
        <f>IF(AND(P1242&gt;1,COUNTIF($E$6:E1242,E1242)=1),MAX($Q$5:Q1241)+1,"")</f>
        <v/>
      </c>
      <c r="R1242" t="str">
        <f t="shared" si="39"/>
        <v/>
      </c>
    </row>
    <row r="1243" spans="1:18" ht="22.95" customHeight="1">
      <c r="A1243" t="s">
        <v>3455</v>
      </c>
      <c r="B1243" t="s">
        <v>23</v>
      </c>
      <c r="C1243" t="s">
        <v>103</v>
      </c>
      <c r="D1243" t="s">
        <v>104</v>
      </c>
      <c r="E1243" t="s">
        <v>3472</v>
      </c>
      <c r="F1243">
        <v>1</v>
      </c>
      <c r="G1243" t="s">
        <v>2782</v>
      </c>
      <c r="H1243" t="s">
        <v>3469</v>
      </c>
      <c r="I1243" t="s">
        <v>885</v>
      </c>
      <c r="K1243" t="s">
        <v>886</v>
      </c>
      <c r="L1243" t="s">
        <v>3470</v>
      </c>
      <c r="M1243" t="s">
        <v>73</v>
      </c>
      <c r="P1243">
        <f t="shared" si="38"/>
        <v>1</v>
      </c>
      <c r="Q1243" t="str">
        <f>IF(AND(P1243&gt;1,COUNTIF($E$6:E1243,E1243)=1),MAX($Q$5:Q1242)+1,"")</f>
        <v/>
      </c>
      <c r="R1243" t="str">
        <f t="shared" si="39"/>
        <v/>
      </c>
    </row>
    <row r="1244" spans="1:18" ht="22.95" customHeight="1">
      <c r="A1244" t="s">
        <v>3455</v>
      </c>
      <c r="B1244" t="s">
        <v>23</v>
      </c>
      <c r="C1244" t="s">
        <v>103</v>
      </c>
      <c r="D1244" t="s">
        <v>104</v>
      </c>
      <c r="E1244" t="s">
        <v>3473</v>
      </c>
      <c r="F1244">
        <v>1</v>
      </c>
      <c r="G1244" t="s">
        <v>2782</v>
      </c>
      <c r="H1244" t="s">
        <v>3469</v>
      </c>
      <c r="I1244" t="s">
        <v>885</v>
      </c>
      <c r="K1244" t="s">
        <v>886</v>
      </c>
      <c r="L1244" t="s">
        <v>3470</v>
      </c>
      <c r="M1244" t="s">
        <v>73</v>
      </c>
      <c r="P1244">
        <f t="shared" si="38"/>
        <v>1</v>
      </c>
      <c r="Q1244" t="str">
        <f>IF(AND(P1244&gt;1,COUNTIF($E$6:E1244,E1244)=1),MAX($Q$5:Q1243)+1,"")</f>
        <v/>
      </c>
      <c r="R1244" t="str">
        <f t="shared" si="39"/>
        <v/>
      </c>
    </row>
    <row r="1245" spans="1:18" ht="22.95" customHeight="1">
      <c r="A1245" t="s">
        <v>3455</v>
      </c>
      <c r="B1245" t="s">
        <v>25</v>
      </c>
      <c r="C1245" t="s">
        <v>3299</v>
      </c>
      <c r="D1245" t="s">
        <v>698</v>
      </c>
      <c r="E1245" t="s">
        <v>3474</v>
      </c>
      <c r="F1245">
        <v>1</v>
      </c>
      <c r="G1245" t="s">
        <v>92</v>
      </c>
      <c r="I1245" t="s">
        <v>3475</v>
      </c>
      <c r="K1245" t="s">
        <v>3316</v>
      </c>
      <c r="L1245" t="s">
        <v>3476</v>
      </c>
      <c r="M1245" t="s">
        <v>102</v>
      </c>
      <c r="P1245">
        <f t="shared" si="38"/>
        <v>1</v>
      </c>
      <c r="Q1245" t="str">
        <f>IF(AND(P1245&gt;1,COUNTIF($E$6:E1245,E1245)=1),MAX($Q$5:Q1244)+1,"")</f>
        <v/>
      </c>
      <c r="R1245" t="str">
        <f t="shared" si="39"/>
        <v/>
      </c>
    </row>
    <row r="1246" spans="1:18" ht="22.95" customHeight="1">
      <c r="A1246" t="s">
        <v>3455</v>
      </c>
      <c r="B1246" t="s">
        <v>25</v>
      </c>
      <c r="C1246" t="s">
        <v>131</v>
      </c>
      <c r="D1246" t="s">
        <v>132</v>
      </c>
      <c r="E1246" t="s">
        <v>3477</v>
      </c>
      <c r="F1246">
        <v>1</v>
      </c>
      <c r="G1246" t="s">
        <v>422</v>
      </c>
      <c r="H1246" t="s">
        <v>2494</v>
      </c>
      <c r="I1246" t="s">
        <v>415</v>
      </c>
      <c r="L1246" t="s">
        <v>3478</v>
      </c>
      <c r="M1246" t="s">
        <v>73</v>
      </c>
      <c r="P1246">
        <f t="shared" si="38"/>
        <v>1</v>
      </c>
      <c r="Q1246" t="str">
        <f>IF(AND(P1246&gt;1,COUNTIF($E$6:E1246,E1246)=1),MAX($Q$5:Q1245)+1,"")</f>
        <v/>
      </c>
      <c r="R1246" t="str">
        <f t="shared" si="39"/>
        <v/>
      </c>
    </row>
    <row r="1247" spans="1:18" ht="22.95" customHeight="1">
      <c r="A1247" t="s">
        <v>3455</v>
      </c>
      <c r="B1247" t="s">
        <v>25</v>
      </c>
      <c r="C1247" t="s">
        <v>131</v>
      </c>
      <c r="D1247" t="s">
        <v>132</v>
      </c>
      <c r="E1247" t="s">
        <v>3479</v>
      </c>
      <c r="F1247">
        <v>1</v>
      </c>
      <c r="G1247" t="s">
        <v>422</v>
      </c>
      <c r="H1247" t="s">
        <v>2494</v>
      </c>
      <c r="I1247" t="s">
        <v>415</v>
      </c>
      <c r="L1247" t="s">
        <v>3478</v>
      </c>
      <c r="M1247" t="s">
        <v>73</v>
      </c>
      <c r="P1247">
        <f t="shared" si="38"/>
        <v>1</v>
      </c>
      <c r="Q1247" t="str">
        <f>IF(AND(P1247&gt;1,COUNTIF($E$6:E1247,E1247)=1),MAX($Q$5:Q1246)+1,"")</f>
        <v/>
      </c>
      <c r="R1247" t="str">
        <f t="shared" si="39"/>
        <v/>
      </c>
    </row>
    <row r="1248" spans="1:18" ht="22.95" customHeight="1">
      <c r="A1248" t="s">
        <v>3455</v>
      </c>
      <c r="B1248" t="s">
        <v>25</v>
      </c>
      <c r="C1248" t="s">
        <v>131</v>
      </c>
      <c r="D1248" t="s">
        <v>132</v>
      </c>
      <c r="E1248" t="s">
        <v>3480</v>
      </c>
      <c r="F1248">
        <v>1</v>
      </c>
      <c r="G1248" t="s">
        <v>92</v>
      </c>
      <c r="I1248" t="s">
        <v>406</v>
      </c>
      <c r="K1248" t="s">
        <v>406</v>
      </c>
      <c r="L1248" t="s">
        <v>3481</v>
      </c>
      <c r="M1248" t="s">
        <v>62</v>
      </c>
      <c r="N1248" t="s">
        <v>712</v>
      </c>
      <c r="P1248">
        <f t="shared" si="38"/>
        <v>1</v>
      </c>
      <c r="Q1248" t="str">
        <f>IF(AND(P1248&gt;1,COUNTIF($E$6:E1248,E1248)=1),MAX($Q$5:Q1247)+1,"")</f>
        <v/>
      </c>
      <c r="R1248" t="str">
        <f t="shared" si="39"/>
        <v/>
      </c>
    </row>
    <row r="1249" spans="1:18" ht="22.95" customHeight="1">
      <c r="A1249" t="s">
        <v>3455</v>
      </c>
      <c r="B1249" t="s">
        <v>25</v>
      </c>
      <c r="C1249" t="s">
        <v>131</v>
      </c>
      <c r="D1249" t="s">
        <v>132</v>
      </c>
      <c r="E1249" t="s">
        <v>3482</v>
      </c>
      <c r="F1249">
        <v>1</v>
      </c>
      <c r="G1249" t="s">
        <v>92</v>
      </c>
      <c r="I1249" t="s">
        <v>406</v>
      </c>
      <c r="K1249" t="s">
        <v>406</v>
      </c>
      <c r="L1249" t="s">
        <v>3483</v>
      </c>
      <c r="M1249" t="s">
        <v>102</v>
      </c>
      <c r="P1249">
        <f t="shared" si="38"/>
        <v>1</v>
      </c>
      <c r="Q1249" t="str">
        <f>IF(AND(P1249&gt;1,COUNTIF($E$6:E1249,E1249)=1),MAX($Q$5:Q1248)+1,"")</f>
        <v/>
      </c>
      <c r="R1249" t="str">
        <f t="shared" si="39"/>
        <v/>
      </c>
    </row>
    <row r="1250" spans="1:18" ht="22.95" customHeight="1">
      <c r="A1250" t="s">
        <v>3455</v>
      </c>
      <c r="B1250" t="s">
        <v>25</v>
      </c>
      <c r="C1250" t="s">
        <v>131</v>
      </c>
      <c r="D1250" t="s">
        <v>132</v>
      </c>
      <c r="E1250" t="s">
        <v>3484</v>
      </c>
      <c r="F1250">
        <v>1</v>
      </c>
      <c r="G1250" t="s">
        <v>92</v>
      </c>
      <c r="I1250" t="s">
        <v>406</v>
      </c>
      <c r="K1250" t="s">
        <v>406</v>
      </c>
      <c r="L1250" t="s">
        <v>3483</v>
      </c>
      <c r="M1250" t="s">
        <v>102</v>
      </c>
      <c r="P1250">
        <f t="shared" si="38"/>
        <v>1</v>
      </c>
      <c r="Q1250" t="str">
        <f>IF(AND(P1250&gt;1,COUNTIF($E$6:E1250,E1250)=1),MAX($Q$5:Q1249)+1,"")</f>
        <v/>
      </c>
      <c r="R1250" t="str">
        <f t="shared" si="39"/>
        <v/>
      </c>
    </row>
    <row r="1251" spans="1:18" ht="22.95" customHeight="1">
      <c r="A1251" t="s">
        <v>3455</v>
      </c>
      <c r="B1251" t="s">
        <v>25</v>
      </c>
      <c r="C1251" t="s">
        <v>131</v>
      </c>
      <c r="D1251" t="s">
        <v>132</v>
      </c>
      <c r="E1251" t="s">
        <v>3485</v>
      </c>
      <c r="F1251">
        <v>1</v>
      </c>
      <c r="G1251" t="s">
        <v>92</v>
      </c>
      <c r="I1251" t="s">
        <v>406</v>
      </c>
      <c r="K1251" t="s">
        <v>406</v>
      </c>
      <c r="L1251" t="s">
        <v>3483</v>
      </c>
      <c r="M1251" t="s">
        <v>102</v>
      </c>
      <c r="P1251">
        <f t="shared" si="38"/>
        <v>1</v>
      </c>
      <c r="Q1251" t="str">
        <f>IF(AND(P1251&gt;1,COUNTIF($E$6:E1251,E1251)=1),MAX($Q$5:Q1250)+1,"")</f>
        <v/>
      </c>
      <c r="R1251" t="str">
        <f t="shared" si="39"/>
        <v/>
      </c>
    </row>
    <row r="1252" spans="1:18" ht="22.95" customHeight="1">
      <c r="A1252" t="s">
        <v>3455</v>
      </c>
      <c r="B1252" t="s">
        <v>24</v>
      </c>
      <c r="C1252" t="s">
        <v>426</v>
      </c>
      <c r="D1252" t="s">
        <v>427</v>
      </c>
      <c r="E1252" t="s">
        <v>3486</v>
      </c>
      <c r="F1252">
        <v>1</v>
      </c>
      <c r="G1252" t="s">
        <v>92</v>
      </c>
      <c r="I1252" t="s">
        <v>3487</v>
      </c>
      <c r="L1252" t="s">
        <v>3488</v>
      </c>
      <c r="M1252" t="s">
        <v>62</v>
      </c>
      <c r="N1252" t="s">
        <v>712</v>
      </c>
      <c r="P1252">
        <f t="shared" si="38"/>
        <v>1</v>
      </c>
      <c r="Q1252" t="str">
        <f>IF(AND(P1252&gt;1,COUNTIF($E$6:E1252,E1252)=1),MAX($Q$5:Q1251)+1,"")</f>
        <v/>
      </c>
      <c r="R1252" t="str">
        <f t="shared" si="39"/>
        <v/>
      </c>
    </row>
    <row r="1253" spans="1:18" ht="22.95" customHeight="1">
      <c r="A1253" t="s">
        <v>3455</v>
      </c>
      <c r="B1253" t="s">
        <v>24</v>
      </c>
      <c r="C1253" t="s">
        <v>431</v>
      </c>
      <c r="D1253" t="s">
        <v>216</v>
      </c>
      <c r="E1253" t="s">
        <v>3489</v>
      </c>
      <c r="F1253">
        <v>1</v>
      </c>
      <c r="G1253" t="s">
        <v>3490</v>
      </c>
      <c r="I1253" t="s">
        <v>112</v>
      </c>
      <c r="L1253" t="s">
        <v>3491</v>
      </c>
      <c r="M1253" t="s">
        <v>62</v>
      </c>
      <c r="N1253" t="s">
        <v>187</v>
      </c>
      <c r="P1253">
        <f t="shared" si="38"/>
        <v>1</v>
      </c>
      <c r="Q1253" t="str">
        <f>IF(AND(P1253&gt;1,COUNTIF($E$6:E1253,E1253)=1),MAX($Q$5:Q1252)+1,"")</f>
        <v/>
      </c>
      <c r="R1253" t="str">
        <f t="shared" si="39"/>
        <v/>
      </c>
    </row>
    <row r="1254" spans="1:18" ht="22.95" customHeight="1">
      <c r="A1254" t="s">
        <v>3455</v>
      </c>
      <c r="B1254" t="s">
        <v>24</v>
      </c>
      <c r="C1254" t="s">
        <v>431</v>
      </c>
      <c r="D1254" t="s">
        <v>216</v>
      </c>
      <c r="E1254" t="s">
        <v>3492</v>
      </c>
      <c r="F1254">
        <v>1</v>
      </c>
      <c r="G1254" t="s">
        <v>3490</v>
      </c>
      <c r="I1254" t="s">
        <v>112</v>
      </c>
      <c r="L1254" t="s">
        <v>3493</v>
      </c>
      <c r="M1254" t="s">
        <v>62</v>
      </c>
      <c r="N1254" t="s">
        <v>712</v>
      </c>
      <c r="P1254">
        <f t="shared" si="38"/>
        <v>1</v>
      </c>
      <c r="Q1254" t="str">
        <f>IF(AND(P1254&gt;1,COUNTIF($E$6:E1254,E1254)=1),MAX($Q$5:Q1253)+1,"")</f>
        <v/>
      </c>
      <c r="R1254" t="str">
        <f t="shared" si="39"/>
        <v/>
      </c>
    </row>
    <row r="1255" spans="1:18" ht="22.95" customHeight="1">
      <c r="A1255" t="s">
        <v>3455</v>
      </c>
      <c r="B1255" t="s">
        <v>24</v>
      </c>
      <c r="C1255" t="s">
        <v>136</v>
      </c>
      <c r="D1255" t="s">
        <v>674</v>
      </c>
      <c r="E1255" t="s">
        <v>3494</v>
      </c>
      <c r="F1255">
        <v>1</v>
      </c>
      <c r="G1255" t="s">
        <v>3495</v>
      </c>
      <c r="I1255" t="s">
        <v>406</v>
      </c>
      <c r="K1255" t="s">
        <v>406</v>
      </c>
      <c r="L1255" t="s">
        <v>3496</v>
      </c>
      <c r="M1255" t="s">
        <v>62</v>
      </c>
      <c r="N1255" t="s">
        <v>130</v>
      </c>
      <c r="P1255">
        <f t="shared" si="38"/>
        <v>1</v>
      </c>
      <c r="Q1255" t="str">
        <f>IF(AND(P1255&gt;1,COUNTIF($E$6:E1255,E1255)=1),MAX($Q$5:Q1254)+1,"")</f>
        <v/>
      </c>
      <c r="R1255" t="str">
        <f t="shared" si="39"/>
        <v/>
      </c>
    </row>
    <row r="1256" spans="1:18" ht="22.95" customHeight="1">
      <c r="A1256" t="s">
        <v>3455</v>
      </c>
      <c r="B1256" t="s">
        <v>24</v>
      </c>
      <c r="C1256" t="s">
        <v>136</v>
      </c>
      <c r="D1256" t="s">
        <v>674</v>
      </c>
      <c r="E1256" t="s">
        <v>3497</v>
      </c>
      <c r="F1256">
        <v>1</v>
      </c>
      <c r="G1256" t="s">
        <v>3495</v>
      </c>
      <c r="I1256" t="s">
        <v>406</v>
      </c>
      <c r="K1256" t="s">
        <v>406</v>
      </c>
      <c r="L1256" t="s">
        <v>3498</v>
      </c>
      <c r="M1256" t="s">
        <v>62</v>
      </c>
      <c r="N1256" t="s">
        <v>63</v>
      </c>
      <c r="P1256">
        <f t="shared" si="38"/>
        <v>1</v>
      </c>
      <c r="Q1256" t="str">
        <f>IF(AND(P1256&gt;1,COUNTIF($E$6:E1256,E1256)=1),MAX($Q$5:Q1255)+1,"")</f>
        <v/>
      </c>
      <c r="R1256" t="str">
        <f t="shared" si="39"/>
        <v/>
      </c>
    </row>
    <row r="1257" spans="1:18" ht="22.95" customHeight="1">
      <c r="A1257" t="s">
        <v>3455</v>
      </c>
      <c r="B1257" t="s">
        <v>24</v>
      </c>
      <c r="C1257" t="s">
        <v>136</v>
      </c>
      <c r="D1257" t="s">
        <v>674</v>
      </c>
      <c r="E1257" t="s">
        <v>3499</v>
      </c>
      <c r="F1257">
        <v>1</v>
      </c>
      <c r="G1257" t="s">
        <v>3500</v>
      </c>
      <c r="H1257" t="s">
        <v>2188</v>
      </c>
      <c r="L1257" t="s">
        <v>3501</v>
      </c>
      <c r="M1257" t="s">
        <v>62</v>
      </c>
      <c r="N1257" t="s">
        <v>130</v>
      </c>
      <c r="P1257">
        <f t="shared" si="38"/>
        <v>1</v>
      </c>
      <c r="Q1257" t="str">
        <f>IF(AND(P1257&gt;1,COUNTIF($E$6:E1257,E1257)=1),MAX($Q$5:Q1256)+1,"")</f>
        <v/>
      </c>
      <c r="R1257" t="str">
        <f t="shared" si="39"/>
        <v/>
      </c>
    </row>
    <row r="1258" spans="1:18" ht="22.95" customHeight="1">
      <c r="A1258" t="s">
        <v>3455</v>
      </c>
      <c r="B1258" t="s">
        <v>24</v>
      </c>
      <c r="C1258" t="s">
        <v>443</v>
      </c>
      <c r="D1258" t="s">
        <v>444</v>
      </c>
      <c r="E1258" t="s">
        <v>3502</v>
      </c>
      <c r="F1258">
        <v>1</v>
      </c>
      <c r="G1258" t="s">
        <v>92</v>
      </c>
      <c r="I1258" t="s">
        <v>3503</v>
      </c>
      <c r="K1258" t="s">
        <v>3504</v>
      </c>
      <c r="L1258" t="s">
        <v>3505</v>
      </c>
      <c r="M1258" t="s">
        <v>73</v>
      </c>
      <c r="P1258">
        <f t="shared" si="38"/>
        <v>1</v>
      </c>
      <c r="Q1258" t="str">
        <f>IF(AND(P1258&gt;1,COUNTIF($E$6:E1258,E1258)=1),MAX($Q$5:Q1257)+1,"")</f>
        <v/>
      </c>
      <c r="R1258" t="str">
        <f t="shared" si="39"/>
        <v/>
      </c>
    </row>
    <row r="1259" spans="1:18" ht="22.95" customHeight="1">
      <c r="A1259" t="s">
        <v>3455</v>
      </c>
      <c r="B1259" t="s">
        <v>28</v>
      </c>
      <c r="C1259" t="s">
        <v>167</v>
      </c>
      <c r="D1259" t="s">
        <v>168</v>
      </c>
      <c r="E1259" t="s">
        <v>3506</v>
      </c>
      <c r="F1259">
        <v>1</v>
      </c>
      <c r="G1259" t="s">
        <v>92</v>
      </c>
      <c r="I1259" t="s">
        <v>406</v>
      </c>
      <c r="K1259" t="s">
        <v>406</v>
      </c>
      <c r="L1259" t="s">
        <v>3507</v>
      </c>
      <c r="M1259" t="s">
        <v>102</v>
      </c>
      <c r="P1259">
        <f t="shared" si="38"/>
        <v>1</v>
      </c>
      <c r="Q1259" t="str">
        <f>IF(AND(P1259&gt;1,COUNTIF($E$6:E1259,E1259)=1),MAX($Q$5:Q1258)+1,"")</f>
        <v/>
      </c>
      <c r="R1259" t="str">
        <f t="shared" si="39"/>
        <v/>
      </c>
    </row>
    <row r="1260" spans="1:18" ht="22.95" customHeight="1">
      <c r="A1260" t="s">
        <v>3455</v>
      </c>
      <c r="B1260" t="s">
        <v>28</v>
      </c>
      <c r="C1260" t="s">
        <v>167</v>
      </c>
      <c r="D1260" t="s">
        <v>168</v>
      </c>
      <c r="E1260" t="s">
        <v>3508</v>
      </c>
      <c r="F1260">
        <v>1</v>
      </c>
      <c r="G1260" t="s">
        <v>92</v>
      </c>
      <c r="I1260" t="s">
        <v>3509</v>
      </c>
      <c r="K1260" t="s">
        <v>3510</v>
      </c>
      <c r="L1260" t="s">
        <v>3511</v>
      </c>
      <c r="M1260" t="s">
        <v>62</v>
      </c>
      <c r="N1260" t="s">
        <v>130</v>
      </c>
      <c r="P1260">
        <f t="shared" si="38"/>
        <v>1</v>
      </c>
      <c r="Q1260" t="str">
        <f>IF(AND(P1260&gt;1,COUNTIF($E$6:E1260,E1260)=1),MAX($Q$5:Q1259)+1,"")</f>
        <v/>
      </c>
      <c r="R1260" t="str">
        <f t="shared" si="39"/>
        <v/>
      </c>
    </row>
    <row r="1261" spans="1:18" ht="22.95" customHeight="1">
      <c r="A1261" t="s">
        <v>3455</v>
      </c>
      <c r="B1261" t="s">
        <v>28</v>
      </c>
      <c r="C1261" t="s">
        <v>167</v>
      </c>
      <c r="D1261" t="s">
        <v>168</v>
      </c>
      <c r="E1261" t="s">
        <v>3512</v>
      </c>
      <c r="F1261">
        <v>1</v>
      </c>
      <c r="G1261" t="s">
        <v>1066</v>
      </c>
      <c r="H1261" t="s">
        <v>1732</v>
      </c>
      <c r="I1261" t="s">
        <v>3513</v>
      </c>
      <c r="K1261" t="s">
        <v>1371</v>
      </c>
      <c r="L1261" t="s">
        <v>3514</v>
      </c>
      <c r="M1261" t="s">
        <v>62</v>
      </c>
      <c r="N1261" t="s">
        <v>130</v>
      </c>
      <c r="P1261">
        <f t="shared" si="38"/>
        <v>1</v>
      </c>
      <c r="Q1261" t="str">
        <f>IF(AND(P1261&gt;1,COUNTIF($E$6:E1261,E1261)=1),MAX($Q$5:Q1260)+1,"")</f>
        <v/>
      </c>
      <c r="R1261" t="str">
        <f t="shared" si="39"/>
        <v/>
      </c>
    </row>
    <row r="1262" spans="1:18" ht="22.95" customHeight="1">
      <c r="A1262" t="s">
        <v>3455</v>
      </c>
      <c r="B1262" t="s">
        <v>27</v>
      </c>
      <c r="C1262" t="s">
        <v>475</v>
      </c>
      <c r="D1262" t="s">
        <v>476</v>
      </c>
      <c r="E1262" t="s">
        <v>3515</v>
      </c>
      <c r="F1262">
        <v>1</v>
      </c>
      <c r="G1262" t="s">
        <v>3516</v>
      </c>
      <c r="H1262" t="s">
        <v>3086</v>
      </c>
      <c r="L1262" t="s">
        <v>3517</v>
      </c>
      <c r="M1262" t="s">
        <v>73</v>
      </c>
      <c r="P1262">
        <f t="shared" si="38"/>
        <v>1</v>
      </c>
      <c r="Q1262" t="str">
        <f>IF(AND(P1262&gt;1,COUNTIF($E$6:E1262,E1262)=1),MAX($Q$5:Q1261)+1,"")</f>
        <v/>
      </c>
      <c r="R1262" t="str">
        <f t="shared" si="39"/>
        <v/>
      </c>
    </row>
    <row r="1263" spans="1:18" ht="22.95" customHeight="1">
      <c r="A1263" t="s">
        <v>3455</v>
      </c>
      <c r="B1263" t="s">
        <v>27</v>
      </c>
      <c r="C1263" t="s">
        <v>475</v>
      </c>
      <c r="D1263" t="s">
        <v>476</v>
      </c>
      <c r="E1263" t="s">
        <v>3518</v>
      </c>
      <c r="F1263">
        <v>1</v>
      </c>
      <c r="G1263" t="s">
        <v>3516</v>
      </c>
      <c r="H1263" t="s">
        <v>3086</v>
      </c>
      <c r="L1263" t="s">
        <v>3517</v>
      </c>
      <c r="M1263" t="s">
        <v>73</v>
      </c>
      <c r="P1263">
        <f t="shared" si="38"/>
        <v>1</v>
      </c>
      <c r="Q1263" t="str">
        <f>IF(AND(P1263&gt;1,COUNTIF($E$6:E1263,E1263)=1),MAX($Q$5:Q1262)+1,"")</f>
        <v/>
      </c>
      <c r="R1263" t="str">
        <f t="shared" si="39"/>
        <v/>
      </c>
    </row>
    <row r="1264" spans="1:18" ht="22.95" customHeight="1">
      <c r="A1264" t="s">
        <v>3455</v>
      </c>
      <c r="B1264" t="s">
        <v>27</v>
      </c>
      <c r="C1264" t="s">
        <v>475</v>
      </c>
      <c r="D1264" t="s">
        <v>476</v>
      </c>
      <c r="E1264" t="s">
        <v>3519</v>
      </c>
      <c r="F1264">
        <v>1</v>
      </c>
      <c r="G1264" t="s">
        <v>3516</v>
      </c>
      <c r="H1264" t="s">
        <v>3086</v>
      </c>
      <c r="L1264" t="s">
        <v>3517</v>
      </c>
      <c r="M1264" t="s">
        <v>73</v>
      </c>
      <c r="P1264">
        <f t="shared" si="38"/>
        <v>1</v>
      </c>
      <c r="Q1264" t="str">
        <f>IF(AND(P1264&gt;1,COUNTIF($E$6:E1264,E1264)=1),MAX($Q$5:Q1263)+1,"")</f>
        <v/>
      </c>
      <c r="R1264" t="str">
        <f t="shared" si="39"/>
        <v/>
      </c>
    </row>
    <row r="1265" spans="1:18" ht="22.95" customHeight="1">
      <c r="A1265" t="s">
        <v>3455</v>
      </c>
      <c r="B1265" t="s">
        <v>27</v>
      </c>
      <c r="C1265" t="s">
        <v>475</v>
      </c>
      <c r="D1265" t="s">
        <v>476</v>
      </c>
      <c r="E1265" t="s">
        <v>3520</v>
      </c>
      <c r="F1265">
        <v>1</v>
      </c>
      <c r="G1265" t="s">
        <v>92</v>
      </c>
      <c r="I1265" t="s">
        <v>3521</v>
      </c>
      <c r="K1265" t="s">
        <v>3522</v>
      </c>
      <c r="L1265" t="s">
        <v>3523</v>
      </c>
      <c r="M1265" t="s">
        <v>102</v>
      </c>
      <c r="P1265">
        <f t="shared" si="38"/>
        <v>1</v>
      </c>
      <c r="Q1265" t="str">
        <f>IF(AND(P1265&gt;1,COUNTIF($E$6:E1265,E1265)=1),MAX($Q$5:Q1264)+1,"")</f>
        <v/>
      </c>
      <c r="R1265" t="str">
        <f t="shared" si="39"/>
        <v/>
      </c>
    </row>
    <row r="1266" spans="1:18" ht="22.95" customHeight="1">
      <c r="A1266" t="s">
        <v>3455</v>
      </c>
      <c r="B1266" t="s">
        <v>30</v>
      </c>
      <c r="C1266" t="s">
        <v>180</v>
      </c>
      <c r="D1266" t="s">
        <v>181</v>
      </c>
      <c r="E1266" t="s">
        <v>3524</v>
      </c>
      <c r="F1266">
        <v>1</v>
      </c>
      <c r="G1266" t="s">
        <v>3525</v>
      </c>
      <c r="H1266" t="s">
        <v>3526</v>
      </c>
      <c r="I1266" t="s">
        <v>699</v>
      </c>
      <c r="L1266" t="s">
        <v>3527</v>
      </c>
      <c r="M1266" t="s">
        <v>73</v>
      </c>
      <c r="P1266">
        <f t="shared" si="38"/>
        <v>1</v>
      </c>
      <c r="Q1266" t="str">
        <f>IF(AND(P1266&gt;1,COUNTIF($E$6:E1266,E1266)=1),MAX($Q$5:Q1265)+1,"")</f>
        <v/>
      </c>
      <c r="R1266" t="str">
        <f t="shared" si="39"/>
        <v/>
      </c>
    </row>
    <row r="1267" spans="1:18" ht="22.95" customHeight="1">
      <c r="A1267" t="s">
        <v>3455</v>
      </c>
      <c r="B1267" t="s">
        <v>30</v>
      </c>
      <c r="C1267" t="s">
        <v>180</v>
      </c>
      <c r="D1267" t="s">
        <v>181</v>
      </c>
      <c r="E1267" t="s">
        <v>3528</v>
      </c>
      <c r="F1267">
        <v>1</v>
      </c>
      <c r="G1267" t="s">
        <v>3525</v>
      </c>
      <c r="H1267" t="s">
        <v>3526</v>
      </c>
      <c r="I1267" t="s">
        <v>699</v>
      </c>
      <c r="L1267" t="s">
        <v>3527</v>
      </c>
      <c r="M1267" t="s">
        <v>73</v>
      </c>
      <c r="P1267">
        <f t="shared" si="38"/>
        <v>1</v>
      </c>
      <c r="Q1267" t="str">
        <f>IF(AND(P1267&gt;1,COUNTIF($E$6:E1267,E1267)=1),MAX($Q$5:Q1266)+1,"")</f>
        <v/>
      </c>
      <c r="R1267" t="str">
        <f t="shared" si="39"/>
        <v/>
      </c>
    </row>
    <row r="1268" spans="1:18" ht="22.95" customHeight="1">
      <c r="A1268" t="s">
        <v>3455</v>
      </c>
      <c r="B1268" t="s">
        <v>30</v>
      </c>
      <c r="C1268" t="s">
        <v>180</v>
      </c>
      <c r="D1268" t="s">
        <v>181</v>
      </c>
      <c r="E1268" t="s">
        <v>3529</v>
      </c>
      <c r="F1268">
        <v>1</v>
      </c>
      <c r="G1268" t="s">
        <v>901</v>
      </c>
      <c r="H1268" t="s">
        <v>1421</v>
      </c>
      <c r="I1268" t="s">
        <v>699</v>
      </c>
      <c r="L1268" t="s">
        <v>3527</v>
      </c>
      <c r="M1268" t="s">
        <v>73</v>
      </c>
      <c r="P1268">
        <f t="shared" si="38"/>
        <v>1</v>
      </c>
      <c r="Q1268" t="str">
        <f>IF(AND(P1268&gt;1,COUNTIF($E$6:E1268,E1268)=1),MAX($Q$5:Q1267)+1,"")</f>
        <v/>
      </c>
      <c r="R1268" t="str">
        <f t="shared" si="39"/>
        <v/>
      </c>
    </row>
    <row r="1269" spans="1:18" ht="22.95" customHeight="1">
      <c r="A1269" t="s">
        <v>3455</v>
      </c>
      <c r="B1269" t="s">
        <v>30</v>
      </c>
      <c r="C1269" t="s">
        <v>180</v>
      </c>
      <c r="D1269" t="s">
        <v>181</v>
      </c>
      <c r="E1269" t="s">
        <v>3530</v>
      </c>
      <c r="F1269">
        <v>1</v>
      </c>
      <c r="G1269" t="s">
        <v>901</v>
      </c>
      <c r="H1269" t="s">
        <v>1421</v>
      </c>
      <c r="I1269" t="s">
        <v>699</v>
      </c>
      <c r="L1269" t="s">
        <v>3527</v>
      </c>
      <c r="M1269" t="s">
        <v>73</v>
      </c>
      <c r="P1269">
        <f t="shared" si="38"/>
        <v>1</v>
      </c>
      <c r="Q1269" t="str">
        <f>IF(AND(P1269&gt;1,COUNTIF($E$6:E1269,E1269)=1),MAX($Q$5:Q1268)+1,"")</f>
        <v/>
      </c>
      <c r="R1269" t="str">
        <f t="shared" si="39"/>
        <v/>
      </c>
    </row>
    <row r="1270" spans="1:18" ht="22.95" customHeight="1">
      <c r="A1270" t="s">
        <v>3455</v>
      </c>
      <c r="B1270" t="s">
        <v>30</v>
      </c>
      <c r="C1270" t="s">
        <v>180</v>
      </c>
      <c r="D1270" t="s">
        <v>181</v>
      </c>
      <c r="E1270" t="s">
        <v>3531</v>
      </c>
      <c r="F1270">
        <v>1</v>
      </c>
      <c r="G1270" t="s">
        <v>901</v>
      </c>
      <c r="H1270" t="s">
        <v>1421</v>
      </c>
      <c r="I1270" t="s">
        <v>3532</v>
      </c>
      <c r="L1270" t="s">
        <v>3527</v>
      </c>
      <c r="M1270" t="s">
        <v>73</v>
      </c>
      <c r="P1270">
        <f t="shared" si="38"/>
        <v>1</v>
      </c>
      <c r="Q1270" t="str">
        <f>IF(AND(P1270&gt;1,COUNTIF($E$6:E1270,E1270)=1),MAX($Q$5:Q1269)+1,"")</f>
        <v/>
      </c>
      <c r="R1270" t="str">
        <f t="shared" si="39"/>
        <v/>
      </c>
    </row>
    <row r="1271" spans="1:18" ht="22.95" customHeight="1">
      <c r="A1271" t="s">
        <v>3455</v>
      </c>
      <c r="B1271" t="s">
        <v>30</v>
      </c>
      <c r="C1271" t="s">
        <v>180</v>
      </c>
      <c r="D1271" t="s">
        <v>181</v>
      </c>
      <c r="E1271" t="s">
        <v>3533</v>
      </c>
      <c r="F1271">
        <v>1</v>
      </c>
      <c r="G1271" t="s">
        <v>901</v>
      </c>
      <c r="H1271" t="s">
        <v>1421</v>
      </c>
      <c r="I1271" t="s">
        <v>699</v>
      </c>
      <c r="L1271" t="s">
        <v>3527</v>
      </c>
      <c r="M1271" t="s">
        <v>73</v>
      </c>
      <c r="P1271">
        <f t="shared" si="38"/>
        <v>1</v>
      </c>
      <c r="Q1271" t="str">
        <f>IF(AND(P1271&gt;1,COUNTIF($E$6:E1271,E1271)=1),MAX($Q$5:Q1270)+1,"")</f>
        <v/>
      </c>
      <c r="R1271" t="str">
        <f t="shared" si="39"/>
        <v/>
      </c>
    </row>
    <row r="1272" spans="1:18" ht="22.95" customHeight="1">
      <c r="A1272" t="s">
        <v>3455</v>
      </c>
      <c r="B1272" t="s">
        <v>30</v>
      </c>
      <c r="C1272" t="s">
        <v>180</v>
      </c>
      <c r="D1272" t="s">
        <v>181</v>
      </c>
      <c r="E1272" t="s">
        <v>3534</v>
      </c>
      <c r="F1272">
        <v>1</v>
      </c>
      <c r="G1272" t="s">
        <v>429</v>
      </c>
      <c r="I1272" t="s">
        <v>3535</v>
      </c>
      <c r="L1272" t="s">
        <v>3536</v>
      </c>
      <c r="M1272" t="s">
        <v>102</v>
      </c>
      <c r="P1272">
        <f t="shared" si="38"/>
        <v>1</v>
      </c>
      <c r="Q1272" t="str">
        <f>IF(AND(P1272&gt;1,COUNTIF($E$6:E1272,E1272)=1),MAX($Q$5:Q1271)+1,"")</f>
        <v/>
      </c>
      <c r="R1272" t="str">
        <f t="shared" si="39"/>
        <v/>
      </c>
    </row>
    <row r="1273" spans="1:18" ht="22.95" customHeight="1">
      <c r="A1273" t="s">
        <v>3455</v>
      </c>
      <c r="B1273" t="s">
        <v>30</v>
      </c>
      <c r="C1273" t="s">
        <v>180</v>
      </c>
      <c r="D1273" t="s">
        <v>181</v>
      </c>
      <c r="E1273" t="s">
        <v>3537</v>
      </c>
      <c r="F1273">
        <v>1</v>
      </c>
      <c r="G1273" t="s">
        <v>901</v>
      </c>
      <c r="H1273" t="s">
        <v>1421</v>
      </c>
      <c r="I1273" t="s">
        <v>3538</v>
      </c>
      <c r="L1273" t="s">
        <v>3539</v>
      </c>
      <c r="M1273" t="s">
        <v>62</v>
      </c>
      <c r="N1273" t="s">
        <v>624</v>
      </c>
      <c r="P1273">
        <f t="shared" si="38"/>
        <v>1</v>
      </c>
      <c r="Q1273" t="str">
        <f>IF(AND(P1273&gt;1,COUNTIF($E$6:E1273,E1273)=1),MAX($Q$5:Q1272)+1,"")</f>
        <v/>
      </c>
      <c r="R1273" t="str">
        <f t="shared" si="39"/>
        <v/>
      </c>
    </row>
    <row r="1274" spans="1:18" ht="22.95" customHeight="1">
      <c r="A1274" t="s">
        <v>3455</v>
      </c>
      <c r="B1274" t="s">
        <v>30</v>
      </c>
      <c r="C1274" t="s">
        <v>188</v>
      </c>
      <c r="D1274" t="s">
        <v>189</v>
      </c>
      <c r="E1274" t="s">
        <v>3540</v>
      </c>
      <c r="F1274">
        <v>1</v>
      </c>
      <c r="G1274" t="s">
        <v>92</v>
      </c>
      <c r="I1274" t="s">
        <v>112</v>
      </c>
      <c r="K1274" t="s">
        <v>112</v>
      </c>
      <c r="L1274" t="s">
        <v>3541</v>
      </c>
      <c r="M1274" t="s">
        <v>102</v>
      </c>
      <c r="P1274">
        <f t="shared" si="38"/>
        <v>1</v>
      </c>
      <c r="Q1274" t="str">
        <f>IF(AND(P1274&gt;1,COUNTIF($E$6:E1274,E1274)=1),MAX($Q$5:Q1273)+1,"")</f>
        <v/>
      </c>
      <c r="R1274" t="str">
        <f t="shared" si="39"/>
        <v/>
      </c>
    </row>
    <row r="1275" spans="1:18" ht="22.95" customHeight="1">
      <c r="A1275" t="s">
        <v>3455</v>
      </c>
      <c r="B1275" t="s">
        <v>29</v>
      </c>
      <c r="C1275" t="s">
        <v>1084</v>
      </c>
      <c r="D1275" t="s">
        <v>1085</v>
      </c>
      <c r="E1275" t="s">
        <v>3542</v>
      </c>
      <c r="F1275">
        <v>1</v>
      </c>
      <c r="G1275" t="s">
        <v>1066</v>
      </c>
      <c r="H1275" t="s">
        <v>1732</v>
      </c>
      <c r="I1275" t="s">
        <v>3543</v>
      </c>
      <c r="K1275" t="s">
        <v>109</v>
      </c>
      <c r="L1275" t="s">
        <v>3544</v>
      </c>
      <c r="M1275" t="s">
        <v>73</v>
      </c>
      <c r="P1275">
        <f t="shared" si="38"/>
        <v>1</v>
      </c>
      <c r="Q1275" t="str">
        <f>IF(AND(P1275&gt;1,COUNTIF($E$6:E1275,E1275)=1),MAX($Q$5:Q1274)+1,"")</f>
        <v/>
      </c>
      <c r="R1275" t="str">
        <f t="shared" si="39"/>
        <v/>
      </c>
    </row>
    <row r="1276" spans="1:18" ht="22.95" customHeight="1">
      <c r="A1276" t="s">
        <v>3455</v>
      </c>
      <c r="B1276" t="s">
        <v>29</v>
      </c>
      <c r="C1276" t="s">
        <v>1084</v>
      </c>
      <c r="D1276" t="s">
        <v>1085</v>
      </c>
      <c r="E1276" t="s">
        <v>3545</v>
      </c>
      <c r="F1276">
        <v>1</v>
      </c>
      <c r="G1276" t="s">
        <v>1545</v>
      </c>
      <c r="H1276" t="s">
        <v>3546</v>
      </c>
      <c r="I1276" t="s">
        <v>3547</v>
      </c>
      <c r="K1276" t="s">
        <v>109</v>
      </c>
      <c r="L1276" t="s">
        <v>3548</v>
      </c>
      <c r="M1276" t="s">
        <v>73</v>
      </c>
      <c r="P1276">
        <f t="shared" si="38"/>
        <v>1</v>
      </c>
      <c r="Q1276" t="str">
        <f>IF(AND(P1276&gt;1,COUNTIF($E$6:E1276,E1276)=1),MAX($Q$5:Q1275)+1,"")</f>
        <v/>
      </c>
      <c r="R1276" t="str">
        <f t="shared" si="39"/>
        <v/>
      </c>
    </row>
    <row r="1277" spans="1:18" ht="22.95" customHeight="1">
      <c r="A1277" t="s">
        <v>3455</v>
      </c>
      <c r="B1277" t="s">
        <v>29</v>
      </c>
      <c r="C1277" t="s">
        <v>1084</v>
      </c>
      <c r="D1277" t="s">
        <v>1085</v>
      </c>
      <c r="E1277" t="s">
        <v>3549</v>
      </c>
      <c r="F1277">
        <v>1</v>
      </c>
      <c r="G1277" t="s">
        <v>1545</v>
      </c>
      <c r="H1277" t="s">
        <v>3546</v>
      </c>
      <c r="I1277" t="s">
        <v>3547</v>
      </c>
      <c r="K1277" t="s">
        <v>109</v>
      </c>
      <c r="L1277" t="s">
        <v>3548</v>
      </c>
      <c r="M1277" t="s">
        <v>73</v>
      </c>
      <c r="P1277">
        <f t="shared" si="38"/>
        <v>1</v>
      </c>
      <c r="Q1277" t="str">
        <f>IF(AND(P1277&gt;1,COUNTIF($E$6:E1277,E1277)=1),MAX($Q$5:Q1276)+1,"")</f>
        <v/>
      </c>
      <c r="R1277" t="str">
        <f t="shared" si="39"/>
        <v/>
      </c>
    </row>
    <row r="1278" spans="1:18" ht="22.95" customHeight="1">
      <c r="A1278" t="s">
        <v>3455</v>
      </c>
      <c r="B1278" t="s">
        <v>29</v>
      </c>
      <c r="C1278" t="s">
        <v>1084</v>
      </c>
      <c r="D1278" t="s">
        <v>1085</v>
      </c>
      <c r="E1278" t="s">
        <v>3550</v>
      </c>
      <c r="F1278">
        <v>1</v>
      </c>
      <c r="G1278" t="s">
        <v>1545</v>
      </c>
      <c r="H1278" t="s">
        <v>3546</v>
      </c>
      <c r="I1278" t="s">
        <v>3547</v>
      </c>
      <c r="K1278" t="s">
        <v>109</v>
      </c>
      <c r="L1278" t="s">
        <v>3548</v>
      </c>
      <c r="M1278" t="s">
        <v>73</v>
      </c>
      <c r="P1278">
        <f t="shared" si="38"/>
        <v>1</v>
      </c>
      <c r="Q1278" t="str">
        <f>IF(AND(P1278&gt;1,COUNTIF($E$6:E1278,E1278)=1),MAX($Q$5:Q1277)+1,"")</f>
        <v/>
      </c>
      <c r="R1278" t="str">
        <f t="shared" si="39"/>
        <v/>
      </c>
    </row>
    <row r="1279" spans="1:18" ht="22.95" customHeight="1">
      <c r="A1279" t="s">
        <v>3455</v>
      </c>
      <c r="B1279" t="s">
        <v>29</v>
      </c>
      <c r="C1279" t="s">
        <v>1084</v>
      </c>
      <c r="D1279" t="s">
        <v>1085</v>
      </c>
      <c r="E1279" t="s">
        <v>3551</v>
      </c>
      <c r="F1279">
        <v>1</v>
      </c>
      <c r="G1279" t="s">
        <v>1545</v>
      </c>
      <c r="H1279" t="s">
        <v>3546</v>
      </c>
      <c r="I1279" t="s">
        <v>112</v>
      </c>
      <c r="K1279" t="s">
        <v>112</v>
      </c>
      <c r="L1279" t="s">
        <v>3552</v>
      </c>
      <c r="M1279" t="s">
        <v>62</v>
      </c>
      <c r="N1279" t="s">
        <v>187</v>
      </c>
      <c r="P1279">
        <f t="shared" si="38"/>
        <v>1</v>
      </c>
      <c r="Q1279" t="str">
        <f>IF(AND(P1279&gt;1,COUNTIF($E$6:E1279,E1279)=1),MAX($Q$5:Q1278)+1,"")</f>
        <v/>
      </c>
      <c r="R1279" t="str">
        <f t="shared" si="39"/>
        <v/>
      </c>
    </row>
    <row r="1280" spans="1:18" ht="22.95" customHeight="1">
      <c r="A1280" t="s">
        <v>3455</v>
      </c>
      <c r="B1280" t="s">
        <v>29</v>
      </c>
      <c r="C1280" t="s">
        <v>1084</v>
      </c>
      <c r="D1280" t="s">
        <v>1085</v>
      </c>
      <c r="E1280" t="s">
        <v>3553</v>
      </c>
      <c r="F1280">
        <v>1</v>
      </c>
      <c r="G1280" t="s">
        <v>92</v>
      </c>
      <c r="I1280" t="s">
        <v>112</v>
      </c>
      <c r="K1280" t="s">
        <v>112</v>
      </c>
      <c r="L1280" t="s">
        <v>3554</v>
      </c>
      <c r="M1280" t="s">
        <v>102</v>
      </c>
      <c r="P1280">
        <f t="shared" si="38"/>
        <v>1</v>
      </c>
      <c r="Q1280" t="str">
        <f>IF(AND(P1280&gt;1,COUNTIF($E$6:E1280,E1280)=1),MAX($Q$5:Q1279)+1,"")</f>
        <v/>
      </c>
      <c r="R1280" t="str">
        <f t="shared" si="39"/>
        <v/>
      </c>
    </row>
    <row r="1281" spans="1:18" ht="22.95" customHeight="1">
      <c r="A1281" t="s">
        <v>3455</v>
      </c>
      <c r="B1281" t="s">
        <v>29</v>
      </c>
      <c r="C1281" t="s">
        <v>1084</v>
      </c>
      <c r="D1281" t="s">
        <v>1085</v>
      </c>
      <c r="E1281" t="s">
        <v>3555</v>
      </c>
      <c r="F1281">
        <v>1</v>
      </c>
      <c r="G1281" t="s">
        <v>1545</v>
      </c>
      <c r="H1281" t="s">
        <v>3546</v>
      </c>
      <c r="I1281" t="s">
        <v>3556</v>
      </c>
      <c r="K1281" t="s">
        <v>3557</v>
      </c>
      <c r="L1281" t="s">
        <v>3558</v>
      </c>
      <c r="M1281" t="s">
        <v>62</v>
      </c>
      <c r="N1281" t="s">
        <v>712</v>
      </c>
      <c r="P1281">
        <f t="shared" si="38"/>
        <v>1</v>
      </c>
      <c r="Q1281" t="str">
        <f>IF(AND(P1281&gt;1,COUNTIF($E$6:E1281,E1281)=1),MAX($Q$5:Q1280)+1,"")</f>
        <v/>
      </c>
      <c r="R1281" t="str">
        <f t="shared" si="39"/>
        <v/>
      </c>
    </row>
    <row r="1282" spans="1:18" ht="22.95" customHeight="1">
      <c r="A1282" t="s">
        <v>3559</v>
      </c>
      <c r="B1282" t="s">
        <v>20</v>
      </c>
      <c r="C1282" t="s">
        <v>3560</v>
      </c>
      <c r="D1282" t="s">
        <v>1070</v>
      </c>
      <c r="E1282" t="s">
        <v>3561</v>
      </c>
      <c r="F1282">
        <v>1</v>
      </c>
      <c r="G1282" t="s">
        <v>3562</v>
      </c>
      <c r="H1282" t="s">
        <v>3563</v>
      </c>
      <c r="I1282" t="s">
        <v>3564</v>
      </c>
      <c r="L1282" t="s">
        <v>3565</v>
      </c>
      <c r="M1282" t="s">
        <v>73</v>
      </c>
      <c r="P1282">
        <f t="shared" si="38"/>
        <v>1</v>
      </c>
      <c r="Q1282" t="str">
        <f>IF(AND(P1282&gt;1,COUNTIF($E$6:E1282,E1282)=1),MAX($Q$5:Q1281)+1,"")</f>
        <v/>
      </c>
      <c r="R1282" t="str">
        <f t="shared" si="39"/>
        <v/>
      </c>
    </row>
    <row r="1283" spans="1:18" ht="22.95" customHeight="1">
      <c r="A1283" t="s">
        <v>3559</v>
      </c>
      <c r="B1283" t="s">
        <v>20</v>
      </c>
      <c r="C1283" t="s">
        <v>3560</v>
      </c>
      <c r="D1283" t="s">
        <v>1070</v>
      </c>
      <c r="E1283" t="s">
        <v>3566</v>
      </c>
      <c r="F1283">
        <v>1</v>
      </c>
      <c r="G1283" t="s">
        <v>296</v>
      </c>
      <c r="H1283" t="s">
        <v>3567</v>
      </c>
      <c r="I1283" t="s">
        <v>517</v>
      </c>
      <c r="L1283" t="s">
        <v>3568</v>
      </c>
      <c r="M1283" t="s">
        <v>62</v>
      </c>
      <c r="N1283" t="s">
        <v>187</v>
      </c>
      <c r="P1283">
        <f t="shared" si="38"/>
        <v>1</v>
      </c>
      <c r="Q1283" t="str">
        <f>IF(AND(P1283&gt;1,COUNTIF($E$6:E1283,E1283)=1),MAX($Q$5:Q1282)+1,"")</f>
        <v/>
      </c>
      <c r="R1283" t="str">
        <f t="shared" si="39"/>
        <v/>
      </c>
    </row>
    <row r="1284" spans="1:18" ht="22.95" customHeight="1">
      <c r="A1284" t="s">
        <v>3559</v>
      </c>
      <c r="B1284" t="s">
        <v>20</v>
      </c>
      <c r="C1284" t="s">
        <v>3560</v>
      </c>
      <c r="D1284" t="s">
        <v>1070</v>
      </c>
      <c r="E1284" t="s">
        <v>3569</v>
      </c>
      <c r="F1284">
        <v>1</v>
      </c>
      <c r="G1284" t="s">
        <v>296</v>
      </c>
      <c r="H1284" t="s">
        <v>3567</v>
      </c>
      <c r="I1284" t="s">
        <v>517</v>
      </c>
      <c r="L1284" t="s">
        <v>3570</v>
      </c>
      <c r="M1284" t="s">
        <v>62</v>
      </c>
      <c r="N1284" t="s">
        <v>187</v>
      </c>
      <c r="P1284">
        <f t="shared" si="38"/>
        <v>1</v>
      </c>
      <c r="Q1284" t="str">
        <f>IF(AND(P1284&gt;1,COUNTIF($E$6:E1284,E1284)=1),MAX($Q$5:Q1283)+1,"")</f>
        <v/>
      </c>
      <c r="R1284" t="str">
        <f t="shared" si="39"/>
        <v/>
      </c>
    </row>
    <row r="1285" spans="1:18" ht="22.95" customHeight="1">
      <c r="A1285" t="s">
        <v>3559</v>
      </c>
      <c r="B1285" t="s">
        <v>20</v>
      </c>
      <c r="C1285" t="s">
        <v>3560</v>
      </c>
      <c r="D1285" t="s">
        <v>1070</v>
      </c>
      <c r="E1285" t="s">
        <v>3571</v>
      </c>
      <c r="F1285">
        <v>1</v>
      </c>
      <c r="G1285" t="s">
        <v>296</v>
      </c>
      <c r="H1285" t="s">
        <v>3567</v>
      </c>
      <c r="I1285" t="s">
        <v>3572</v>
      </c>
      <c r="L1285" t="s">
        <v>3573</v>
      </c>
      <c r="M1285" t="s">
        <v>102</v>
      </c>
      <c r="P1285">
        <f t="shared" si="38"/>
        <v>1</v>
      </c>
      <c r="Q1285" t="str">
        <f>IF(AND(P1285&gt;1,COUNTIF($E$6:E1285,E1285)=1),MAX($Q$5:Q1284)+1,"")</f>
        <v/>
      </c>
      <c r="R1285" t="str">
        <f t="shared" si="39"/>
        <v/>
      </c>
    </row>
    <row r="1286" spans="1:18" ht="22.95" customHeight="1">
      <c r="A1286" t="s">
        <v>3559</v>
      </c>
      <c r="B1286" t="s">
        <v>20</v>
      </c>
      <c r="C1286" t="s">
        <v>65</v>
      </c>
      <c r="D1286" t="s">
        <v>66</v>
      </c>
      <c r="E1286" t="s">
        <v>3574</v>
      </c>
      <c r="F1286">
        <v>1</v>
      </c>
      <c r="G1286" t="s">
        <v>3575</v>
      </c>
      <c r="H1286" t="s">
        <v>3567</v>
      </c>
      <c r="I1286" t="s">
        <v>3576</v>
      </c>
      <c r="J1286" t="s">
        <v>245</v>
      </c>
      <c r="L1286" t="s">
        <v>3577</v>
      </c>
      <c r="M1286" t="s">
        <v>73</v>
      </c>
      <c r="P1286">
        <f t="shared" ref="P1286:P1349" si="40">COUNTIF($E$6:$E$1740,E1286)</f>
        <v>1</v>
      </c>
      <c r="Q1286" t="str">
        <f>IF(AND(P1286&gt;1,COUNTIF($E$6:E1286,E1286)=1),MAX($Q$5:Q1285)+1,"")</f>
        <v/>
      </c>
      <c r="R1286" t="str">
        <f t="shared" ref="R1286:R1349" si="41">IF(Q1286="","",IF(COUNTIFS($E$6:$E$1740,E1286,$A$6:$A$1740,A1286,$C$6:$C$1740,C1286)&lt;P1286,"LÉGITIME",IF(COUNTIFS($E$6:$E$1740,E1286,$A$6:$A$1740,A1286,$C$6:$C$1740,C1286,$M$6:$M$1740,M1286)&lt;P1286,"STATUT DIFFÉRENT","VRAI DOUBLON")))</f>
        <v/>
      </c>
    </row>
    <row r="1287" spans="1:18" ht="22.95" customHeight="1">
      <c r="A1287" t="s">
        <v>3559</v>
      </c>
      <c r="B1287" t="s">
        <v>20</v>
      </c>
      <c r="C1287" t="s">
        <v>65</v>
      </c>
      <c r="D1287" t="s">
        <v>66</v>
      </c>
      <c r="E1287" t="s">
        <v>3578</v>
      </c>
      <c r="F1287">
        <v>1</v>
      </c>
      <c r="G1287" t="s">
        <v>3575</v>
      </c>
      <c r="H1287" t="s">
        <v>3567</v>
      </c>
      <c r="I1287" t="s">
        <v>3579</v>
      </c>
      <c r="J1287" t="s">
        <v>245</v>
      </c>
      <c r="L1287" t="s">
        <v>3577</v>
      </c>
      <c r="M1287" t="s">
        <v>73</v>
      </c>
      <c r="P1287">
        <f t="shared" si="40"/>
        <v>1</v>
      </c>
      <c r="Q1287" t="str">
        <f>IF(AND(P1287&gt;1,COUNTIF($E$6:E1287,E1287)=1),MAX($Q$5:Q1286)+1,"")</f>
        <v/>
      </c>
      <c r="R1287" t="str">
        <f t="shared" si="41"/>
        <v/>
      </c>
    </row>
    <row r="1288" spans="1:18" ht="22.95" customHeight="1">
      <c r="A1288" t="s">
        <v>3559</v>
      </c>
      <c r="B1288" t="s">
        <v>20</v>
      </c>
      <c r="C1288" t="s">
        <v>65</v>
      </c>
      <c r="D1288" t="s">
        <v>66</v>
      </c>
      <c r="E1288" t="s">
        <v>3580</v>
      </c>
      <c r="F1288">
        <v>1</v>
      </c>
      <c r="G1288" t="s">
        <v>92</v>
      </c>
      <c r="I1288" t="s">
        <v>140</v>
      </c>
      <c r="K1288" t="s">
        <v>3581</v>
      </c>
      <c r="L1288" t="s">
        <v>3582</v>
      </c>
      <c r="M1288" t="s">
        <v>73</v>
      </c>
      <c r="P1288">
        <f t="shared" si="40"/>
        <v>1</v>
      </c>
      <c r="Q1288" t="str">
        <f>IF(AND(P1288&gt;1,COUNTIF($E$6:E1288,E1288)=1),MAX($Q$5:Q1287)+1,"")</f>
        <v/>
      </c>
      <c r="R1288" t="str">
        <f t="shared" si="41"/>
        <v/>
      </c>
    </row>
    <row r="1289" spans="1:18" ht="22.95" customHeight="1">
      <c r="A1289" t="s">
        <v>3559</v>
      </c>
      <c r="B1289" t="s">
        <v>22</v>
      </c>
      <c r="C1289" t="s">
        <v>1149</v>
      </c>
      <c r="D1289" t="s">
        <v>1150</v>
      </c>
      <c r="E1289" t="s">
        <v>3583</v>
      </c>
      <c r="F1289">
        <v>1</v>
      </c>
      <c r="G1289" t="s">
        <v>92</v>
      </c>
      <c r="I1289" t="s">
        <v>3584</v>
      </c>
      <c r="K1289" t="s">
        <v>109</v>
      </c>
      <c r="L1289" t="s">
        <v>3585</v>
      </c>
      <c r="M1289" t="s">
        <v>73</v>
      </c>
      <c r="P1289">
        <f t="shared" si="40"/>
        <v>1</v>
      </c>
      <c r="Q1289" t="str">
        <f>IF(AND(P1289&gt;1,COUNTIF($E$6:E1289,E1289)=1),MAX($Q$5:Q1288)+1,"")</f>
        <v/>
      </c>
      <c r="R1289" t="str">
        <f t="shared" si="41"/>
        <v/>
      </c>
    </row>
    <row r="1290" spans="1:18" ht="22.95" customHeight="1">
      <c r="A1290" t="s">
        <v>3559</v>
      </c>
      <c r="B1290" t="s">
        <v>22</v>
      </c>
      <c r="C1290" t="s">
        <v>1149</v>
      </c>
      <c r="D1290" t="s">
        <v>1150</v>
      </c>
      <c r="E1290" t="s">
        <v>3586</v>
      </c>
      <c r="F1290">
        <v>1</v>
      </c>
      <c r="G1290" t="s">
        <v>92</v>
      </c>
      <c r="I1290" t="s">
        <v>3587</v>
      </c>
      <c r="K1290" t="s">
        <v>109</v>
      </c>
      <c r="L1290" t="s">
        <v>3588</v>
      </c>
      <c r="M1290" t="s">
        <v>73</v>
      </c>
      <c r="P1290">
        <f t="shared" si="40"/>
        <v>1</v>
      </c>
      <c r="Q1290" t="str">
        <f>IF(AND(P1290&gt;1,COUNTIF($E$6:E1290,E1290)=1),MAX($Q$5:Q1289)+1,"")</f>
        <v/>
      </c>
      <c r="R1290" t="str">
        <f t="shared" si="41"/>
        <v/>
      </c>
    </row>
    <row r="1291" spans="1:18" ht="22.95" customHeight="1">
      <c r="A1291" t="s">
        <v>3559</v>
      </c>
      <c r="B1291" t="s">
        <v>22</v>
      </c>
      <c r="C1291" t="s">
        <v>370</v>
      </c>
      <c r="D1291" t="s">
        <v>371</v>
      </c>
      <c r="E1291" t="s">
        <v>3589</v>
      </c>
      <c r="F1291">
        <v>1</v>
      </c>
      <c r="G1291" t="s">
        <v>92</v>
      </c>
      <c r="I1291" t="s">
        <v>3590</v>
      </c>
      <c r="K1291" t="s">
        <v>3591</v>
      </c>
      <c r="L1291" t="s">
        <v>3592</v>
      </c>
      <c r="M1291" t="s">
        <v>62</v>
      </c>
      <c r="P1291">
        <f t="shared" si="40"/>
        <v>1</v>
      </c>
      <c r="Q1291" t="str">
        <f>IF(AND(P1291&gt;1,COUNTIF($E$6:E1291,E1291)=1),MAX($Q$5:Q1290)+1,"")</f>
        <v/>
      </c>
      <c r="R1291" t="str">
        <f t="shared" si="41"/>
        <v/>
      </c>
    </row>
    <row r="1292" spans="1:18" ht="22.95" customHeight="1">
      <c r="A1292" t="s">
        <v>3559</v>
      </c>
      <c r="B1292" t="s">
        <v>25</v>
      </c>
      <c r="C1292" t="s">
        <v>115</v>
      </c>
      <c r="D1292" t="s">
        <v>116</v>
      </c>
      <c r="E1292" t="s">
        <v>3593</v>
      </c>
      <c r="F1292">
        <v>1</v>
      </c>
      <c r="G1292" t="s">
        <v>139</v>
      </c>
      <c r="L1292" t="s">
        <v>3594</v>
      </c>
      <c r="M1292" t="s">
        <v>73</v>
      </c>
      <c r="P1292">
        <f t="shared" si="40"/>
        <v>1</v>
      </c>
      <c r="Q1292" t="str">
        <f>IF(AND(P1292&gt;1,COUNTIF($E$6:E1292,E1292)=1),MAX($Q$5:Q1291)+1,"")</f>
        <v/>
      </c>
      <c r="R1292" t="str">
        <f t="shared" si="41"/>
        <v/>
      </c>
    </row>
    <row r="1293" spans="1:18" ht="22.95" customHeight="1">
      <c r="A1293" t="s">
        <v>3559</v>
      </c>
      <c r="B1293" t="s">
        <v>25</v>
      </c>
      <c r="C1293" t="s">
        <v>3595</v>
      </c>
      <c r="D1293" t="s">
        <v>116</v>
      </c>
      <c r="E1293" t="s">
        <v>3595</v>
      </c>
      <c r="F1293">
        <v>1</v>
      </c>
      <c r="G1293" t="s">
        <v>92</v>
      </c>
      <c r="I1293" t="s">
        <v>3596</v>
      </c>
      <c r="K1293" t="s">
        <v>109</v>
      </c>
      <c r="L1293" t="s">
        <v>3597</v>
      </c>
      <c r="M1293" t="s">
        <v>62</v>
      </c>
      <c r="P1293">
        <f t="shared" si="40"/>
        <v>1</v>
      </c>
      <c r="Q1293" t="str">
        <f>IF(AND(P1293&gt;1,COUNTIF($E$6:E1293,E1293)=1),MAX($Q$5:Q1292)+1,"")</f>
        <v/>
      </c>
      <c r="R1293" t="str">
        <f t="shared" si="41"/>
        <v/>
      </c>
    </row>
    <row r="1294" spans="1:18" ht="22.95" customHeight="1">
      <c r="A1294" t="s">
        <v>3559</v>
      </c>
      <c r="B1294" t="s">
        <v>24</v>
      </c>
      <c r="C1294" t="s">
        <v>426</v>
      </c>
      <c r="D1294" t="s">
        <v>427</v>
      </c>
      <c r="E1294" t="s">
        <v>3598</v>
      </c>
      <c r="F1294">
        <v>1</v>
      </c>
      <c r="G1294" t="s">
        <v>1682</v>
      </c>
      <c r="H1294" t="s">
        <v>3599</v>
      </c>
      <c r="I1294" t="s">
        <v>517</v>
      </c>
      <c r="L1294" t="s">
        <v>3600</v>
      </c>
      <c r="M1294" t="s">
        <v>62</v>
      </c>
      <c r="N1294" t="s">
        <v>187</v>
      </c>
      <c r="P1294">
        <f t="shared" si="40"/>
        <v>1</v>
      </c>
      <c r="Q1294" t="str">
        <f>IF(AND(P1294&gt;1,COUNTIF($E$6:E1294,E1294)=1),MAX($Q$5:Q1293)+1,"")</f>
        <v/>
      </c>
      <c r="R1294" t="str">
        <f t="shared" si="41"/>
        <v/>
      </c>
    </row>
    <row r="1295" spans="1:18" ht="22.95" customHeight="1">
      <c r="A1295" t="s">
        <v>3559</v>
      </c>
      <c r="B1295" t="s">
        <v>24</v>
      </c>
      <c r="C1295" t="s">
        <v>426</v>
      </c>
      <c r="D1295" t="s">
        <v>427</v>
      </c>
      <c r="E1295" t="s">
        <v>3601</v>
      </c>
      <c r="F1295">
        <v>1</v>
      </c>
      <c r="G1295" t="s">
        <v>1431</v>
      </c>
      <c r="H1295" t="s">
        <v>3602</v>
      </c>
      <c r="I1295" t="s">
        <v>3603</v>
      </c>
      <c r="K1295" t="s">
        <v>1398</v>
      </c>
      <c r="L1295" t="s">
        <v>3604</v>
      </c>
      <c r="M1295" t="s">
        <v>62</v>
      </c>
      <c r="N1295" t="s">
        <v>712</v>
      </c>
      <c r="P1295">
        <f t="shared" si="40"/>
        <v>1</v>
      </c>
      <c r="Q1295" t="str">
        <f>IF(AND(P1295&gt;1,COUNTIF($E$6:E1295,E1295)=1),MAX($Q$5:Q1294)+1,"")</f>
        <v/>
      </c>
      <c r="R1295" t="str">
        <f t="shared" si="41"/>
        <v/>
      </c>
    </row>
    <row r="1296" spans="1:18" ht="22.95" customHeight="1">
      <c r="A1296" t="s">
        <v>3559</v>
      </c>
      <c r="B1296" t="s">
        <v>24</v>
      </c>
      <c r="C1296" t="s">
        <v>426</v>
      </c>
      <c r="D1296" t="s">
        <v>427</v>
      </c>
      <c r="E1296" t="s">
        <v>3605</v>
      </c>
      <c r="F1296">
        <v>1</v>
      </c>
      <c r="G1296" t="s">
        <v>1431</v>
      </c>
      <c r="H1296" t="s">
        <v>3602</v>
      </c>
      <c r="I1296" t="s">
        <v>3603</v>
      </c>
      <c r="K1296" t="s">
        <v>1398</v>
      </c>
      <c r="L1296" t="s">
        <v>3606</v>
      </c>
      <c r="M1296" t="s">
        <v>62</v>
      </c>
      <c r="N1296" t="s">
        <v>712</v>
      </c>
      <c r="P1296">
        <f t="shared" si="40"/>
        <v>1</v>
      </c>
      <c r="Q1296" t="str">
        <f>IF(AND(P1296&gt;1,COUNTIF($E$6:E1296,E1296)=1),MAX($Q$5:Q1295)+1,"")</f>
        <v/>
      </c>
      <c r="R1296" t="str">
        <f t="shared" si="41"/>
        <v/>
      </c>
    </row>
    <row r="1297" spans="1:18" ht="22.95" customHeight="1">
      <c r="A1297" t="s">
        <v>3559</v>
      </c>
      <c r="B1297" t="s">
        <v>24</v>
      </c>
      <c r="C1297" t="s">
        <v>426</v>
      </c>
      <c r="D1297" t="s">
        <v>427</v>
      </c>
      <c r="E1297" t="s">
        <v>3607</v>
      </c>
      <c r="F1297">
        <v>1</v>
      </c>
      <c r="G1297" t="s">
        <v>1431</v>
      </c>
      <c r="H1297" t="s">
        <v>3602</v>
      </c>
      <c r="I1297" t="s">
        <v>3603</v>
      </c>
      <c r="K1297" t="s">
        <v>1398</v>
      </c>
      <c r="L1297" t="s">
        <v>3608</v>
      </c>
      <c r="M1297" t="s">
        <v>62</v>
      </c>
      <c r="N1297" t="s">
        <v>712</v>
      </c>
      <c r="P1297">
        <f t="shared" si="40"/>
        <v>1</v>
      </c>
      <c r="Q1297" t="str">
        <f>IF(AND(P1297&gt;1,COUNTIF($E$6:E1297,E1297)=1),MAX($Q$5:Q1296)+1,"")</f>
        <v/>
      </c>
      <c r="R1297" t="str">
        <f t="shared" si="41"/>
        <v/>
      </c>
    </row>
    <row r="1298" spans="1:18" ht="22.95" customHeight="1">
      <c r="A1298" t="s">
        <v>3559</v>
      </c>
      <c r="B1298" t="s">
        <v>24</v>
      </c>
      <c r="C1298" t="s">
        <v>426</v>
      </c>
      <c r="D1298" t="s">
        <v>427</v>
      </c>
      <c r="E1298" t="s">
        <v>3609</v>
      </c>
      <c r="F1298">
        <v>1</v>
      </c>
      <c r="G1298" t="s">
        <v>1431</v>
      </c>
      <c r="H1298" t="s">
        <v>3602</v>
      </c>
      <c r="I1298" t="s">
        <v>3603</v>
      </c>
      <c r="K1298" t="s">
        <v>1398</v>
      </c>
      <c r="L1298" t="s">
        <v>3608</v>
      </c>
      <c r="M1298" t="s">
        <v>62</v>
      </c>
      <c r="N1298" t="s">
        <v>712</v>
      </c>
      <c r="P1298">
        <f t="shared" si="40"/>
        <v>1</v>
      </c>
      <c r="Q1298" t="str">
        <f>IF(AND(P1298&gt;1,COUNTIF($E$6:E1298,E1298)=1),MAX($Q$5:Q1297)+1,"")</f>
        <v/>
      </c>
      <c r="R1298" t="str">
        <f t="shared" si="41"/>
        <v/>
      </c>
    </row>
    <row r="1299" spans="1:18" ht="22.95" customHeight="1">
      <c r="A1299" t="s">
        <v>3559</v>
      </c>
      <c r="B1299" t="s">
        <v>24</v>
      </c>
      <c r="C1299" t="s">
        <v>426</v>
      </c>
      <c r="D1299" t="s">
        <v>427</v>
      </c>
      <c r="E1299" t="s">
        <v>3610</v>
      </c>
      <c r="F1299">
        <v>1</v>
      </c>
      <c r="G1299" t="s">
        <v>3611</v>
      </c>
      <c r="H1299" t="s">
        <v>3612</v>
      </c>
      <c r="I1299" t="s">
        <v>3603</v>
      </c>
      <c r="K1299" t="s">
        <v>1398</v>
      </c>
      <c r="L1299" t="s">
        <v>3613</v>
      </c>
      <c r="M1299" t="s">
        <v>62</v>
      </c>
      <c r="N1299" t="s">
        <v>712</v>
      </c>
      <c r="P1299">
        <f t="shared" si="40"/>
        <v>1</v>
      </c>
      <c r="Q1299" t="str">
        <f>IF(AND(P1299&gt;1,COUNTIF($E$6:E1299,E1299)=1),MAX($Q$5:Q1298)+1,"")</f>
        <v/>
      </c>
      <c r="R1299" t="str">
        <f t="shared" si="41"/>
        <v/>
      </c>
    </row>
    <row r="1300" spans="1:18" ht="22.95" customHeight="1">
      <c r="A1300" t="s">
        <v>3559</v>
      </c>
      <c r="B1300" t="s">
        <v>24</v>
      </c>
      <c r="C1300" t="s">
        <v>431</v>
      </c>
      <c r="D1300" t="s">
        <v>216</v>
      </c>
      <c r="E1300" t="s">
        <v>3614</v>
      </c>
      <c r="F1300">
        <v>1</v>
      </c>
      <c r="G1300" t="s">
        <v>92</v>
      </c>
      <c r="L1300" t="s">
        <v>3615</v>
      </c>
      <c r="M1300" t="s">
        <v>102</v>
      </c>
      <c r="P1300">
        <f t="shared" si="40"/>
        <v>1</v>
      </c>
      <c r="Q1300" t="str">
        <f>IF(AND(P1300&gt;1,COUNTIF($E$6:E1300,E1300)=1),MAX($Q$5:Q1299)+1,"")</f>
        <v/>
      </c>
      <c r="R1300" t="str">
        <f t="shared" si="41"/>
        <v/>
      </c>
    </row>
    <row r="1301" spans="1:18" ht="22.95" customHeight="1">
      <c r="A1301" t="s">
        <v>3559</v>
      </c>
      <c r="B1301" t="s">
        <v>24</v>
      </c>
      <c r="C1301" t="s">
        <v>436</v>
      </c>
      <c r="D1301" t="s">
        <v>437</v>
      </c>
      <c r="E1301" t="s">
        <v>3616</v>
      </c>
      <c r="F1301">
        <v>1</v>
      </c>
      <c r="I1301" t="s">
        <v>408</v>
      </c>
      <c r="K1301" t="s">
        <v>406</v>
      </c>
      <c r="L1301" t="s">
        <v>3617</v>
      </c>
      <c r="M1301" t="s">
        <v>62</v>
      </c>
      <c r="N1301" t="s">
        <v>187</v>
      </c>
      <c r="P1301">
        <f t="shared" si="40"/>
        <v>1</v>
      </c>
      <c r="Q1301" t="str">
        <f>IF(AND(P1301&gt;1,COUNTIF($E$6:E1301,E1301)=1),MAX($Q$5:Q1300)+1,"")</f>
        <v/>
      </c>
      <c r="R1301" t="str">
        <f t="shared" si="41"/>
        <v/>
      </c>
    </row>
    <row r="1302" spans="1:18" ht="22.95" customHeight="1">
      <c r="A1302" t="s">
        <v>3559</v>
      </c>
      <c r="B1302" t="s">
        <v>24</v>
      </c>
      <c r="C1302" t="s">
        <v>436</v>
      </c>
      <c r="D1302" t="s">
        <v>437</v>
      </c>
      <c r="E1302" t="s">
        <v>3618</v>
      </c>
      <c r="F1302">
        <v>1</v>
      </c>
      <c r="I1302" t="s">
        <v>408</v>
      </c>
      <c r="J1302" t="s">
        <v>672</v>
      </c>
      <c r="K1302" t="s">
        <v>406</v>
      </c>
      <c r="L1302" t="s">
        <v>3619</v>
      </c>
      <c r="M1302" t="s">
        <v>102</v>
      </c>
      <c r="P1302">
        <f t="shared" si="40"/>
        <v>1</v>
      </c>
      <c r="Q1302" t="str">
        <f>IF(AND(P1302&gt;1,COUNTIF($E$6:E1302,E1302)=1),MAX($Q$5:Q1301)+1,"")</f>
        <v/>
      </c>
      <c r="R1302" t="str">
        <f t="shared" si="41"/>
        <v/>
      </c>
    </row>
    <row r="1303" spans="1:18" ht="22.95" customHeight="1">
      <c r="A1303" t="s">
        <v>3559</v>
      </c>
      <c r="B1303" t="s">
        <v>24</v>
      </c>
      <c r="C1303" t="s">
        <v>436</v>
      </c>
      <c r="D1303" t="s">
        <v>437</v>
      </c>
      <c r="E1303" t="s">
        <v>3620</v>
      </c>
      <c r="F1303">
        <v>1</v>
      </c>
      <c r="I1303" t="s">
        <v>408</v>
      </c>
      <c r="J1303" t="s">
        <v>672</v>
      </c>
      <c r="K1303" t="s">
        <v>406</v>
      </c>
      <c r="L1303" t="s">
        <v>3621</v>
      </c>
      <c r="M1303" t="s">
        <v>102</v>
      </c>
      <c r="P1303">
        <f t="shared" si="40"/>
        <v>1</v>
      </c>
      <c r="Q1303" t="str">
        <f>IF(AND(P1303&gt;1,COUNTIF($E$6:E1303,E1303)=1),MAX($Q$5:Q1302)+1,"")</f>
        <v/>
      </c>
      <c r="R1303" t="str">
        <f t="shared" si="41"/>
        <v/>
      </c>
    </row>
    <row r="1304" spans="1:18" ht="22.95" customHeight="1">
      <c r="A1304" t="s">
        <v>3559</v>
      </c>
      <c r="B1304" t="s">
        <v>24</v>
      </c>
      <c r="C1304" t="s">
        <v>136</v>
      </c>
      <c r="D1304" t="s">
        <v>137</v>
      </c>
      <c r="E1304" t="s">
        <v>3622</v>
      </c>
      <c r="F1304">
        <v>1</v>
      </c>
      <c r="G1304" t="s">
        <v>92</v>
      </c>
      <c r="I1304" t="s">
        <v>140</v>
      </c>
      <c r="J1304" t="s">
        <v>99</v>
      </c>
      <c r="L1304" t="s">
        <v>3623</v>
      </c>
      <c r="M1304" t="s">
        <v>102</v>
      </c>
      <c r="P1304">
        <f t="shared" si="40"/>
        <v>1</v>
      </c>
      <c r="Q1304" t="str">
        <f>IF(AND(P1304&gt;1,COUNTIF($E$6:E1304,E1304)=1),MAX($Q$5:Q1303)+1,"")</f>
        <v/>
      </c>
      <c r="R1304" t="str">
        <f t="shared" si="41"/>
        <v/>
      </c>
    </row>
    <row r="1305" spans="1:18" ht="22.95" customHeight="1">
      <c r="A1305" t="s">
        <v>3559</v>
      </c>
      <c r="B1305" t="s">
        <v>24</v>
      </c>
      <c r="C1305" t="s">
        <v>443</v>
      </c>
      <c r="D1305" t="s">
        <v>444</v>
      </c>
      <c r="E1305" t="s">
        <v>3624</v>
      </c>
      <c r="F1305">
        <v>1</v>
      </c>
      <c r="G1305" t="s">
        <v>92</v>
      </c>
      <c r="I1305" t="s">
        <v>3625</v>
      </c>
      <c r="K1305" t="s">
        <v>3626</v>
      </c>
      <c r="L1305" t="s">
        <v>3627</v>
      </c>
      <c r="M1305" t="s">
        <v>73</v>
      </c>
      <c r="P1305">
        <f t="shared" si="40"/>
        <v>1</v>
      </c>
      <c r="Q1305" t="str">
        <f>IF(AND(P1305&gt;1,COUNTIF($E$6:E1305,E1305)=1),MAX($Q$5:Q1304)+1,"")</f>
        <v/>
      </c>
      <c r="R1305" t="str">
        <f t="shared" si="41"/>
        <v/>
      </c>
    </row>
    <row r="1306" spans="1:18" ht="22.95" customHeight="1">
      <c r="A1306" t="s">
        <v>3559</v>
      </c>
      <c r="B1306" t="s">
        <v>24</v>
      </c>
      <c r="C1306" t="s">
        <v>443</v>
      </c>
      <c r="D1306" t="s">
        <v>444</v>
      </c>
      <c r="E1306" t="s">
        <v>3628</v>
      </c>
      <c r="F1306">
        <v>1</v>
      </c>
      <c r="G1306" t="s">
        <v>92</v>
      </c>
      <c r="I1306" t="s">
        <v>3629</v>
      </c>
      <c r="K1306" t="s">
        <v>109</v>
      </c>
      <c r="L1306" t="s">
        <v>3630</v>
      </c>
      <c r="M1306" t="s">
        <v>73</v>
      </c>
      <c r="P1306">
        <f t="shared" si="40"/>
        <v>1</v>
      </c>
      <c r="Q1306" t="str">
        <f>IF(AND(P1306&gt;1,COUNTIF($E$6:E1306,E1306)=1),MAX($Q$5:Q1305)+1,"")</f>
        <v/>
      </c>
      <c r="R1306" t="str">
        <f t="shared" si="41"/>
        <v/>
      </c>
    </row>
    <row r="1307" spans="1:18" ht="22.95" customHeight="1">
      <c r="A1307" t="s">
        <v>3559</v>
      </c>
      <c r="B1307" t="s">
        <v>28</v>
      </c>
      <c r="C1307" t="s">
        <v>167</v>
      </c>
      <c r="D1307" t="s">
        <v>168</v>
      </c>
      <c r="E1307" t="s">
        <v>3631</v>
      </c>
      <c r="F1307">
        <v>1</v>
      </c>
      <c r="G1307" t="s">
        <v>3632</v>
      </c>
      <c r="H1307" t="s">
        <v>3633</v>
      </c>
      <c r="I1307" t="s">
        <v>164</v>
      </c>
      <c r="L1307" t="s">
        <v>3634</v>
      </c>
      <c r="M1307" t="s">
        <v>73</v>
      </c>
      <c r="P1307">
        <f t="shared" si="40"/>
        <v>1</v>
      </c>
      <c r="Q1307" t="str">
        <f>IF(AND(P1307&gt;1,COUNTIF($E$6:E1307,E1307)=1),MAX($Q$5:Q1306)+1,"")</f>
        <v/>
      </c>
      <c r="R1307" t="str">
        <f t="shared" si="41"/>
        <v/>
      </c>
    </row>
    <row r="1308" spans="1:18" ht="22.95" customHeight="1">
      <c r="A1308" t="s">
        <v>3559</v>
      </c>
      <c r="B1308" t="s">
        <v>28</v>
      </c>
      <c r="C1308" t="s">
        <v>167</v>
      </c>
      <c r="D1308" t="s">
        <v>168</v>
      </c>
      <c r="E1308" t="s">
        <v>3635</v>
      </c>
      <c r="F1308">
        <v>1</v>
      </c>
      <c r="G1308" t="s">
        <v>3632</v>
      </c>
      <c r="H1308" t="s">
        <v>3633</v>
      </c>
      <c r="I1308" t="s">
        <v>164</v>
      </c>
      <c r="L1308" t="s">
        <v>3634</v>
      </c>
      <c r="M1308" t="s">
        <v>73</v>
      </c>
      <c r="P1308">
        <f t="shared" si="40"/>
        <v>1</v>
      </c>
      <c r="Q1308" t="str">
        <f>IF(AND(P1308&gt;1,COUNTIF($E$6:E1308,E1308)=1),MAX($Q$5:Q1307)+1,"")</f>
        <v/>
      </c>
      <c r="R1308" t="str">
        <f t="shared" si="41"/>
        <v/>
      </c>
    </row>
    <row r="1309" spans="1:18" ht="22.95" customHeight="1">
      <c r="A1309" t="s">
        <v>3559</v>
      </c>
      <c r="B1309" t="s">
        <v>30</v>
      </c>
      <c r="C1309" t="s">
        <v>180</v>
      </c>
      <c r="D1309" t="s">
        <v>181</v>
      </c>
      <c r="E1309" t="s">
        <v>3636</v>
      </c>
      <c r="F1309">
        <v>1</v>
      </c>
      <c r="G1309" t="s">
        <v>92</v>
      </c>
      <c r="I1309" t="s">
        <v>517</v>
      </c>
      <c r="L1309" t="s">
        <v>3637</v>
      </c>
      <c r="M1309" t="s">
        <v>73</v>
      </c>
      <c r="P1309">
        <f t="shared" si="40"/>
        <v>1</v>
      </c>
      <c r="Q1309" t="str">
        <f>IF(AND(P1309&gt;1,COUNTIF($E$6:E1309,E1309)=1),MAX($Q$5:Q1308)+1,"")</f>
        <v/>
      </c>
      <c r="R1309" t="str">
        <f t="shared" si="41"/>
        <v/>
      </c>
    </row>
    <row r="1310" spans="1:18" ht="22.95" customHeight="1">
      <c r="A1310" t="s">
        <v>3559</v>
      </c>
      <c r="B1310" t="s">
        <v>30</v>
      </c>
      <c r="C1310" t="s">
        <v>180</v>
      </c>
      <c r="D1310" t="s">
        <v>181</v>
      </c>
      <c r="E1310" t="s">
        <v>3638</v>
      </c>
      <c r="F1310">
        <v>1</v>
      </c>
      <c r="G1310" t="s">
        <v>92</v>
      </c>
      <c r="I1310" t="s">
        <v>517</v>
      </c>
      <c r="L1310" t="s">
        <v>3639</v>
      </c>
      <c r="M1310" t="s">
        <v>73</v>
      </c>
      <c r="P1310">
        <f t="shared" si="40"/>
        <v>1</v>
      </c>
      <c r="Q1310" t="str">
        <f>IF(AND(P1310&gt;1,COUNTIF($E$6:E1310,E1310)=1),MAX($Q$5:Q1309)+1,"")</f>
        <v/>
      </c>
      <c r="R1310" t="str">
        <f t="shared" si="41"/>
        <v/>
      </c>
    </row>
    <row r="1311" spans="1:18" ht="22.95" customHeight="1">
      <c r="A1311" t="s">
        <v>3559</v>
      </c>
      <c r="B1311" t="s">
        <v>30</v>
      </c>
      <c r="C1311" t="s">
        <v>188</v>
      </c>
      <c r="D1311" t="s">
        <v>189</v>
      </c>
      <c r="E1311" t="s">
        <v>3640</v>
      </c>
      <c r="F1311">
        <v>1</v>
      </c>
      <c r="G1311" t="s">
        <v>3641</v>
      </c>
      <c r="H1311" t="s">
        <v>3642</v>
      </c>
      <c r="I1311" t="s">
        <v>3643</v>
      </c>
      <c r="K1311" t="s">
        <v>3644</v>
      </c>
      <c r="L1311" t="s">
        <v>3645</v>
      </c>
      <c r="M1311" t="s">
        <v>73</v>
      </c>
      <c r="P1311">
        <f t="shared" si="40"/>
        <v>1</v>
      </c>
      <c r="Q1311" t="str">
        <f>IF(AND(P1311&gt;1,COUNTIF($E$6:E1311,E1311)=1),MAX($Q$5:Q1310)+1,"")</f>
        <v/>
      </c>
      <c r="R1311" t="str">
        <f t="shared" si="41"/>
        <v/>
      </c>
    </row>
    <row r="1312" spans="1:18" ht="22.95" customHeight="1">
      <c r="A1312" t="s">
        <v>3559</v>
      </c>
      <c r="B1312" t="s">
        <v>30</v>
      </c>
      <c r="C1312" t="s">
        <v>188</v>
      </c>
      <c r="D1312" t="s">
        <v>189</v>
      </c>
      <c r="E1312" t="s">
        <v>3646</v>
      </c>
      <c r="F1312">
        <v>1</v>
      </c>
      <c r="G1312" t="s">
        <v>3647</v>
      </c>
      <c r="H1312" t="s">
        <v>3648</v>
      </c>
      <c r="I1312" t="s">
        <v>3649</v>
      </c>
      <c r="K1312" t="s">
        <v>3644</v>
      </c>
      <c r="L1312" t="s">
        <v>3645</v>
      </c>
      <c r="M1312" t="s">
        <v>73</v>
      </c>
      <c r="P1312">
        <f t="shared" si="40"/>
        <v>1</v>
      </c>
      <c r="Q1312" t="str">
        <f>IF(AND(P1312&gt;1,COUNTIF($E$6:E1312,E1312)=1),MAX($Q$5:Q1311)+1,"")</f>
        <v/>
      </c>
      <c r="R1312" t="str">
        <f t="shared" si="41"/>
        <v/>
      </c>
    </row>
    <row r="1313" spans="1:18" ht="22.95" customHeight="1">
      <c r="A1313" t="s">
        <v>3559</v>
      </c>
      <c r="B1313" t="s">
        <v>30</v>
      </c>
      <c r="C1313" t="s">
        <v>188</v>
      </c>
      <c r="D1313" t="s">
        <v>189</v>
      </c>
      <c r="E1313" t="s">
        <v>3650</v>
      </c>
      <c r="F1313">
        <v>1</v>
      </c>
      <c r="G1313" t="s">
        <v>3647</v>
      </c>
      <c r="H1313" t="s">
        <v>3648</v>
      </c>
      <c r="I1313" t="s">
        <v>3649</v>
      </c>
      <c r="K1313" t="s">
        <v>3644</v>
      </c>
      <c r="L1313" t="s">
        <v>3645</v>
      </c>
      <c r="M1313" t="s">
        <v>73</v>
      </c>
      <c r="P1313">
        <f t="shared" si="40"/>
        <v>1</v>
      </c>
      <c r="Q1313" t="str">
        <f>IF(AND(P1313&gt;1,COUNTIF($E$6:E1313,E1313)=1),MAX($Q$5:Q1312)+1,"")</f>
        <v/>
      </c>
      <c r="R1313" t="str">
        <f t="shared" si="41"/>
        <v/>
      </c>
    </row>
    <row r="1314" spans="1:18" ht="22.95" customHeight="1">
      <c r="A1314" t="s">
        <v>3559</v>
      </c>
      <c r="B1314" t="s">
        <v>30</v>
      </c>
      <c r="C1314" t="s">
        <v>188</v>
      </c>
      <c r="D1314" t="s">
        <v>189</v>
      </c>
      <c r="E1314" t="s">
        <v>3651</v>
      </c>
      <c r="F1314">
        <v>1</v>
      </c>
      <c r="G1314" t="s">
        <v>1236</v>
      </c>
      <c r="H1314" t="s">
        <v>3652</v>
      </c>
      <c r="I1314" t="s">
        <v>2006</v>
      </c>
      <c r="K1314" t="s">
        <v>3644</v>
      </c>
      <c r="L1314" t="s">
        <v>3645</v>
      </c>
      <c r="M1314" t="s">
        <v>73</v>
      </c>
      <c r="P1314">
        <f t="shared" si="40"/>
        <v>1</v>
      </c>
      <c r="Q1314" t="str">
        <f>IF(AND(P1314&gt;1,COUNTIF($E$6:E1314,E1314)=1),MAX($Q$5:Q1313)+1,"")</f>
        <v/>
      </c>
      <c r="R1314" t="str">
        <f t="shared" si="41"/>
        <v/>
      </c>
    </row>
    <row r="1315" spans="1:18" ht="22.95" customHeight="1">
      <c r="A1315" t="s">
        <v>3559</v>
      </c>
      <c r="B1315" t="s">
        <v>30</v>
      </c>
      <c r="C1315" t="s">
        <v>188</v>
      </c>
      <c r="D1315" t="s">
        <v>189</v>
      </c>
      <c r="E1315" t="s">
        <v>3653</v>
      </c>
      <c r="F1315">
        <v>1</v>
      </c>
      <c r="G1315" t="s">
        <v>1236</v>
      </c>
      <c r="H1315" t="s">
        <v>3652</v>
      </c>
      <c r="I1315" t="s">
        <v>2006</v>
      </c>
      <c r="K1315" t="s">
        <v>3654</v>
      </c>
      <c r="L1315" t="s">
        <v>3645</v>
      </c>
      <c r="M1315" t="s">
        <v>73</v>
      </c>
      <c r="P1315">
        <f t="shared" si="40"/>
        <v>1</v>
      </c>
      <c r="Q1315" t="str">
        <f>IF(AND(P1315&gt;1,COUNTIF($E$6:E1315,E1315)=1),MAX($Q$5:Q1314)+1,"")</f>
        <v/>
      </c>
      <c r="R1315" t="str">
        <f t="shared" si="41"/>
        <v/>
      </c>
    </row>
    <row r="1316" spans="1:18" ht="22.95" customHeight="1">
      <c r="A1316" t="s">
        <v>3559</v>
      </c>
      <c r="B1316" t="s">
        <v>30</v>
      </c>
      <c r="C1316" t="s">
        <v>188</v>
      </c>
      <c r="D1316" t="s">
        <v>189</v>
      </c>
      <c r="E1316" t="s">
        <v>3655</v>
      </c>
      <c r="F1316">
        <v>1</v>
      </c>
      <c r="G1316" t="s">
        <v>1236</v>
      </c>
      <c r="H1316" t="s">
        <v>3652</v>
      </c>
      <c r="I1316" t="s">
        <v>3656</v>
      </c>
      <c r="K1316" t="s">
        <v>3657</v>
      </c>
      <c r="L1316" t="s">
        <v>3645</v>
      </c>
      <c r="M1316" t="s">
        <v>73</v>
      </c>
      <c r="P1316">
        <f t="shared" si="40"/>
        <v>1</v>
      </c>
      <c r="Q1316" t="str">
        <f>IF(AND(P1316&gt;1,COUNTIF($E$6:E1316,E1316)=1),MAX($Q$5:Q1315)+1,"")</f>
        <v/>
      </c>
      <c r="R1316" t="str">
        <f t="shared" si="41"/>
        <v/>
      </c>
    </row>
    <row r="1317" spans="1:18" ht="22.95" customHeight="1">
      <c r="A1317" t="s">
        <v>3559</v>
      </c>
      <c r="B1317" t="s">
        <v>30</v>
      </c>
      <c r="C1317" t="s">
        <v>188</v>
      </c>
      <c r="D1317" t="s">
        <v>189</v>
      </c>
      <c r="E1317" t="s">
        <v>3658</v>
      </c>
      <c r="F1317">
        <v>1</v>
      </c>
      <c r="G1317" t="s">
        <v>3659</v>
      </c>
      <c r="H1317" t="s">
        <v>3660</v>
      </c>
      <c r="I1317" t="s">
        <v>3661</v>
      </c>
      <c r="K1317" t="s">
        <v>3662</v>
      </c>
      <c r="L1317" t="s">
        <v>3645</v>
      </c>
      <c r="M1317" t="s">
        <v>73</v>
      </c>
      <c r="P1317">
        <f t="shared" si="40"/>
        <v>1</v>
      </c>
      <c r="Q1317" t="str">
        <f>IF(AND(P1317&gt;1,COUNTIF($E$6:E1317,E1317)=1),MAX($Q$5:Q1316)+1,"")</f>
        <v/>
      </c>
      <c r="R1317" t="str">
        <f t="shared" si="41"/>
        <v/>
      </c>
    </row>
    <row r="1318" spans="1:18" ht="22.95" customHeight="1">
      <c r="A1318" t="s">
        <v>3559</v>
      </c>
      <c r="B1318" t="s">
        <v>30</v>
      </c>
      <c r="C1318" t="s">
        <v>188</v>
      </c>
      <c r="D1318" t="s">
        <v>189</v>
      </c>
      <c r="E1318" t="s">
        <v>3663</v>
      </c>
      <c r="F1318">
        <v>1</v>
      </c>
      <c r="G1318" t="s">
        <v>1534</v>
      </c>
      <c r="H1318" t="s">
        <v>3664</v>
      </c>
      <c r="I1318" t="s">
        <v>3665</v>
      </c>
      <c r="K1318" t="s">
        <v>78</v>
      </c>
      <c r="L1318" t="s">
        <v>3645</v>
      </c>
      <c r="M1318" t="s">
        <v>73</v>
      </c>
      <c r="P1318">
        <f t="shared" si="40"/>
        <v>1</v>
      </c>
      <c r="Q1318" t="str">
        <f>IF(AND(P1318&gt;1,COUNTIF($E$6:E1318,E1318)=1),MAX($Q$5:Q1317)+1,"")</f>
        <v/>
      </c>
      <c r="R1318" t="str">
        <f t="shared" si="41"/>
        <v/>
      </c>
    </row>
    <row r="1319" spans="1:18" ht="22.95" customHeight="1">
      <c r="A1319" t="s">
        <v>3559</v>
      </c>
      <c r="B1319" t="s">
        <v>30</v>
      </c>
      <c r="C1319" t="s">
        <v>188</v>
      </c>
      <c r="D1319" t="s">
        <v>189</v>
      </c>
      <c r="E1319" t="s">
        <v>3666</v>
      </c>
      <c r="F1319">
        <v>1</v>
      </c>
      <c r="G1319" t="s">
        <v>92</v>
      </c>
      <c r="I1319" t="s">
        <v>3667</v>
      </c>
      <c r="K1319" t="s">
        <v>3668</v>
      </c>
      <c r="L1319" t="s">
        <v>2855</v>
      </c>
      <c r="M1319" t="s">
        <v>73</v>
      </c>
      <c r="P1319">
        <f t="shared" si="40"/>
        <v>1</v>
      </c>
      <c r="Q1319" t="str">
        <f>IF(AND(P1319&gt;1,COUNTIF($E$6:E1319,E1319)=1),MAX($Q$5:Q1318)+1,"")</f>
        <v/>
      </c>
      <c r="R1319" t="str">
        <f t="shared" si="41"/>
        <v/>
      </c>
    </row>
    <row r="1320" spans="1:18" ht="22.95" customHeight="1">
      <c r="A1320" t="s">
        <v>3559</v>
      </c>
      <c r="B1320" t="s">
        <v>26</v>
      </c>
      <c r="C1320" t="s">
        <v>196</v>
      </c>
      <c r="D1320" t="s">
        <v>197</v>
      </c>
      <c r="E1320" t="s">
        <v>3669</v>
      </c>
      <c r="F1320">
        <v>1</v>
      </c>
      <c r="G1320" t="s">
        <v>3670</v>
      </c>
      <c r="H1320" t="s">
        <v>3671</v>
      </c>
      <c r="I1320" t="s">
        <v>3672</v>
      </c>
      <c r="K1320" t="s">
        <v>109</v>
      </c>
      <c r="L1320" t="s">
        <v>3673</v>
      </c>
      <c r="M1320" t="s">
        <v>73</v>
      </c>
      <c r="P1320">
        <f t="shared" si="40"/>
        <v>1</v>
      </c>
      <c r="Q1320" t="str">
        <f>IF(AND(P1320&gt;1,COUNTIF($E$6:E1320,E1320)=1),MAX($Q$5:Q1319)+1,"")</f>
        <v/>
      </c>
      <c r="R1320" t="str">
        <f t="shared" si="41"/>
        <v/>
      </c>
    </row>
    <row r="1321" spans="1:18" ht="22.95" customHeight="1">
      <c r="A1321" t="s">
        <v>3559</v>
      </c>
      <c r="B1321" t="s">
        <v>33</v>
      </c>
      <c r="C1321" t="s">
        <v>2088</v>
      </c>
      <c r="D1321" t="s">
        <v>3674</v>
      </c>
      <c r="E1321" t="s">
        <v>3675</v>
      </c>
      <c r="F1321">
        <v>1</v>
      </c>
      <c r="G1321" t="s">
        <v>92</v>
      </c>
      <c r="I1321" t="s">
        <v>3676</v>
      </c>
      <c r="L1321" t="s">
        <v>3677</v>
      </c>
      <c r="M1321" t="s">
        <v>102</v>
      </c>
      <c r="P1321">
        <f t="shared" si="40"/>
        <v>1</v>
      </c>
      <c r="Q1321" t="str">
        <f>IF(AND(P1321&gt;1,COUNTIF($E$6:E1321,E1321)=1),MAX($Q$5:Q1320)+1,"")</f>
        <v/>
      </c>
      <c r="R1321" t="str">
        <f t="shared" si="41"/>
        <v/>
      </c>
    </row>
    <row r="1322" spans="1:18" ht="22.95" customHeight="1">
      <c r="A1322" t="s">
        <v>3559</v>
      </c>
      <c r="B1322" t="s">
        <v>33</v>
      </c>
      <c r="C1322" t="s">
        <v>2314</v>
      </c>
      <c r="D1322" t="s">
        <v>2315</v>
      </c>
      <c r="E1322" t="s">
        <v>3678</v>
      </c>
      <c r="F1322">
        <v>1</v>
      </c>
      <c r="G1322" t="s">
        <v>3395</v>
      </c>
      <c r="H1322" t="s">
        <v>3195</v>
      </c>
      <c r="I1322" t="s">
        <v>517</v>
      </c>
      <c r="L1322" t="s">
        <v>3679</v>
      </c>
      <c r="M1322" t="s">
        <v>102</v>
      </c>
      <c r="P1322">
        <f t="shared" si="40"/>
        <v>1</v>
      </c>
      <c r="Q1322" t="str">
        <f>IF(AND(P1322&gt;1,COUNTIF($E$6:E1322,E1322)=1),MAX($Q$5:Q1321)+1,"")</f>
        <v/>
      </c>
      <c r="R1322" t="str">
        <f t="shared" si="41"/>
        <v/>
      </c>
    </row>
    <row r="1323" spans="1:18" ht="22.95" customHeight="1">
      <c r="A1323" t="s">
        <v>3559</v>
      </c>
      <c r="B1323" t="s">
        <v>33</v>
      </c>
      <c r="C1323" t="s">
        <v>2314</v>
      </c>
      <c r="D1323" t="s">
        <v>2315</v>
      </c>
      <c r="E1323" t="s">
        <v>3680</v>
      </c>
      <c r="F1323">
        <v>1</v>
      </c>
      <c r="G1323" t="s">
        <v>3681</v>
      </c>
      <c r="H1323" t="s">
        <v>3195</v>
      </c>
      <c r="I1323" t="s">
        <v>517</v>
      </c>
      <c r="L1323" t="s">
        <v>3682</v>
      </c>
      <c r="M1323" t="s">
        <v>62</v>
      </c>
      <c r="N1323" t="s">
        <v>63</v>
      </c>
      <c r="P1323">
        <f t="shared" si="40"/>
        <v>1</v>
      </c>
      <c r="Q1323" t="str">
        <f>IF(AND(P1323&gt;1,COUNTIF($E$6:E1323,E1323)=1),MAX($Q$5:Q1322)+1,"")</f>
        <v/>
      </c>
      <c r="R1323" t="str">
        <f t="shared" si="41"/>
        <v/>
      </c>
    </row>
    <row r="1324" spans="1:18" ht="22.95" customHeight="1">
      <c r="A1324" t="s">
        <v>3559</v>
      </c>
      <c r="B1324" t="s">
        <v>33</v>
      </c>
      <c r="C1324" t="s">
        <v>2314</v>
      </c>
      <c r="D1324" t="s">
        <v>2315</v>
      </c>
      <c r="E1324" t="s">
        <v>3683</v>
      </c>
      <c r="F1324">
        <v>1</v>
      </c>
      <c r="I1324" t="s">
        <v>1302</v>
      </c>
      <c r="L1324" t="s">
        <v>3684</v>
      </c>
      <c r="M1324" t="s">
        <v>73</v>
      </c>
      <c r="P1324">
        <f t="shared" si="40"/>
        <v>1</v>
      </c>
      <c r="Q1324" t="str">
        <f>IF(AND(P1324&gt;1,COUNTIF($E$6:E1324,E1324)=1),MAX($Q$5:Q1323)+1,"")</f>
        <v/>
      </c>
      <c r="R1324" t="str">
        <f t="shared" si="41"/>
        <v/>
      </c>
    </row>
    <row r="1325" spans="1:18" ht="22.95" customHeight="1">
      <c r="A1325" t="s">
        <v>3559</v>
      </c>
      <c r="B1325" t="s">
        <v>33</v>
      </c>
      <c r="C1325" t="s">
        <v>2314</v>
      </c>
      <c r="D1325" t="s">
        <v>2315</v>
      </c>
      <c r="E1325" t="s">
        <v>3685</v>
      </c>
      <c r="F1325">
        <v>1</v>
      </c>
      <c r="I1325" t="s">
        <v>1302</v>
      </c>
      <c r="L1325" t="s">
        <v>3684</v>
      </c>
      <c r="M1325" t="s">
        <v>73</v>
      </c>
      <c r="P1325">
        <f t="shared" si="40"/>
        <v>1</v>
      </c>
      <c r="Q1325" t="str">
        <f>IF(AND(P1325&gt;1,COUNTIF($E$6:E1325,E1325)=1),MAX($Q$5:Q1324)+1,"")</f>
        <v/>
      </c>
      <c r="R1325" t="str">
        <f t="shared" si="41"/>
        <v/>
      </c>
    </row>
    <row r="1326" spans="1:18" ht="22.95" customHeight="1">
      <c r="A1326" t="s">
        <v>3559</v>
      </c>
      <c r="B1326" t="s">
        <v>33</v>
      </c>
      <c r="C1326" t="s">
        <v>2314</v>
      </c>
      <c r="D1326" t="s">
        <v>2315</v>
      </c>
      <c r="E1326" t="s">
        <v>3686</v>
      </c>
      <c r="F1326">
        <v>1</v>
      </c>
      <c r="I1326" t="s">
        <v>3687</v>
      </c>
      <c r="L1326" t="s">
        <v>3688</v>
      </c>
      <c r="M1326" t="s">
        <v>62</v>
      </c>
      <c r="N1326" t="s">
        <v>1490</v>
      </c>
      <c r="P1326">
        <f t="shared" si="40"/>
        <v>1</v>
      </c>
      <c r="Q1326" t="str">
        <f>IF(AND(P1326&gt;1,COUNTIF($E$6:E1326,E1326)=1),MAX($Q$5:Q1325)+1,"")</f>
        <v/>
      </c>
      <c r="R1326" t="str">
        <f t="shared" si="41"/>
        <v/>
      </c>
    </row>
    <row r="1327" spans="1:18" ht="22.95" customHeight="1">
      <c r="A1327" t="s">
        <v>3559</v>
      </c>
      <c r="B1327" t="s">
        <v>32</v>
      </c>
      <c r="C1327" t="s">
        <v>200</v>
      </c>
      <c r="D1327" t="s">
        <v>201</v>
      </c>
      <c r="E1327" t="s">
        <v>3689</v>
      </c>
      <c r="F1327">
        <v>1</v>
      </c>
      <c r="G1327" t="s">
        <v>3690</v>
      </c>
      <c r="H1327" t="s">
        <v>3691</v>
      </c>
      <c r="K1327" t="s">
        <v>406</v>
      </c>
      <c r="L1327" t="s">
        <v>3692</v>
      </c>
      <c r="M1327" t="s">
        <v>62</v>
      </c>
      <c r="N1327" t="s">
        <v>63</v>
      </c>
      <c r="P1327">
        <f t="shared" si="40"/>
        <v>1</v>
      </c>
      <c r="Q1327" t="str">
        <f>IF(AND(P1327&gt;1,COUNTIF($E$6:E1327,E1327)=1),MAX($Q$5:Q1326)+1,"")</f>
        <v/>
      </c>
      <c r="R1327" t="str">
        <f t="shared" si="41"/>
        <v/>
      </c>
    </row>
    <row r="1328" spans="1:18" ht="22.95" customHeight="1">
      <c r="A1328" t="s">
        <v>3559</v>
      </c>
      <c r="B1328" t="s">
        <v>32</v>
      </c>
      <c r="C1328" t="s">
        <v>200</v>
      </c>
      <c r="D1328" t="s">
        <v>201</v>
      </c>
      <c r="E1328" t="s">
        <v>3693</v>
      </c>
      <c r="F1328">
        <v>1</v>
      </c>
      <c r="G1328" t="s">
        <v>3690</v>
      </c>
      <c r="H1328" t="s">
        <v>3691</v>
      </c>
      <c r="K1328" t="s">
        <v>406</v>
      </c>
      <c r="L1328" t="s">
        <v>3694</v>
      </c>
      <c r="M1328" t="s">
        <v>62</v>
      </c>
      <c r="N1328" t="s">
        <v>63</v>
      </c>
      <c r="P1328">
        <f t="shared" si="40"/>
        <v>1</v>
      </c>
      <c r="Q1328" t="str">
        <f>IF(AND(P1328&gt;1,COUNTIF($E$6:E1328,E1328)=1),MAX($Q$5:Q1327)+1,"")</f>
        <v/>
      </c>
      <c r="R1328" t="str">
        <f t="shared" si="41"/>
        <v/>
      </c>
    </row>
    <row r="1329" spans="1:18" ht="22.95" customHeight="1">
      <c r="A1329" t="s">
        <v>3559</v>
      </c>
      <c r="B1329" t="s">
        <v>32</v>
      </c>
      <c r="C1329" t="s">
        <v>200</v>
      </c>
      <c r="D1329" t="s">
        <v>201</v>
      </c>
      <c r="E1329" t="s">
        <v>3695</v>
      </c>
      <c r="F1329">
        <v>1</v>
      </c>
      <c r="G1329" t="s">
        <v>3696</v>
      </c>
      <c r="H1329" t="s">
        <v>3691</v>
      </c>
      <c r="K1329" t="s">
        <v>406</v>
      </c>
      <c r="L1329" t="s">
        <v>3694</v>
      </c>
      <c r="M1329" t="s">
        <v>62</v>
      </c>
      <c r="N1329" t="s">
        <v>63</v>
      </c>
      <c r="P1329">
        <f t="shared" si="40"/>
        <v>1</v>
      </c>
      <c r="Q1329" t="str">
        <f>IF(AND(P1329&gt;1,COUNTIF($E$6:E1329,E1329)=1),MAX($Q$5:Q1328)+1,"")</f>
        <v/>
      </c>
      <c r="R1329" t="str">
        <f t="shared" si="41"/>
        <v/>
      </c>
    </row>
    <row r="1330" spans="1:18" ht="22.95" customHeight="1">
      <c r="A1330" t="s">
        <v>3559</v>
      </c>
      <c r="B1330" t="s">
        <v>32</v>
      </c>
      <c r="C1330" t="s">
        <v>200</v>
      </c>
      <c r="D1330" t="s">
        <v>201</v>
      </c>
      <c r="E1330" t="s">
        <v>3697</v>
      </c>
      <c r="F1330">
        <v>1</v>
      </c>
      <c r="G1330" t="s">
        <v>3696</v>
      </c>
      <c r="H1330" t="s">
        <v>3691</v>
      </c>
      <c r="K1330" t="s">
        <v>406</v>
      </c>
      <c r="L1330" t="s">
        <v>3698</v>
      </c>
      <c r="M1330" t="s">
        <v>62</v>
      </c>
      <c r="N1330" t="s">
        <v>63</v>
      </c>
      <c r="P1330">
        <f t="shared" si="40"/>
        <v>1</v>
      </c>
      <c r="Q1330" t="str">
        <f>IF(AND(P1330&gt;1,COUNTIF($E$6:E1330,E1330)=1),MAX($Q$5:Q1329)+1,"")</f>
        <v/>
      </c>
      <c r="R1330" t="str">
        <f t="shared" si="41"/>
        <v/>
      </c>
    </row>
    <row r="1331" spans="1:18" ht="22.95" customHeight="1">
      <c r="A1331" t="s">
        <v>3559</v>
      </c>
      <c r="B1331" t="s">
        <v>32</v>
      </c>
      <c r="C1331" t="s">
        <v>200</v>
      </c>
      <c r="D1331" t="s">
        <v>201</v>
      </c>
      <c r="E1331" t="s">
        <v>3699</v>
      </c>
      <c r="F1331">
        <v>1</v>
      </c>
      <c r="G1331" t="s">
        <v>92</v>
      </c>
      <c r="I1331" t="s">
        <v>3700</v>
      </c>
      <c r="L1331" t="s">
        <v>3701</v>
      </c>
      <c r="M1331" t="s">
        <v>73</v>
      </c>
      <c r="P1331">
        <f t="shared" si="40"/>
        <v>1</v>
      </c>
      <c r="Q1331" t="str">
        <f>IF(AND(P1331&gt;1,COUNTIF($E$6:E1331,E1331)=1),MAX($Q$5:Q1330)+1,"")</f>
        <v/>
      </c>
      <c r="R1331" t="str">
        <f t="shared" si="41"/>
        <v/>
      </c>
    </row>
    <row r="1332" spans="1:18" ht="22.95" customHeight="1">
      <c r="A1332" t="s">
        <v>3559</v>
      </c>
      <c r="B1332" t="s">
        <v>32</v>
      </c>
      <c r="C1332" t="s">
        <v>200</v>
      </c>
      <c r="D1332" t="s">
        <v>201</v>
      </c>
      <c r="E1332" t="s">
        <v>3702</v>
      </c>
      <c r="F1332">
        <v>1</v>
      </c>
      <c r="G1332" t="s">
        <v>92</v>
      </c>
      <c r="I1332" t="s">
        <v>406</v>
      </c>
      <c r="K1332" t="s">
        <v>406</v>
      </c>
      <c r="L1332" t="s">
        <v>3703</v>
      </c>
      <c r="M1332" t="s">
        <v>73</v>
      </c>
      <c r="P1332">
        <f t="shared" si="40"/>
        <v>1</v>
      </c>
      <c r="Q1332" t="str">
        <f>IF(AND(P1332&gt;1,COUNTIF($E$6:E1332,E1332)=1),MAX($Q$5:Q1331)+1,"")</f>
        <v/>
      </c>
      <c r="R1332" t="str">
        <f t="shared" si="41"/>
        <v/>
      </c>
    </row>
    <row r="1333" spans="1:18" ht="22.95" customHeight="1">
      <c r="A1333" t="s">
        <v>3704</v>
      </c>
      <c r="B1333" t="s">
        <v>20</v>
      </c>
      <c r="C1333" t="s">
        <v>55</v>
      </c>
      <c r="D1333" t="s">
        <v>56</v>
      </c>
      <c r="E1333" t="s">
        <v>3705</v>
      </c>
      <c r="F1333">
        <v>1</v>
      </c>
      <c r="G1333" t="s">
        <v>58</v>
      </c>
      <c r="H1333" t="s">
        <v>3706</v>
      </c>
      <c r="I1333" t="s">
        <v>517</v>
      </c>
      <c r="L1333" t="s">
        <v>3707</v>
      </c>
      <c r="M1333" t="s">
        <v>62</v>
      </c>
      <c r="N1333" t="s">
        <v>299</v>
      </c>
      <c r="P1333">
        <f t="shared" si="40"/>
        <v>1</v>
      </c>
      <c r="Q1333" t="str">
        <f>IF(AND(P1333&gt;1,COUNTIF($E$6:E1333,E1333)=1),MAX($Q$5:Q1332)+1,"")</f>
        <v/>
      </c>
      <c r="R1333" t="str">
        <f t="shared" si="41"/>
        <v/>
      </c>
    </row>
    <row r="1334" spans="1:18" ht="22.95" customHeight="1">
      <c r="A1334" t="s">
        <v>3704</v>
      </c>
      <c r="B1334" t="s">
        <v>20</v>
      </c>
      <c r="C1334" t="s">
        <v>55</v>
      </c>
      <c r="D1334" t="s">
        <v>56</v>
      </c>
      <c r="E1334" t="s">
        <v>3708</v>
      </c>
      <c r="F1334">
        <v>1</v>
      </c>
      <c r="G1334" t="s">
        <v>1126</v>
      </c>
      <c r="H1334" t="s">
        <v>1507</v>
      </c>
      <c r="I1334" t="s">
        <v>112</v>
      </c>
      <c r="K1334" t="s">
        <v>408</v>
      </c>
      <c r="L1334" t="s">
        <v>3709</v>
      </c>
      <c r="M1334" t="s">
        <v>102</v>
      </c>
      <c r="P1334">
        <f t="shared" si="40"/>
        <v>1</v>
      </c>
      <c r="Q1334" t="str">
        <f>IF(AND(P1334&gt;1,COUNTIF($E$6:E1334,E1334)=1),MAX($Q$5:Q1333)+1,"")</f>
        <v/>
      </c>
      <c r="R1334" t="str">
        <f t="shared" si="41"/>
        <v/>
      </c>
    </row>
    <row r="1335" spans="1:18" ht="22.95" customHeight="1">
      <c r="A1335" t="s">
        <v>3704</v>
      </c>
      <c r="B1335" t="s">
        <v>22</v>
      </c>
      <c r="C1335" t="s">
        <v>370</v>
      </c>
      <c r="D1335" t="s">
        <v>371</v>
      </c>
      <c r="E1335" t="s">
        <v>3710</v>
      </c>
      <c r="F1335">
        <v>1</v>
      </c>
      <c r="G1335" t="s">
        <v>3711</v>
      </c>
      <c r="H1335" t="s">
        <v>3712</v>
      </c>
      <c r="I1335" t="s">
        <v>3713</v>
      </c>
      <c r="J1335" t="s">
        <v>245</v>
      </c>
      <c r="K1335" t="s">
        <v>3714</v>
      </c>
      <c r="L1335" t="s">
        <v>3715</v>
      </c>
      <c r="M1335" t="s">
        <v>102</v>
      </c>
      <c r="P1335">
        <f t="shared" si="40"/>
        <v>1</v>
      </c>
      <c r="Q1335" t="str">
        <f>IF(AND(P1335&gt;1,COUNTIF($E$6:E1335,E1335)=1),MAX($Q$5:Q1334)+1,"")</f>
        <v/>
      </c>
      <c r="R1335" t="str">
        <f t="shared" si="41"/>
        <v/>
      </c>
    </row>
    <row r="1336" spans="1:18" ht="22.95" customHeight="1">
      <c r="A1336" t="s">
        <v>3704</v>
      </c>
      <c r="B1336" t="s">
        <v>22</v>
      </c>
      <c r="C1336" t="s">
        <v>370</v>
      </c>
      <c r="D1336" t="s">
        <v>371</v>
      </c>
      <c r="E1336" t="s">
        <v>3716</v>
      </c>
      <c r="F1336">
        <v>1</v>
      </c>
      <c r="G1336" t="s">
        <v>3711</v>
      </c>
      <c r="H1336" t="s">
        <v>3712</v>
      </c>
      <c r="I1336" t="s">
        <v>3713</v>
      </c>
      <c r="J1336" t="s">
        <v>245</v>
      </c>
      <c r="K1336" t="s">
        <v>3714</v>
      </c>
      <c r="L1336" t="s">
        <v>3717</v>
      </c>
      <c r="M1336" t="s">
        <v>102</v>
      </c>
      <c r="P1336">
        <f t="shared" si="40"/>
        <v>1</v>
      </c>
      <c r="Q1336" t="str">
        <f>IF(AND(P1336&gt;1,COUNTIF($E$6:E1336,E1336)=1),MAX($Q$5:Q1335)+1,"")</f>
        <v/>
      </c>
      <c r="R1336" t="str">
        <f t="shared" si="41"/>
        <v/>
      </c>
    </row>
    <row r="1337" spans="1:18" ht="22.95" customHeight="1">
      <c r="A1337" t="s">
        <v>3704</v>
      </c>
      <c r="B1337" t="s">
        <v>22</v>
      </c>
      <c r="C1337" t="s">
        <v>370</v>
      </c>
      <c r="D1337" t="s">
        <v>371</v>
      </c>
      <c r="E1337" t="s">
        <v>3718</v>
      </c>
      <c r="F1337">
        <v>1</v>
      </c>
      <c r="G1337" t="s">
        <v>3719</v>
      </c>
      <c r="H1337" t="s">
        <v>3720</v>
      </c>
      <c r="I1337" t="s">
        <v>3721</v>
      </c>
      <c r="J1337" t="s">
        <v>245</v>
      </c>
      <c r="L1337" t="s">
        <v>3722</v>
      </c>
      <c r="M1337" t="s">
        <v>73</v>
      </c>
      <c r="P1337">
        <f t="shared" si="40"/>
        <v>1</v>
      </c>
      <c r="Q1337" t="str">
        <f>IF(AND(P1337&gt;1,COUNTIF($E$6:E1337,E1337)=1),MAX($Q$5:Q1336)+1,"")</f>
        <v/>
      </c>
      <c r="R1337" t="str">
        <f t="shared" si="41"/>
        <v/>
      </c>
    </row>
    <row r="1338" spans="1:18" ht="22.95" customHeight="1">
      <c r="A1338" t="s">
        <v>3704</v>
      </c>
      <c r="B1338" t="s">
        <v>23</v>
      </c>
      <c r="C1338" t="s">
        <v>103</v>
      </c>
      <c r="D1338" t="s">
        <v>104</v>
      </c>
      <c r="E1338" t="s">
        <v>3723</v>
      </c>
      <c r="F1338">
        <v>1</v>
      </c>
      <c r="G1338" t="s">
        <v>3724</v>
      </c>
      <c r="I1338" t="s">
        <v>517</v>
      </c>
      <c r="L1338" t="s">
        <v>3725</v>
      </c>
      <c r="M1338" t="s">
        <v>102</v>
      </c>
      <c r="P1338">
        <f t="shared" si="40"/>
        <v>1</v>
      </c>
      <c r="Q1338" t="str">
        <f>IF(AND(P1338&gt;1,COUNTIF($E$6:E1338,E1338)=1),MAX($Q$5:Q1337)+1,"")</f>
        <v/>
      </c>
      <c r="R1338" t="str">
        <f t="shared" si="41"/>
        <v/>
      </c>
    </row>
    <row r="1339" spans="1:18" ht="22.95" customHeight="1">
      <c r="A1339" t="s">
        <v>3704</v>
      </c>
      <c r="B1339" t="s">
        <v>23</v>
      </c>
      <c r="C1339" t="s">
        <v>103</v>
      </c>
      <c r="D1339" t="s">
        <v>104</v>
      </c>
      <c r="E1339" t="s">
        <v>3726</v>
      </c>
      <c r="F1339">
        <v>1</v>
      </c>
      <c r="G1339" t="s">
        <v>3727</v>
      </c>
      <c r="H1339" t="s">
        <v>3728</v>
      </c>
      <c r="I1339" t="s">
        <v>3729</v>
      </c>
      <c r="L1339" t="s">
        <v>3730</v>
      </c>
      <c r="M1339" t="s">
        <v>62</v>
      </c>
      <c r="P1339">
        <f t="shared" si="40"/>
        <v>1</v>
      </c>
      <c r="Q1339" t="str">
        <f>IF(AND(P1339&gt;1,COUNTIF($E$6:E1339,E1339)=1),MAX($Q$5:Q1338)+1,"")</f>
        <v/>
      </c>
      <c r="R1339" t="str">
        <f t="shared" si="41"/>
        <v/>
      </c>
    </row>
    <row r="1340" spans="1:18" ht="22.95" customHeight="1">
      <c r="A1340" t="s">
        <v>3704</v>
      </c>
      <c r="B1340" t="s">
        <v>24</v>
      </c>
      <c r="C1340" t="s">
        <v>431</v>
      </c>
      <c r="D1340" t="s">
        <v>216</v>
      </c>
      <c r="E1340" t="s">
        <v>3731</v>
      </c>
      <c r="F1340">
        <v>1</v>
      </c>
      <c r="G1340" t="s">
        <v>3732</v>
      </c>
      <c r="H1340" t="s">
        <v>3733</v>
      </c>
      <c r="I1340" t="s">
        <v>3734</v>
      </c>
      <c r="L1340" t="s">
        <v>3735</v>
      </c>
      <c r="M1340" t="s">
        <v>62</v>
      </c>
      <c r="N1340" t="s">
        <v>130</v>
      </c>
      <c r="P1340">
        <f t="shared" si="40"/>
        <v>1</v>
      </c>
      <c r="Q1340" t="str">
        <f>IF(AND(P1340&gt;1,COUNTIF($E$6:E1340,E1340)=1),MAX($Q$5:Q1339)+1,"")</f>
        <v/>
      </c>
      <c r="R1340" t="str">
        <f t="shared" si="41"/>
        <v/>
      </c>
    </row>
    <row r="1341" spans="1:18" ht="22.95" customHeight="1">
      <c r="A1341" t="s">
        <v>3704</v>
      </c>
      <c r="B1341" t="s">
        <v>24</v>
      </c>
      <c r="C1341" t="s">
        <v>426</v>
      </c>
      <c r="D1341" t="s">
        <v>427</v>
      </c>
      <c r="E1341" t="s">
        <v>3736</v>
      </c>
      <c r="F1341">
        <v>1</v>
      </c>
      <c r="G1341" t="s">
        <v>139</v>
      </c>
      <c r="I1341" t="s">
        <v>3737</v>
      </c>
      <c r="K1341" t="s">
        <v>109</v>
      </c>
      <c r="L1341" t="s">
        <v>3738</v>
      </c>
      <c r="M1341" t="s">
        <v>73</v>
      </c>
      <c r="P1341">
        <f t="shared" si="40"/>
        <v>1</v>
      </c>
      <c r="Q1341" t="str">
        <f>IF(AND(P1341&gt;1,COUNTIF($E$6:E1341,E1341)=1),MAX($Q$5:Q1340)+1,"")</f>
        <v/>
      </c>
      <c r="R1341" t="str">
        <f t="shared" si="41"/>
        <v/>
      </c>
    </row>
    <row r="1342" spans="1:18" ht="22.95" customHeight="1">
      <c r="A1342" t="s">
        <v>3704</v>
      </c>
      <c r="B1342" t="s">
        <v>24</v>
      </c>
      <c r="C1342" t="s">
        <v>426</v>
      </c>
      <c r="D1342" t="s">
        <v>427</v>
      </c>
      <c r="E1342" t="s">
        <v>3739</v>
      </c>
      <c r="F1342">
        <v>1</v>
      </c>
      <c r="G1342" t="s">
        <v>139</v>
      </c>
      <c r="I1342" t="s">
        <v>3737</v>
      </c>
      <c r="K1342" t="s">
        <v>109</v>
      </c>
      <c r="L1342" t="s">
        <v>3738</v>
      </c>
      <c r="M1342" t="s">
        <v>73</v>
      </c>
      <c r="P1342">
        <f t="shared" si="40"/>
        <v>1</v>
      </c>
      <c r="Q1342" t="str">
        <f>IF(AND(P1342&gt;1,COUNTIF($E$6:E1342,E1342)=1),MAX($Q$5:Q1341)+1,"")</f>
        <v/>
      </c>
      <c r="R1342" t="str">
        <f t="shared" si="41"/>
        <v/>
      </c>
    </row>
    <row r="1343" spans="1:18" ht="22.95" customHeight="1">
      <c r="A1343" t="s">
        <v>3704</v>
      </c>
      <c r="B1343" t="s">
        <v>24</v>
      </c>
      <c r="C1343" t="s">
        <v>426</v>
      </c>
      <c r="D1343" t="s">
        <v>427</v>
      </c>
      <c r="E1343" t="s">
        <v>3740</v>
      </c>
      <c r="F1343">
        <v>1</v>
      </c>
      <c r="G1343" t="s">
        <v>139</v>
      </c>
      <c r="I1343" t="s">
        <v>3737</v>
      </c>
      <c r="K1343" t="s">
        <v>109</v>
      </c>
      <c r="L1343" t="s">
        <v>3738</v>
      </c>
      <c r="M1343" t="s">
        <v>73</v>
      </c>
      <c r="P1343">
        <f t="shared" si="40"/>
        <v>1</v>
      </c>
      <c r="Q1343" t="str">
        <f>IF(AND(P1343&gt;1,COUNTIF($E$6:E1343,E1343)=1),MAX($Q$5:Q1342)+1,"")</f>
        <v/>
      </c>
      <c r="R1343" t="str">
        <f t="shared" si="41"/>
        <v/>
      </c>
    </row>
    <row r="1344" spans="1:18" ht="22.95" customHeight="1">
      <c r="A1344" t="s">
        <v>3704</v>
      </c>
      <c r="B1344" t="s">
        <v>24</v>
      </c>
      <c r="C1344" t="s">
        <v>136</v>
      </c>
      <c r="D1344" t="s">
        <v>674</v>
      </c>
      <c r="E1344" t="s">
        <v>3741</v>
      </c>
      <c r="F1344">
        <v>1</v>
      </c>
      <c r="G1344" t="s">
        <v>92</v>
      </c>
      <c r="I1344" t="s">
        <v>955</v>
      </c>
      <c r="J1344" t="s">
        <v>672</v>
      </c>
      <c r="L1344" t="s">
        <v>3742</v>
      </c>
      <c r="M1344" t="s">
        <v>102</v>
      </c>
      <c r="P1344">
        <f t="shared" si="40"/>
        <v>1</v>
      </c>
      <c r="Q1344" t="str">
        <f>IF(AND(P1344&gt;1,COUNTIF($E$6:E1344,E1344)=1),MAX($Q$5:Q1343)+1,"")</f>
        <v/>
      </c>
      <c r="R1344" t="str">
        <f t="shared" si="41"/>
        <v/>
      </c>
    </row>
    <row r="1345" spans="1:18" ht="22.95" customHeight="1">
      <c r="A1345" t="s">
        <v>3704</v>
      </c>
      <c r="B1345" t="s">
        <v>24</v>
      </c>
      <c r="C1345" t="s">
        <v>443</v>
      </c>
      <c r="D1345" t="s">
        <v>444</v>
      </c>
      <c r="E1345" t="s">
        <v>3743</v>
      </c>
      <c r="F1345">
        <v>1</v>
      </c>
      <c r="G1345" t="s">
        <v>139</v>
      </c>
      <c r="I1345" t="s">
        <v>140</v>
      </c>
      <c r="K1345" t="s">
        <v>3744</v>
      </c>
      <c r="L1345" t="s">
        <v>3745</v>
      </c>
      <c r="M1345" t="s">
        <v>73</v>
      </c>
      <c r="P1345">
        <f t="shared" si="40"/>
        <v>1</v>
      </c>
      <c r="Q1345" t="str">
        <f>IF(AND(P1345&gt;1,COUNTIF($E$6:E1345,E1345)=1),MAX($Q$5:Q1344)+1,"")</f>
        <v/>
      </c>
      <c r="R1345" t="str">
        <f t="shared" si="41"/>
        <v/>
      </c>
    </row>
    <row r="1346" spans="1:18" ht="22.95" customHeight="1">
      <c r="A1346" t="s">
        <v>3704</v>
      </c>
      <c r="B1346" t="s">
        <v>27</v>
      </c>
      <c r="C1346" t="s">
        <v>475</v>
      </c>
      <c r="D1346" t="s">
        <v>3746</v>
      </c>
      <c r="E1346" t="s">
        <v>3747</v>
      </c>
      <c r="F1346">
        <v>1</v>
      </c>
      <c r="G1346" t="s">
        <v>92</v>
      </c>
      <c r="I1346" t="s">
        <v>3676</v>
      </c>
      <c r="L1346" t="s">
        <v>3748</v>
      </c>
      <c r="M1346" t="s">
        <v>102</v>
      </c>
      <c r="P1346">
        <f t="shared" si="40"/>
        <v>1</v>
      </c>
      <c r="Q1346" t="str">
        <f>IF(AND(P1346&gt;1,COUNTIF($E$6:E1346,E1346)=1),MAX($Q$5:Q1345)+1,"")</f>
        <v/>
      </c>
      <c r="R1346" t="str">
        <f t="shared" si="41"/>
        <v/>
      </c>
    </row>
    <row r="1347" spans="1:18" ht="22.95" customHeight="1">
      <c r="A1347" t="s">
        <v>3704</v>
      </c>
      <c r="B1347" t="s">
        <v>30</v>
      </c>
      <c r="C1347" t="s">
        <v>180</v>
      </c>
      <c r="D1347" t="s">
        <v>181</v>
      </c>
      <c r="E1347" t="s">
        <v>3749</v>
      </c>
      <c r="F1347">
        <v>1</v>
      </c>
      <c r="G1347" t="s">
        <v>92</v>
      </c>
      <c r="I1347" t="s">
        <v>60</v>
      </c>
      <c r="L1347" t="s">
        <v>3750</v>
      </c>
      <c r="M1347" t="s">
        <v>73</v>
      </c>
      <c r="P1347">
        <f t="shared" si="40"/>
        <v>1</v>
      </c>
      <c r="Q1347" t="str">
        <f>IF(AND(P1347&gt;1,COUNTIF($E$6:E1347,E1347)=1),MAX($Q$5:Q1346)+1,"")</f>
        <v/>
      </c>
      <c r="R1347" t="str">
        <f t="shared" si="41"/>
        <v/>
      </c>
    </row>
    <row r="1348" spans="1:18" ht="22.95" customHeight="1">
      <c r="A1348" t="s">
        <v>3704</v>
      </c>
      <c r="B1348" t="s">
        <v>30</v>
      </c>
      <c r="C1348" t="s">
        <v>180</v>
      </c>
      <c r="D1348" t="s">
        <v>181</v>
      </c>
      <c r="E1348" t="s">
        <v>3751</v>
      </c>
      <c r="F1348">
        <v>1</v>
      </c>
      <c r="G1348" t="s">
        <v>901</v>
      </c>
      <c r="H1348" t="s">
        <v>3752</v>
      </c>
      <c r="I1348" t="s">
        <v>501</v>
      </c>
      <c r="L1348" t="s">
        <v>3753</v>
      </c>
      <c r="M1348" t="s">
        <v>73</v>
      </c>
      <c r="P1348">
        <f t="shared" si="40"/>
        <v>1</v>
      </c>
      <c r="Q1348" t="str">
        <f>IF(AND(P1348&gt;1,COUNTIF($E$6:E1348,E1348)=1),MAX($Q$5:Q1347)+1,"")</f>
        <v/>
      </c>
      <c r="R1348" t="str">
        <f t="shared" si="41"/>
        <v/>
      </c>
    </row>
    <row r="1349" spans="1:18" ht="22.95" customHeight="1">
      <c r="A1349" t="s">
        <v>3704</v>
      </c>
      <c r="B1349" t="s">
        <v>30</v>
      </c>
      <c r="C1349" t="s">
        <v>180</v>
      </c>
      <c r="D1349" t="s">
        <v>181</v>
      </c>
      <c r="E1349" t="s">
        <v>3754</v>
      </c>
      <c r="F1349">
        <v>1</v>
      </c>
      <c r="G1349" t="s">
        <v>901</v>
      </c>
      <c r="H1349" t="s">
        <v>3752</v>
      </c>
      <c r="I1349" t="s">
        <v>205</v>
      </c>
      <c r="L1349" t="s">
        <v>3753</v>
      </c>
      <c r="M1349" t="s">
        <v>73</v>
      </c>
      <c r="P1349">
        <f t="shared" si="40"/>
        <v>1</v>
      </c>
      <c r="Q1349" t="str">
        <f>IF(AND(P1349&gt;1,COUNTIF($E$6:E1349,E1349)=1),MAX($Q$5:Q1348)+1,"")</f>
        <v/>
      </c>
      <c r="R1349" t="str">
        <f t="shared" si="41"/>
        <v/>
      </c>
    </row>
    <row r="1350" spans="1:18" ht="22.95" customHeight="1">
      <c r="A1350" t="s">
        <v>3704</v>
      </c>
      <c r="B1350" t="s">
        <v>30</v>
      </c>
      <c r="C1350" t="s">
        <v>188</v>
      </c>
      <c r="D1350" t="s">
        <v>189</v>
      </c>
      <c r="E1350" t="s">
        <v>3755</v>
      </c>
      <c r="F1350">
        <v>1</v>
      </c>
      <c r="G1350" t="s">
        <v>92</v>
      </c>
      <c r="I1350" t="s">
        <v>3756</v>
      </c>
      <c r="K1350" t="s">
        <v>3757</v>
      </c>
      <c r="L1350" t="s">
        <v>3758</v>
      </c>
      <c r="M1350" t="s">
        <v>73</v>
      </c>
      <c r="P1350">
        <f t="shared" ref="P1350:P1413" si="42">COUNTIF($E$6:$E$1740,E1350)</f>
        <v>1</v>
      </c>
      <c r="Q1350" t="str">
        <f>IF(AND(P1350&gt;1,COUNTIF($E$6:E1350,E1350)=1),MAX($Q$5:Q1349)+1,"")</f>
        <v/>
      </c>
      <c r="R1350" t="str">
        <f t="shared" ref="R1350:R1413" si="43">IF(Q1350="","",IF(COUNTIFS($E$6:$E$1740,E1350,$A$6:$A$1740,A1350,$C$6:$C$1740,C1350)&lt;P1350,"LÉGITIME",IF(COUNTIFS($E$6:$E$1740,E1350,$A$6:$A$1740,A1350,$C$6:$C$1740,C1350,$M$6:$M$1740,M1350)&lt;P1350,"STATUT DIFFÉRENT","VRAI DOUBLON")))</f>
        <v/>
      </c>
    </row>
    <row r="1351" spans="1:18" ht="22.95" customHeight="1">
      <c r="A1351" t="s">
        <v>3704</v>
      </c>
      <c r="B1351" t="s">
        <v>30</v>
      </c>
      <c r="C1351" t="s">
        <v>188</v>
      </c>
      <c r="D1351" t="s">
        <v>189</v>
      </c>
      <c r="E1351" t="s">
        <v>3759</v>
      </c>
      <c r="F1351">
        <v>1</v>
      </c>
      <c r="G1351" t="s">
        <v>2284</v>
      </c>
      <c r="H1351" t="s">
        <v>3760</v>
      </c>
      <c r="I1351" t="s">
        <v>3761</v>
      </c>
      <c r="K1351" t="s">
        <v>3762</v>
      </c>
      <c r="L1351" t="s">
        <v>3763</v>
      </c>
      <c r="M1351" t="s">
        <v>73</v>
      </c>
      <c r="P1351">
        <f t="shared" si="42"/>
        <v>1</v>
      </c>
      <c r="Q1351" t="str">
        <f>IF(AND(P1351&gt;1,COUNTIF($E$6:E1351,E1351)=1),MAX($Q$5:Q1350)+1,"")</f>
        <v/>
      </c>
      <c r="R1351" t="str">
        <f t="shared" si="43"/>
        <v/>
      </c>
    </row>
    <row r="1352" spans="1:18" ht="22.95" customHeight="1">
      <c r="A1352" t="s">
        <v>3704</v>
      </c>
      <c r="B1352" t="s">
        <v>30</v>
      </c>
      <c r="C1352" t="s">
        <v>188</v>
      </c>
      <c r="D1352" t="s">
        <v>189</v>
      </c>
      <c r="E1352" t="s">
        <v>3764</v>
      </c>
      <c r="F1352">
        <v>1</v>
      </c>
      <c r="G1352" t="s">
        <v>3068</v>
      </c>
      <c r="H1352" t="s">
        <v>3652</v>
      </c>
      <c r="I1352" t="s">
        <v>3761</v>
      </c>
      <c r="K1352" t="s">
        <v>3762</v>
      </c>
      <c r="L1352" t="s">
        <v>3763</v>
      </c>
      <c r="M1352" t="s">
        <v>73</v>
      </c>
      <c r="P1352">
        <f t="shared" si="42"/>
        <v>1</v>
      </c>
      <c r="Q1352" t="str">
        <f>IF(AND(P1352&gt;1,COUNTIF($E$6:E1352,E1352)=1),MAX($Q$5:Q1351)+1,"")</f>
        <v/>
      </c>
      <c r="R1352" t="str">
        <f t="shared" si="43"/>
        <v/>
      </c>
    </row>
    <row r="1353" spans="1:18" ht="22.95" customHeight="1">
      <c r="A1353" t="s">
        <v>3704</v>
      </c>
      <c r="B1353" t="s">
        <v>30</v>
      </c>
      <c r="C1353" t="s">
        <v>188</v>
      </c>
      <c r="D1353" t="s">
        <v>189</v>
      </c>
      <c r="E1353" t="s">
        <v>3765</v>
      </c>
      <c r="F1353">
        <v>1</v>
      </c>
      <c r="G1353" t="s">
        <v>3068</v>
      </c>
      <c r="H1353" t="s">
        <v>3652</v>
      </c>
      <c r="I1353" t="s">
        <v>3761</v>
      </c>
      <c r="K1353" t="s">
        <v>3762</v>
      </c>
      <c r="L1353" t="s">
        <v>3766</v>
      </c>
      <c r="M1353" t="s">
        <v>73</v>
      </c>
      <c r="P1353">
        <f t="shared" si="42"/>
        <v>1</v>
      </c>
      <c r="Q1353" t="str">
        <f>IF(AND(P1353&gt;1,COUNTIF($E$6:E1353,E1353)=1),MAX($Q$5:Q1352)+1,"")</f>
        <v/>
      </c>
      <c r="R1353" t="str">
        <f t="shared" si="43"/>
        <v/>
      </c>
    </row>
    <row r="1354" spans="1:18" ht="22.95" customHeight="1">
      <c r="A1354" t="s">
        <v>3704</v>
      </c>
      <c r="B1354" t="s">
        <v>30</v>
      </c>
      <c r="C1354" t="s">
        <v>188</v>
      </c>
      <c r="D1354" t="s">
        <v>189</v>
      </c>
      <c r="E1354" t="s">
        <v>3767</v>
      </c>
      <c r="F1354">
        <v>1</v>
      </c>
      <c r="G1354" t="s">
        <v>3768</v>
      </c>
      <c r="H1354" t="s">
        <v>3769</v>
      </c>
      <c r="I1354" t="s">
        <v>3761</v>
      </c>
      <c r="K1354" t="s">
        <v>3762</v>
      </c>
      <c r="L1354" t="s">
        <v>3763</v>
      </c>
      <c r="M1354" t="s">
        <v>73</v>
      </c>
      <c r="P1354">
        <f t="shared" si="42"/>
        <v>1</v>
      </c>
      <c r="Q1354" t="str">
        <f>IF(AND(P1354&gt;1,COUNTIF($E$6:E1354,E1354)=1),MAX($Q$5:Q1353)+1,"")</f>
        <v/>
      </c>
      <c r="R1354" t="str">
        <f t="shared" si="43"/>
        <v/>
      </c>
    </row>
    <row r="1355" spans="1:18" ht="22.95" customHeight="1">
      <c r="A1355" t="s">
        <v>3704</v>
      </c>
      <c r="B1355" t="s">
        <v>30</v>
      </c>
      <c r="C1355" t="s">
        <v>188</v>
      </c>
      <c r="D1355" t="s">
        <v>189</v>
      </c>
      <c r="E1355" t="s">
        <v>3770</v>
      </c>
      <c r="F1355">
        <v>1</v>
      </c>
      <c r="G1355" t="s">
        <v>3068</v>
      </c>
      <c r="H1355" t="s">
        <v>3652</v>
      </c>
      <c r="I1355" t="s">
        <v>3761</v>
      </c>
      <c r="K1355" t="s">
        <v>3762</v>
      </c>
      <c r="L1355" t="s">
        <v>3763</v>
      </c>
      <c r="M1355" t="s">
        <v>73</v>
      </c>
      <c r="P1355">
        <f t="shared" si="42"/>
        <v>1</v>
      </c>
      <c r="Q1355" t="str">
        <f>IF(AND(P1355&gt;1,COUNTIF($E$6:E1355,E1355)=1),MAX($Q$5:Q1354)+1,"")</f>
        <v/>
      </c>
      <c r="R1355" t="str">
        <f t="shared" si="43"/>
        <v/>
      </c>
    </row>
    <row r="1356" spans="1:18" ht="22.95" customHeight="1">
      <c r="A1356" t="s">
        <v>3704</v>
      </c>
      <c r="B1356" t="s">
        <v>30</v>
      </c>
      <c r="C1356" t="s">
        <v>188</v>
      </c>
      <c r="D1356" t="s">
        <v>189</v>
      </c>
      <c r="E1356" t="s">
        <v>3771</v>
      </c>
      <c r="F1356">
        <v>1</v>
      </c>
      <c r="G1356" t="s">
        <v>175</v>
      </c>
      <c r="H1356" t="s">
        <v>3772</v>
      </c>
      <c r="I1356" t="s">
        <v>3761</v>
      </c>
      <c r="K1356" t="s">
        <v>3762</v>
      </c>
      <c r="L1356" t="s">
        <v>3773</v>
      </c>
      <c r="M1356" t="s">
        <v>73</v>
      </c>
      <c r="P1356">
        <f t="shared" si="42"/>
        <v>1</v>
      </c>
      <c r="Q1356" t="str">
        <f>IF(AND(P1356&gt;1,COUNTIF($E$6:E1356,E1356)=1),MAX($Q$5:Q1355)+1,"")</f>
        <v/>
      </c>
      <c r="R1356" t="str">
        <f t="shared" si="43"/>
        <v/>
      </c>
    </row>
    <row r="1357" spans="1:18" ht="22.95" customHeight="1">
      <c r="A1357" t="s">
        <v>3704</v>
      </c>
      <c r="B1357" t="s">
        <v>30</v>
      </c>
      <c r="C1357" t="s">
        <v>188</v>
      </c>
      <c r="D1357" t="s">
        <v>189</v>
      </c>
      <c r="E1357" t="s">
        <v>3774</v>
      </c>
      <c r="F1357">
        <v>1</v>
      </c>
      <c r="G1357" t="s">
        <v>3775</v>
      </c>
      <c r="H1357" t="s">
        <v>3776</v>
      </c>
      <c r="I1357" t="s">
        <v>3761</v>
      </c>
      <c r="K1357" t="s">
        <v>3762</v>
      </c>
      <c r="L1357" t="s">
        <v>3766</v>
      </c>
      <c r="M1357" t="s">
        <v>73</v>
      </c>
      <c r="P1357">
        <f t="shared" si="42"/>
        <v>1</v>
      </c>
      <c r="Q1357" t="str">
        <f>IF(AND(P1357&gt;1,COUNTIF($E$6:E1357,E1357)=1),MAX($Q$5:Q1356)+1,"")</f>
        <v/>
      </c>
      <c r="R1357" t="str">
        <f t="shared" si="43"/>
        <v/>
      </c>
    </row>
    <row r="1358" spans="1:18" ht="22.95" customHeight="1">
      <c r="A1358" t="s">
        <v>3704</v>
      </c>
      <c r="B1358" t="s">
        <v>30</v>
      </c>
      <c r="C1358" t="s">
        <v>188</v>
      </c>
      <c r="D1358" t="s">
        <v>189</v>
      </c>
      <c r="E1358" t="s">
        <v>3777</v>
      </c>
      <c r="F1358">
        <v>1</v>
      </c>
      <c r="G1358" t="s">
        <v>3775</v>
      </c>
      <c r="H1358" t="s">
        <v>3776</v>
      </c>
      <c r="I1358" t="s">
        <v>3778</v>
      </c>
      <c r="K1358" t="s">
        <v>3762</v>
      </c>
      <c r="L1358" t="s">
        <v>3779</v>
      </c>
      <c r="M1358" t="s">
        <v>73</v>
      </c>
      <c r="P1358">
        <f t="shared" si="42"/>
        <v>1</v>
      </c>
      <c r="Q1358" t="str">
        <f>IF(AND(P1358&gt;1,COUNTIF($E$6:E1358,E1358)=1),MAX($Q$5:Q1357)+1,"")</f>
        <v/>
      </c>
      <c r="R1358" t="str">
        <f t="shared" si="43"/>
        <v/>
      </c>
    </row>
    <row r="1359" spans="1:18" ht="22.95" customHeight="1">
      <c r="A1359" t="s">
        <v>3704</v>
      </c>
      <c r="B1359" t="s">
        <v>30</v>
      </c>
      <c r="C1359" t="s">
        <v>188</v>
      </c>
      <c r="D1359" t="s">
        <v>189</v>
      </c>
      <c r="E1359" t="s">
        <v>3780</v>
      </c>
      <c r="F1359">
        <v>1</v>
      </c>
      <c r="G1359" t="s">
        <v>3781</v>
      </c>
      <c r="H1359" t="s">
        <v>3782</v>
      </c>
      <c r="I1359" t="s">
        <v>3783</v>
      </c>
      <c r="K1359" t="s">
        <v>3762</v>
      </c>
      <c r="L1359" t="s">
        <v>3784</v>
      </c>
      <c r="M1359" t="s">
        <v>73</v>
      </c>
      <c r="P1359">
        <f t="shared" si="42"/>
        <v>1</v>
      </c>
      <c r="Q1359" t="str">
        <f>IF(AND(P1359&gt;1,COUNTIF($E$6:E1359,E1359)=1),MAX($Q$5:Q1358)+1,"")</f>
        <v/>
      </c>
      <c r="R1359" t="str">
        <f t="shared" si="43"/>
        <v/>
      </c>
    </row>
    <row r="1360" spans="1:18" ht="22.95" customHeight="1">
      <c r="A1360" t="s">
        <v>3704</v>
      </c>
      <c r="B1360" t="s">
        <v>30</v>
      </c>
      <c r="C1360" t="s">
        <v>188</v>
      </c>
      <c r="D1360" t="s">
        <v>189</v>
      </c>
      <c r="E1360" t="s">
        <v>3785</v>
      </c>
      <c r="F1360">
        <v>1</v>
      </c>
      <c r="G1360" t="s">
        <v>3781</v>
      </c>
      <c r="H1360" t="s">
        <v>3782</v>
      </c>
      <c r="I1360" t="s">
        <v>3786</v>
      </c>
      <c r="K1360" t="s">
        <v>3762</v>
      </c>
      <c r="L1360" t="s">
        <v>3766</v>
      </c>
      <c r="M1360" t="s">
        <v>73</v>
      </c>
      <c r="P1360">
        <f t="shared" si="42"/>
        <v>1</v>
      </c>
      <c r="Q1360" t="str">
        <f>IF(AND(P1360&gt;1,COUNTIF($E$6:E1360,E1360)=1),MAX($Q$5:Q1359)+1,"")</f>
        <v/>
      </c>
      <c r="R1360" t="str">
        <f t="shared" si="43"/>
        <v/>
      </c>
    </row>
    <row r="1361" spans="1:18" ht="22.95" customHeight="1">
      <c r="A1361" t="s">
        <v>3704</v>
      </c>
      <c r="B1361" t="s">
        <v>30</v>
      </c>
      <c r="C1361" t="s">
        <v>188</v>
      </c>
      <c r="D1361" t="s">
        <v>189</v>
      </c>
      <c r="E1361" t="s">
        <v>3787</v>
      </c>
      <c r="F1361">
        <v>1</v>
      </c>
      <c r="G1361" t="s">
        <v>3781</v>
      </c>
      <c r="H1361" t="s">
        <v>3782</v>
      </c>
      <c r="I1361" t="s">
        <v>3786</v>
      </c>
      <c r="K1361" t="s">
        <v>3762</v>
      </c>
      <c r="L1361" t="s">
        <v>3784</v>
      </c>
      <c r="M1361" t="s">
        <v>73</v>
      </c>
      <c r="P1361">
        <f t="shared" si="42"/>
        <v>1</v>
      </c>
      <c r="Q1361" t="str">
        <f>IF(AND(P1361&gt;1,COUNTIF($E$6:E1361,E1361)=1),MAX($Q$5:Q1360)+1,"")</f>
        <v/>
      </c>
      <c r="R1361" t="str">
        <f t="shared" si="43"/>
        <v/>
      </c>
    </row>
    <row r="1362" spans="1:18" ht="22.95" customHeight="1">
      <c r="A1362" t="s">
        <v>3704</v>
      </c>
      <c r="B1362" t="s">
        <v>30</v>
      </c>
      <c r="C1362" t="s">
        <v>188</v>
      </c>
      <c r="D1362" t="s">
        <v>189</v>
      </c>
      <c r="E1362" t="s">
        <v>3788</v>
      </c>
      <c r="F1362">
        <v>1</v>
      </c>
      <c r="G1362" t="s">
        <v>3789</v>
      </c>
      <c r="H1362" t="s">
        <v>3790</v>
      </c>
      <c r="I1362" t="s">
        <v>3761</v>
      </c>
      <c r="K1362" t="s">
        <v>3762</v>
      </c>
      <c r="L1362" t="s">
        <v>3766</v>
      </c>
      <c r="M1362" t="s">
        <v>73</v>
      </c>
      <c r="P1362">
        <f t="shared" si="42"/>
        <v>1</v>
      </c>
      <c r="Q1362" t="str">
        <f>IF(AND(P1362&gt;1,COUNTIF($E$6:E1362,E1362)=1),MAX($Q$5:Q1361)+1,"")</f>
        <v/>
      </c>
      <c r="R1362" t="str">
        <f t="shared" si="43"/>
        <v/>
      </c>
    </row>
    <row r="1363" spans="1:18" ht="22.95" customHeight="1">
      <c r="A1363" t="s">
        <v>3704</v>
      </c>
      <c r="B1363" t="s">
        <v>30</v>
      </c>
      <c r="C1363" t="s">
        <v>188</v>
      </c>
      <c r="D1363" t="s">
        <v>189</v>
      </c>
      <c r="E1363" t="s">
        <v>3791</v>
      </c>
      <c r="F1363">
        <v>1</v>
      </c>
      <c r="G1363" t="s">
        <v>3768</v>
      </c>
      <c r="H1363" t="s">
        <v>1728</v>
      </c>
      <c r="I1363" t="s">
        <v>3761</v>
      </c>
      <c r="K1363" t="s">
        <v>3762</v>
      </c>
      <c r="L1363" t="s">
        <v>3779</v>
      </c>
      <c r="M1363" t="s">
        <v>73</v>
      </c>
      <c r="P1363">
        <f t="shared" si="42"/>
        <v>1</v>
      </c>
      <c r="Q1363" t="str">
        <f>IF(AND(P1363&gt;1,COUNTIF($E$6:E1363,E1363)=1),MAX($Q$5:Q1362)+1,"")</f>
        <v/>
      </c>
      <c r="R1363" t="str">
        <f t="shared" si="43"/>
        <v/>
      </c>
    </row>
    <row r="1364" spans="1:18" ht="22.95" customHeight="1">
      <c r="A1364" t="s">
        <v>3704</v>
      </c>
      <c r="B1364" t="s">
        <v>30</v>
      </c>
      <c r="C1364" t="s">
        <v>188</v>
      </c>
      <c r="D1364" t="s">
        <v>189</v>
      </c>
      <c r="E1364" t="s">
        <v>3792</v>
      </c>
      <c r="F1364">
        <v>1</v>
      </c>
      <c r="G1364" t="s">
        <v>1236</v>
      </c>
      <c r="H1364" t="s">
        <v>3793</v>
      </c>
      <c r="I1364" t="s">
        <v>3761</v>
      </c>
      <c r="K1364" t="s">
        <v>3762</v>
      </c>
      <c r="L1364" t="s">
        <v>3779</v>
      </c>
      <c r="M1364" t="s">
        <v>73</v>
      </c>
      <c r="P1364">
        <f t="shared" si="42"/>
        <v>1</v>
      </c>
      <c r="Q1364" t="str">
        <f>IF(AND(P1364&gt;1,COUNTIF($E$6:E1364,E1364)=1),MAX($Q$5:Q1363)+1,"")</f>
        <v/>
      </c>
      <c r="R1364" t="str">
        <f t="shared" si="43"/>
        <v/>
      </c>
    </row>
    <row r="1365" spans="1:18" ht="22.95" customHeight="1">
      <c r="A1365" t="s">
        <v>3704</v>
      </c>
      <c r="B1365" t="s">
        <v>30</v>
      </c>
      <c r="C1365" t="s">
        <v>188</v>
      </c>
      <c r="D1365" t="s">
        <v>189</v>
      </c>
      <c r="E1365" t="s">
        <v>3794</v>
      </c>
      <c r="F1365">
        <v>1</v>
      </c>
      <c r="G1365" t="s">
        <v>2284</v>
      </c>
      <c r="H1365" t="s">
        <v>3760</v>
      </c>
      <c r="I1365" t="s">
        <v>3761</v>
      </c>
      <c r="K1365" t="s">
        <v>3762</v>
      </c>
      <c r="L1365" t="s">
        <v>3784</v>
      </c>
      <c r="M1365" t="s">
        <v>73</v>
      </c>
      <c r="P1365">
        <f t="shared" si="42"/>
        <v>1</v>
      </c>
      <c r="Q1365" t="str">
        <f>IF(AND(P1365&gt;1,COUNTIF($E$6:E1365,E1365)=1),MAX($Q$5:Q1364)+1,"")</f>
        <v/>
      </c>
      <c r="R1365" t="str">
        <f t="shared" si="43"/>
        <v/>
      </c>
    </row>
    <row r="1366" spans="1:18" ht="22.95" customHeight="1">
      <c r="A1366" t="s">
        <v>3704</v>
      </c>
      <c r="B1366" t="s">
        <v>30</v>
      </c>
      <c r="C1366" t="s">
        <v>188</v>
      </c>
      <c r="D1366" t="s">
        <v>189</v>
      </c>
      <c r="E1366" t="s">
        <v>3795</v>
      </c>
      <c r="F1366">
        <v>1</v>
      </c>
      <c r="G1366" t="s">
        <v>3796</v>
      </c>
      <c r="H1366" t="s">
        <v>3797</v>
      </c>
      <c r="I1366" t="s">
        <v>3761</v>
      </c>
      <c r="K1366" t="s">
        <v>3762</v>
      </c>
      <c r="L1366" t="s">
        <v>3779</v>
      </c>
      <c r="M1366" t="s">
        <v>73</v>
      </c>
      <c r="P1366">
        <f t="shared" si="42"/>
        <v>1</v>
      </c>
      <c r="Q1366" t="str">
        <f>IF(AND(P1366&gt;1,COUNTIF($E$6:E1366,E1366)=1),MAX($Q$5:Q1365)+1,"")</f>
        <v/>
      </c>
      <c r="R1366" t="str">
        <f t="shared" si="43"/>
        <v/>
      </c>
    </row>
    <row r="1367" spans="1:18" ht="22.95" customHeight="1">
      <c r="A1367" t="s">
        <v>3704</v>
      </c>
      <c r="B1367" t="s">
        <v>30</v>
      </c>
      <c r="C1367" t="s">
        <v>188</v>
      </c>
      <c r="D1367" t="s">
        <v>189</v>
      </c>
      <c r="E1367" t="s">
        <v>3798</v>
      </c>
      <c r="F1367">
        <v>1</v>
      </c>
      <c r="G1367" t="s">
        <v>175</v>
      </c>
      <c r="H1367" t="s">
        <v>3772</v>
      </c>
      <c r="I1367" t="s">
        <v>3761</v>
      </c>
      <c r="K1367" t="s">
        <v>3762</v>
      </c>
      <c r="L1367" t="s">
        <v>3779</v>
      </c>
      <c r="M1367" t="s">
        <v>73</v>
      </c>
      <c r="P1367">
        <f t="shared" si="42"/>
        <v>1</v>
      </c>
      <c r="Q1367" t="str">
        <f>IF(AND(P1367&gt;1,COUNTIF($E$6:E1367,E1367)=1),MAX($Q$5:Q1366)+1,"")</f>
        <v/>
      </c>
      <c r="R1367" t="str">
        <f t="shared" si="43"/>
        <v/>
      </c>
    </row>
    <row r="1368" spans="1:18" ht="22.95" customHeight="1">
      <c r="A1368" t="s">
        <v>3704</v>
      </c>
      <c r="B1368" t="s">
        <v>26</v>
      </c>
      <c r="C1368" t="s">
        <v>196</v>
      </c>
      <c r="D1368" t="s">
        <v>197</v>
      </c>
      <c r="E1368" t="s">
        <v>3799</v>
      </c>
      <c r="F1368">
        <v>1</v>
      </c>
      <c r="I1368" t="s">
        <v>3800</v>
      </c>
      <c r="K1368" t="s">
        <v>406</v>
      </c>
      <c r="L1368" t="s">
        <v>3801</v>
      </c>
      <c r="M1368" t="s">
        <v>102</v>
      </c>
      <c r="P1368">
        <f t="shared" si="42"/>
        <v>1</v>
      </c>
      <c r="Q1368" t="str">
        <f>IF(AND(P1368&gt;1,COUNTIF($E$6:E1368,E1368)=1),MAX($Q$5:Q1367)+1,"")</f>
        <v/>
      </c>
      <c r="R1368" t="str">
        <f t="shared" si="43"/>
        <v/>
      </c>
    </row>
    <row r="1369" spans="1:18" ht="22.95" customHeight="1">
      <c r="A1369" t="s">
        <v>3704</v>
      </c>
      <c r="B1369" t="s">
        <v>33</v>
      </c>
      <c r="C1369" t="s">
        <v>2314</v>
      </c>
      <c r="D1369" t="s">
        <v>2315</v>
      </c>
      <c r="E1369" t="s">
        <v>3802</v>
      </c>
      <c r="F1369">
        <v>1</v>
      </c>
      <c r="G1369" t="s">
        <v>3803</v>
      </c>
      <c r="H1369" t="s">
        <v>660</v>
      </c>
      <c r="I1369" t="s">
        <v>151</v>
      </c>
      <c r="L1369" t="s">
        <v>3804</v>
      </c>
      <c r="M1369" t="s">
        <v>73</v>
      </c>
      <c r="P1369">
        <f t="shared" si="42"/>
        <v>1</v>
      </c>
      <c r="Q1369" t="str">
        <f>IF(AND(P1369&gt;1,COUNTIF($E$6:E1369,E1369)=1),MAX($Q$5:Q1368)+1,"")</f>
        <v/>
      </c>
      <c r="R1369" t="str">
        <f t="shared" si="43"/>
        <v/>
      </c>
    </row>
    <row r="1370" spans="1:18" ht="22.95" customHeight="1">
      <c r="A1370" t="s">
        <v>3704</v>
      </c>
      <c r="B1370" t="s">
        <v>33</v>
      </c>
      <c r="C1370" t="s">
        <v>2088</v>
      </c>
      <c r="D1370" t="s">
        <v>3674</v>
      </c>
      <c r="E1370" t="s">
        <v>3805</v>
      </c>
      <c r="F1370">
        <v>1</v>
      </c>
      <c r="G1370" t="s">
        <v>92</v>
      </c>
      <c r="I1370" t="s">
        <v>60</v>
      </c>
      <c r="L1370" t="s">
        <v>3806</v>
      </c>
      <c r="M1370" t="s">
        <v>102</v>
      </c>
      <c r="P1370">
        <f t="shared" si="42"/>
        <v>1</v>
      </c>
      <c r="Q1370" t="str">
        <f>IF(AND(P1370&gt;1,COUNTIF($E$6:E1370,E1370)=1),MAX($Q$5:Q1369)+1,"")</f>
        <v/>
      </c>
      <c r="R1370" t="str">
        <f t="shared" si="43"/>
        <v/>
      </c>
    </row>
    <row r="1371" spans="1:18" ht="22.95" customHeight="1">
      <c r="A1371" t="s">
        <v>3704</v>
      </c>
      <c r="B1371" t="s">
        <v>33</v>
      </c>
      <c r="C1371" t="s">
        <v>2314</v>
      </c>
      <c r="D1371" t="s">
        <v>2315</v>
      </c>
      <c r="E1371" t="s">
        <v>3807</v>
      </c>
      <c r="F1371">
        <v>1</v>
      </c>
      <c r="G1371" t="s">
        <v>3808</v>
      </c>
      <c r="H1371" t="s">
        <v>3809</v>
      </c>
      <c r="I1371" t="s">
        <v>3810</v>
      </c>
      <c r="L1371" t="s">
        <v>3811</v>
      </c>
      <c r="M1371" t="s">
        <v>62</v>
      </c>
      <c r="N1371" t="s">
        <v>130</v>
      </c>
      <c r="P1371">
        <f t="shared" si="42"/>
        <v>1</v>
      </c>
      <c r="Q1371" t="str">
        <f>IF(AND(P1371&gt;1,COUNTIF($E$6:E1371,E1371)=1),MAX($Q$5:Q1370)+1,"")</f>
        <v/>
      </c>
      <c r="R1371" t="str">
        <f t="shared" si="43"/>
        <v/>
      </c>
    </row>
    <row r="1372" spans="1:18" ht="22.95" customHeight="1">
      <c r="A1372" t="s">
        <v>3704</v>
      </c>
      <c r="B1372" t="s">
        <v>33</v>
      </c>
      <c r="C1372" t="s">
        <v>2314</v>
      </c>
      <c r="D1372" t="s">
        <v>2315</v>
      </c>
      <c r="E1372" t="s">
        <v>3812</v>
      </c>
      <c r="F1372">
        <v>1</v>
      </c>
      <c r="G1372" t="s">
        <v>3808</v>
      </c>
      <c r="H1372" t="s">
        <v>3809</v>
      </c>
      <c r="I1372" t="s">
        <v>3810</v>
      </c>
      <c r="L1372" t="s">
        <v>3811</v>
      </c>
      <c r="M1372" t="s">
        <v>62</v>
      </c>
      <c r="N1372" t="s">
        <v>130</v>
      </c>
      <c r="P1372">
        <f t="shared" si="42"/>
        <v>1</v>
      </c>
      <c r="Q1372" t="str">
        <f>IF(AND(P1372&gt;1,COUNTIF($E$6:E1372,E1372)=1),MAX($Q$5:Q1371)+1,"")</f>
        <v/>
      </c>
      <c r="R1372" t="str">
        <f t="shared" si="43"/>
        <v/>
      </c>
    </row>
    <row r="1373" spans="1:18" ht="22.95" customHeight="1">
      <c r="A1373" t="s">
        <v>3704</v>
      </c>
      <c r="B1373" t="s">
        <v>33</v>
      </c>
      <c r="C1373" t="s">
        <v>2103</v>
      </c>
      <c r="D1373" t="s">
        <v>2104</v>
      </c>
      <c r="E1373" t="s">
        <v>3813</v>
      </c>
      <c r="F1373">
        <v>1</v>
      </c>
      <c r="G1373" t="s">
        <v>3814</v>
      </c>
      <c r="H1373" t="s">
        <v>1206</v>
      </c>
      <c r="I1373" t="s">
        <v>3815</v>
      </c>
      <c r="J1373" t="s">
        <v>245</v>
      </c>
      <c r="L1373" t="s">
        <v>3816</v>
      </c>
      <c r="M1373" t="s">
        <v>73</v>
      </c>
      <c r="P1373">
        <f t="shared" si="42"/>
        <v>1</v>
      </c>
      <c r="Q1373" t="str">
        <f>IF(AND(P1373&gt;1,COUNTIF($E$6:E1373,E1373)=1),MAX($Q$5:Q1372)+1,"")</f>
        <v/>
      </c>
      <c r="R1373" t="str">
        <f t="shared" si="43"/>
        <v/>
      </c>
    </row>
    <row r="1374" spans="1:18" ht="22.95" customHeight="1">
      <c r="A1374" t="s">
        <v>3704</v>
      </c>
      <c r="B1374" t="s">
        <v>33</v>
      </c>
      <c r="C1374" t="s">
        <v>2103</v>
      </c>
      <c r="D1374" t="s">
        <v>2104</v>
      </c>
      <c r="E1374" t="s">
        <v>3817</v>
      </c>
      <c r="F1374">
        <v>1</v>
      </c>
      <c r="G1374" t="s">
        <v>3814</v>
      </c>
      <c r="H1374" t="s">
        <v>1206</v>
      </c>
      <c r="I1374" t="s">
        <v>3815</v>
      </c>
      <c r="J1374" t="s">
        <v>245</v>
      </c>
      <c r="L1374" t="s">
        <v>3816</v>
      </c>
      <c r="M1374" t="s">
        <v>73</v>
      </c>
      <c r="P1374">
        <f t="shared" si="42"/>
        <v>1</v>
      </c>
      <c r="Q1374" t="str">
        <f>IF(AND(P1374&gt;1,COUNTIF($E$6:E1374,E1374)=1),MAX($Q$5:Q1373)+1,"")</f>
        <v/>
      </c>
      <c r="R1374" t="str">
        <f t="shared" si="43"/>
        <v/>
      </c>
    </row>
    <row r="1375" spans="1:18" ht="22.95" customHeight="1">
      <c r="A1375" t="s">
        <v>3704</v>
      </c>
      <c r="B1375" t="s">
        <v>33</v>
      </c>
      <c r="C1375" t="s">
        <v>2103</v>
      </c>
      <c r="D1375" t="s">
        <v>2104</v>
      </c>
      <c r="E1375" t="s">
        <v>3818</v>
      </c>
      <c r="F1375">
        <v>1</v>
      </c>
      <c r="G1375" t="s">
        <v>3819</v>
      </c>
      <c r="H1375" t="s">
        <v>3820</v>
      </c>
      <c r="I1375" t="s">
        <v>3821</v>
      </c>
      <c r="K1375" t="s">
        <v>3822</v>
      </c>
      <c r="L1375" t="s">
        <v>3823</v>
      </c>
      <c r="M1375" t="s">
        <v>73</v>
      </c>
      <c r="P1375">
        <f t="shared" si="42"/>
        <v>1</v>
      </c>
      <c r="Q1375" t="str">
        <f>IF(AND(P1375&gt;1,COUNTIF($E$6:E1375,E1375)=1),MAX($Q$5:Q1374)+1,"")</f>
        <v/>
      </c>
      <c r="R1375" t="str">
        <f t="shared" si="43"/>
        <v/>
      </c>
    </row>
    <row r="1376" spans="1:18" ht="22.95" customHeight="1">
      <c r="A1376" t="s">
        <v>3704</v>
      </c>
      <c r="B1376" t="s">
        <v>33</v>
      </c>
      <c r="C1376" t="s">
        <v>2103</v>
      </c>
      <c r="D1376" t="s">
        <v>2104</v>
      </c>
      <c r="E1376" t="s">
        <v>3824</v>
      </c>
      <c r="F1376">
        <v>1</v>
      </c>
      <c r="G1376" t="s">
        <v>3819</v>
      </c>
      <c r="H1376" t="s">
        <v>3820</v>
      </c>
      <c r="I1376" t="s">
        <v>3825</v>
      </c>
      <c r="K1376" t="s">
        <v>3822</v>
      </c>
      <c r="L1376" t="s">
        <v>3826</v>
      </c>
      <c r="M1376" t="s">
        <v>73</v>
      </c>
      <c r="P1376">
        <f t="shared" si="42"/>
        <v>1</v>
      </c>
      <c r="Q1376" t="str">
        <f>IF(AND(P1376&gt;1,COUNTIF($E$6:E1376,E1376)=1),MAX($Q$5:Q1375)+1,"")</f>
        <v/>
      </c>
      <c r="R1376" t="str">
        <f t="shared" si="43"/>
        <v/>
      </c>
    </row>
    <row r="1377" spans="1:18" ht="22.95" customHeight="1">
      <c r="A1377" t="s">
        <v>3704</v>
      </c>
      <c r="B1377" t="s">
        <v>33</v>
      </c>
      <c r="C1377" t="s">
        <v>2103</v>
      </c>
      <c r="D1377" t="s">
        <v>2104</v>
      </c>
      <c r="E1377" t="s">
        <v>3827</v>
      </c>
      <c r="F1377">
        <v>1</v>
      </c>
      <c r="G1377" t="s">
        <v>3819</v>
      </c>
      <c r="H1377" t="s">
        <v>3820</v>
      </c>
      <c r="I1377" t="s">
        <v>3828</v>
      </c>
      <c r="K1377" t="s">
        <v>3822</v>
      </c>
      <c r="L1377" t="s">
        <v>3829</v>
      </c>
      <c r="M1377" t="s">
        <v>73</v>
      </c>
      <c r="P1377">
        <f t="shared" si="42"/>
        <v>1</v>
      </c>
      <c r="Q1377" t="str">
        <f>IF(AND(P1377&gt;1,COUNTIF($E$6:E1377,E1377)=1),MAX($Q$5:Q1376)+1,"")</f>
        <v/>
      </c>
      <c r="R1377" t="str">
        <f t="shared" si="43"/>
        <v/>
      </c>
    </row>
    <row r="1378" spans="1:18" ht="22.95" customHeight="1">
      <c r="A1378" t="s">
        <v>3704</v>
      </c>
      <c r="B1378" t="s">
        <v>33</v>
      </c>
      <c r="C1378" t="s">
        <v>2103</v>
      </c>
      <c r="D1378" t="s">
        <v>2104</v>
      </c>
      <c r="E1378" t="s">
        <v>3830</v>
      </c>
      <c r="F1378">
        <v>1</v>
      </c>
      <c r="G1378" t="s">
        <v>3819</v>
      </c>
      <c r="H1378" t="s">
        <v>3820</v>
      </c>
      <c r="I1378" t="s">
        <v>3828</v>
      </c>
      <c r="K1378" t="s">
        <v>3822</v>
      </c>
      <c r="L1378" t="s">
        <v>3831</v>
      </c>
      <c r="M1378" t="s">
        <v>73</v>
      </c>
      <c r="P1378">
        <f t="shared" si="42"/>
        <v>1</v>
      </c>
      <c r="Q1378" t="str">
        <f>IF(AND(P1378&gt;1,COUNTIF($E$6:E1378,E1378)=1),MAX($Q$5:Q1377)+1,"")</f>
        <v/>
      </c>
      <c r="R1378" t="str">
        <f t="shared" si="43"/>
        <v/>
      </c>
    </row>
    <row r="1379" spans="1:18" ht="22.95" customHeight="1">
      <c r="A1379" t="s">
        <v>3704</v>
      </c>
      <c r="B1379" t="s">
        <v>33</v>
      </c>
      <c r="C1379" t="s">
        <v>2103</v>
      </c>
      <c r="D1379" t="s">
        <v>2104</v>
      </c>
      <c r="E1379" t="s">
        <v>3832</v>
      </c>
      <c r="F1379">
        <v>1</v>
      </c>
      <c r="G1379" t="s">
        <v>1431</v>
      </c>
      <c r="H1379" t="s">
        <v>3820</v>
      </c>
      <c r="I1379" t="s">
        <v>3833</v>
      </c>
      <c r="K1379" t="s">
        <v>3822</v>
      </c>
      <c r="L1379" t="s">
        <v>3834</v>
      </c>
      <c r="M1379" t="s">
        <v>73</v>
      </c>
      <c r="P1379">
        <f t="shared" si="42"/>
        <v>1</v>
      </c>
      <c r="Q1379" t="str">
        <f>IF(AND(P1379&gt;1,COUNTIF($E$6:E1379,E1379)=1),MAX($Q$5:Q1378)+1,"")</f>
        <v/>
      </c>
      <c r="R1379" t="str">
        <f t="shared" si="43"/>
        <v/>
      </c>
    </row>
    <row r="1380" spans="1:18" ht="22.95" customHeight="1">
      <c r="A1380" t="s">
        <v>3704</v>
      </c>
      <c r="B1380" t="s">
        <v>33</v>
      </c>
      <c r="C1380" t="s">
        <v>2103</v>
      </c>
      <c r="D1380" t="s">
        <v>2104</v>
      </c>
      <c r="E1380" t="s">
        <v>3835</v>
      </c>
      <c r="F1380">
        <v>1</v>
      </c>
      <c r="G1380" t="s">
        <v>92</v>
      </c>
      <c r="I1380" t="s">
        <v>140</v>
      </c>
      <c r="J1380" t="s">
        <v>99</v>
      </c>
      <c r="K1380" t="s">
        <v>3836</v>
      </c>
      <c r="L1380" t="s">
        <v>3837</v>
      </c>
      <c r="M1380" t="s">
        <v>102</v>
      </c>
      <c r="P1380">
        <f t="shared" si="42"/>
        <v>1</v>
      </c>
      <c r="Q1380" t="str">
        <f>IF(AND(P1380&gt;1,COUNTIF($E$6:E1380,E1380)=1),MAX($Q$5:Q1379)+1,"")</f>
        <v/>
      </c>
      <c r="R1380" t="str">
        <f t="shared" si="43"/>
        <v/>
      </c>
    </row>
    <row r="1381" spans="1:18" ht="22.95" customHeight="1">
      <c r="A1381" t="s">
        <v>3704</v>
      </c>
      <c r="B1381" t="s">
        <v>33</v>
      </c>
      <c r="C1381" t="s">
        <v>2103</v>
      </c>
      <c r="D1381" t="s">
        <v>2104</v>
      </c>
      <c r="E1381" t="s">
        <v>3838</v>
      </c>
      <c r="F1381">
        <v>1</v>
      </c>
      <c r="G1381" t="s">
        <v>92</v>
      </c>
      <c r="I1381" t="s">
        <v>140</v>
      </c>
      <c r="J1381" t="s">
        <v>99</v>
      </c>
      <c r="K1381" t="s">
        <v>3836</v>
      </c>
      <c r="L1381" t="s">
        <v>3837</v>
      </c>
      <c r="M1381" t="s">
        <v>102</v>
      </c>
      <c r="P1381">
        <f t="shared" si="42"/>
        <v>1</v>
      </c>
      <c r="Q1381" t="str">
        <f>IF(AND(P1381&gt;1,COUNTIF($E$6:E1381,E1381)=1),MAX($Q$5:Q1380)+1,"")</f>
        <v/>
      </c>
      <c r="R1381" t="str">
        <f t="shared" si="43"/>
        <v/>
      </c>
    </row>
    <row r="1382" spans="1:18" ht="22.95" customHeight="1">
      <c r="A1382" t="s">
        <v>3704</v>
      </c>
      <c r="B1382" t="s">
        <v>33</v>
      </c>
      <c r="C1382" t="s">
        <v>2103</v>
      </c>
      <c r="D1382" t="s">
        <v>2104</v>
      </c>
      <c r="E1382" t="s">
        <v>3839</v>
      </c>
      <c r="F1382">
        <v>1</v>
      </c>
      <c r="G1382" t="s">
        <v>92</v>
      </c>
      <c r="I1382" t="s">
        <v>140</v>
      </c>
      <c r="J1382" t="s">
        <v>99</v>
      </c>
      <c r="K1382" t="s">
        <v>3836</v>
      </c>
      <c r="L1382" t="s">
        <v>3837</v>
      </c>
      <c r="M1382" t="s">
        <v>102</v>
      </c>
      <c r="P1382">
        <f t="shared" si="42"/>
        <v>1</v>
      </c>
      <c r="Q1382" t="str">
        <f>IF(AND(P1382&gt;1,COUNTIF($E$6:E1382,E1382)=1),MAX($Q$5:Q1381)+1,"")</f>
        <v/>
      </c>
      <c r="R1382" t="str">
        <f t="shared" si="43"/>
        <v/>
      </c>
    </row>
    <row r="1383" spans="1:18" ht="22.95" customHeight="1">
      <c r="A1383" t="s">
        <v>3704</v>
      </c>
      <c r="B1383" t="s">
        <v>33</v>
      </c>
      <c r="C1383" t="s">
        <v>2103</v>
      </c>
      <c r="D1383" t="s">
        <v>2104</v>
      </c>
      <c r="E1383" t="s">
        <v>3840</v>
      </c>
      <c r="F1383">
        <v>1</v>
      </c>
      <c r="G1383" t="s">
        <v>92</v>
      </c>
      <c r="I1383" t="s">
        <v>140</v>
      </c>
      <c r="J1383" t="s">
        <v>99</v>
      </c>
      <c r="K1383" t="s">
        <v>3836</v>
      </c>
      <c r="L1383" t="s">
        <v>3837</v>
      </c>
      <c r="M1383" t="s">
        <v>102</v>
      </c>
      <c r="P1383">
        <f t="shared" si="42"/>
        <v>1</v>
      </c>
      <c r="Q1383" t="str">
        <f>IF(AND(P1383&gt;1,COUNTIF($E$6:E1383,E1383)=1),MAX($Q$5:Q1382)+1,"")</f>
        <v/>
      </c>
      <c r="R1383" t="str">
        <f t="shared" si="43"/>
        <v/>
      </c>
    </row>
    <row r="1384" spans="1:18" ht="22.95" customHeight="1">
      <c r="A1384" t="s">
        <v>3704</v>
      </c>
      <c r="B1384" t="s">
        <v>33</v>
      </c>
      <c r="C1384" t="s">
        <v>2103</v>
      </c>
      <c r="D1384" t="s">
        <v>2104</v>
      </c>
      <c r="E1384" t="s">
        <v>3841</v>
      </c>
      <c r="F1384">
        <v>1</v>
      </c>
      <c r="G1384" t="s">
        <v>92</v>
      </c>
      <c r="I1384" t="s">
        <v>140</v>
      </c>
      <c r="J1384" t="s">
        <v>99</v>
      </c>
      <c r="K1384" t="s">
        <v>3836</v>
      </c>
      <c r="L1384" t="s">
        <v>3837</v>
      </c>
      <c r="M1384" t="s">
        <v>102</v>
      </c>
      <c r="P1384">
        <f t="shared" si="42"/>
        <v>1</v>
      </c>
      <c r="Q1384" t="str">
        <f>IF(AND(P1384&gt;1,COUNTIF($E$6:E1384,E1384)=1),MAX($Q$5:Q1383)+1,"")</f>
        <v/>
      </c>
      <c r="R1384" t="str">
        <f t="shared" si="43"/>
        <v/>
      </c>
    </row>
    <row r="1385" spans="1:18" ht="22.95" customHeight="1">
      <c r="A1385" t="s">
        <v>3704</v>
      </c>
      <c r="B1385" t="s">
        <v>33</v>
      </c>
      <c r="C1385" t="s">
        <v>2103</v>
      </c>
      <c r="D1385" t="s">
        <v>2104</v>
      </c>
      <c r="E1385" t="s">
        <v>3842</v>
      </c>
      <c r="F1385">
        <v>1</v>
      </c>
      <c r="G1385" t="s">
        <v>92</v>
      </c>
      <c r="I1385" t="s">
        <v>140</v>
      </c>
      <c r="J1385" t="s">
        <v>672</v>
      </c>
      <c r="L1385" t="s">
        <v>3843</v>
      </c>
      <c r="M1385" t="s">
        <v>102</v>
      </c>
      <c r="P1385">
        <f t="shared" si="42"/>
        <v>1</v>
      </c>
      <c r="Q1385" t="str">
        <f>IF(AND(P1385&gt;1,COUNTIF($E$6:E1385,E1385)=1),MAX($Q$5:Q1384)+1,"")</f>
        <v/>
      </c>
      <c r="R1385" t="str">
        <f t="shared" si="43"/>
        <v/>
      </c>
    </row>
    <row r="1386" spans="1:18" ht="22.95" customHeight="1">
      <c r="A1386" t="s">
        <v>3704</v>
      </c>
      <c r="B1386" t="s">
        <v>31</v>
      </c>
      <c r="C1386" t="s">
        <v>491</v>
      </c>
      <c r="D1386" t="s">
        <v>492</v>
      </c>
      <c r="E1386" t="s">
        <v>3844</v>
      </c>
      <c r="F1386">
        <v>1</v>
      </c>
      <c r="G1386" t="s">
        <v>2589</v>
      </c>
      <c r="H1386" t="s">
        <v>1009</v>
      </c>
      <c r="I1386" t="s">
        <v>517</v>
      </c>
      <c r="J1386" t="s">
        <v>245</v>
      </c>
      <c r="L1386" t="s">
        <v>3845</v>
      </c>
      <c r="M1386" t="s">
        <v>62</v>
      </c>
      <c r="N1386" t="s">
        <v>1435</v>
      </c>
      <c r="P1386">
        <f t="shared" si="42"/>
        <v>1</v>
      </c>
      <c r="Q1386" t="str">
        <f>IF(AND(P1386&gt;1,COUNTIF($E$6:E1386,E1386)=1),MAX($Q$5:Q1385)+1,"")</f>
        <v/>
      </c>
      <c r="R1386" t="str">
        <f t="shared" si="43"/>
        <v/>
      </c>
    </row>
    <row r="1387" spans="1:18" ht="22.95" customHeight="1">
      <c r="A1387" t="s">
        <v>3704</v>
      </c>
      <c r="B1387" t="s">
        <v>31</v>
      </c>
      <c r="C1387" t="s">
        <v>491</v>
      </c>
      <c r="D1387" t="s">
        <v>492</v>
      </c>
      <c r="E1387" t="s">
        <v>3846</v>
      </c>
      <c r="F1387">
        <v>1</v>
      </c>
      <c r="G1387" t="s">
        <v>2589</v>
      </c>
      <c r="H1387" t="s">
        <v>1009</v>
      </c>
      <c r="I1387" t="s">
        <v>517</v>
      </c>
      <c r="J1387" t="s">
        <v>245</v>
      </c>
      <c r="L1387" t="s">
        <v>3847</v>
      </c>
      <c r="M1387" t="s">
        <v>62</v>
      </c>
      <c r="N1387" t="s">
        <v>1435</v>
      </c>
      <c r="P1387">
        <f t="shared" si="42"/>
        <v>1</v>
      </c>
      <c r="Q1387" t="str">
        <f>IF(AND(P1387&gt;1,COUNTIF($E$6:E1387,E1387)=1),MAX($Q$5:Q1386)+1,"")</f>
        <v/>
      </c>
      <c r="R1387" t="str">
        <f t="shared" si="43"/>
        <v/>
      </c>
    </row>
    <row r="1388" spans="1:18" ht="22.95" customHeight="1">
      <c r="A1388" t="s">
        <v>3704</v>
      </c>
      <c r="B1388" t="s">
        <v>32</v>
      </c>
      <c r="C1388" t="s">
        <v>200</v>
      </c>
      <c r="D1388" t="s">
        <v>201</v>
      </c>
      <c r="E1388" t="s">
        <v>3848</v>
      </c>
      <c r="F1388">
        <v>1</v>
      </c>
      <c r="G1388" t="s">
        <v>92</v>
      </c>
      <c r="I1388" t="s">
        <v>3849</v>
      </c>
      <c r="K1388" t="s">
        <v>140</v>
      </c>
      <c r="L1388" t="s">
        <v>3850</v>
      </c>
      <c r="M1388" t="s">
        <v>73</v>
      </c>
      <c r="P1388">
        <f t="shared" si="42"/>
        <v>1</v>
      </c>
      <c r="Q1388" t="str">
        <f>IF(AND(P1388&gt;1,COUNTIF($E$6:E1388,E1388)=1),MAX($Q$5:Q1387)+1,"")</f>
        <v/>
      </c>
      <c r="R1388" t="str">
        <f t="shared" si="43"/>
        <v/>
      </c>
    </row>
    <row r="1389" spans="1:18" ht="22.95" customHeight="1">
      <c r="A1389" t="s">
        <v>3704</v>
      </c>
      <c r="B1389" t="s">
        <v>29</v>
      </c>
      <c r="C1389" t="s">
        <v>1084</v>
      </c>
      <c r="D1389" t="s">
        <v>1085</v>
      </c>
      <c r="E1389" t="s">
        <v>3851</v>
      </c>
      <c r="F1389">
        <v>1</v>
      </c>
      <c r="G1389" t="s">
        <v>3852</v>
      </c>
      <c r="H1389" t="s">
        <v>3853</v>
      </c>
      <c r="I1389" t="s">
        <v>3854</v>
      </c>
      <c r="K1389" t="s">
        <v>78</v>
      </c>
      <c r="L1389" t="s">
        <v>3855</v>
      </c>
      <c r="M1389" t="s">
        <v>73</v>
      </c>
      <c r="P1389">
        <f t="shared" si="42"/>
        <v>1</v>
      </c>
      <c r="Q1389" t="str">
        <f>IF(AND(P1389&gt;1,COUNTIF($E$6:E1389,E1389)=1),MAX($Q$5:Q1388)+1,"")</f>
        <v/>
      </c>
      <c r="R1389" t="str">
        <f t="shared" si="43"/>
        <v/>
      </c>
    </row>
    <row r="1390" spans="1:18" ht="22.95" customHeight="1">
      <c r="A1390" t="s">
        <v>3704</v>
      </c>
      <c r="B1390" t="s">
        <v>29</v>
      </c>
      <c r="C1390" t="s">
        <v>1084</v>
      </c>
      <c r="D1390" t="s">
        <v>1085</v>
      </c>
      <c r="E1390" t="s">
        <v>3856</v>
      </c>
      <c r="F1390">
        <v>1</v>
      </c>
      <c r="G1390" t="s">
        <v>3852</v>
      </c>
      <c r="H1390" t="s">
        <v>3853</v>
      </c>
      <c r="I1390" t="s">
        <v>3854</v>
      </c>
      <c r="K1390" t="s">
        <v>78</v>
      </c>
      <c r="L1390" t="s">
        <v>3855</v>
      </c>
      <c r="M1390" t="s">
        <v>73</v>
      </c>
      <c r="P1390">
        <f t="shared" si="42"/>
        <v>1</v>
      </c>
      <c r="Q1390" t="str">
        <f>IF(AND(P1390&gt;1,COUNTIF($E$6:E1390,E1390)=1),MAX($Q$5:Q1389)+1,"")</f>
        <v/>
      </c>
      <c r="R1390" t="str">
        <f t="shared" si="43"/>
        <v/>
      </c>
    </row>
    <row r="1391" spans="1:18" ht="22.95" customHeight="1">
      <c r="A1391" t="s">
        <v>3704</v>
      </c>
      <c r="B1391" t="s">
        <v>29</v>
      </c>
      <c r="C1391" t="s">
        <v>1084</v>
      </c>
      <c r="D1391" t="s">
        <v>1085</v>
      </c>
      <c r="E1391" t="s">
        <v>3857</v>
      </c>
      <c r="F1391">
        <v>1</v>
      </c>
      <c r="G1391" t="s">
        <v>3852</v>
      </c>
      <c r="H1391" t="s">
        <v>3853</v>
      </c>
      <c r="I1391" t="s">
        <v>3854</v>
      </c>
      <c r="K1391" t="s">
        <v>78</v>
      </c>
      <c r="L1391" t="s">
        <v>3855</v>
      </c>
      <c r="M1391" t="s">
        <v>73</v>
      </c>
      <c r="P1391">
        <f t="shared" si="42"/>
        <v>1</v>
      </c>
      <c r="Q1391" t="str">
        <f>IF(AND(P1391&gt;1,COUNTIF($E$6:E1391,E1391)=1),MAX($Q$5:Q1390)+1,"")</f>
        <v/>
      </c>
      <c r="R1391" t="str">
        <f t="shared" si="43"/>
        <v/>
      </c>
    </row>
    <row r="1392" spans="1:18" ht="22.95" customHeight="1">
      <c r="A1392" t="s">
        <v>3704</v>
      </c>
      <c r="B1392" t="s">
        <v>29</v>
      </c>
      <c r="C1392" t="s">
        <v>1084</v>
      </c>
      <c r="D1392" t="s">
        <v>1085</v>
      </c>
      <c r="E1392" t="s">
        <v>3858</v>
      </c>
      <c r="F1392">
        <v>1</v>
      </c>
      <c r="G1392" t="s">
        <v>3859</v>
      </c>
      <c r="H1392" t="s">
        <v>3860</v>
      </c>
      <c r="I1392" t="s">
        <v>3861</v>
      </c>
      <c r="K1392" t="s">
        <v>3862</v>
      </c>
      <c r="L1392" t="s">
        <v>3863</v>
      </c>
      <c r="M1392" t="s">
        <v>73</v>
      </c>
      <c r="P1392">
        <f t="shared" si="42"/>
        <v>1</v>
      </c>
      <c r="Q1392" t="str">
        <f>IF(AND(P1392&gt;1,COUNTIF($E$6:E1392,E1392)=1),MAX($Q$5:Q1391)+1,"")</f>
        <v/>
      </c>
      <c r="R1392" t="str">
        <f t="shared" si="43"/>
        <v/>
      </c>
    </row>
    <row r="1393" spans="1:18" ht="22.95" customHeight="1">
      <c r="A1393" t="s">
        <v>3704</v>
      </c>
      <c r="B1393" t="s">
        <v>29</v>
      </c>
      <c r="C1393" t="s">
        <v>1084</v>
      </c>
      <c r="D1393" t="s">
        <v>1085</v>
      </c>
      <c r="E1393" t="s">
        <v>3864</v>
      </c>
      <c r="F1393">
        <v>1</v>
      </c>
      <c r="G1393" t="s">
        <v>3852</v>
      </c>
      <c r="H1393" t="s">
        <v>3853</v>
      </c>
      <c r="I1393" t="s">
        <v>3865</v>
      </c>
      <c r="K1393" t="s">
        <v>3866</v>
      </c>
      <c r="L1393" t="s">
        <v>3867</v>
      </c>
      <c r="M1393" t="s">
        <v>73</v>
      </c>
      <c r="P1393">
        <f t="shared" si="42"/>
        <v>1</v>
      </c>
      <c r="Q1393" t="str">
        <f>IF(AND(P1393&gt;1,COUNTIF($E$6:E1393,E1393)=1),MAX($Q$5:Q1392)+1,"")</f>
        <v/>
      </c>
      <c r="R1393" t="str">
        <f t="shared" si="43"/>
        <v/>
      </c>
    </row>
    <row r="1394" spans="1:18" ht="22.95" customHeight="1">
      <c r="A1394" t="s">
        <v>3704</v>
      </c>
      <c r="B1394" t="s">
        <v>29</v>
      </c>
      <c r="C1394" t="s">
        <v>1084</v>
      </c>
      <c r="D1394" t="s">
        <v>1085</v>
      </c>
      <c r="E1394" t="s">
        <v>3868</v>
      </c>
      <c r="F1394">
        <v>1</v>
      </c>
      <c r="G1394" t="s">
        <v>1569</v>
      </c>
      <c r="H1394" t="s">
        <v>3869</v>
      </c>
      <c r="I1394" t="s">
        <v>3870</v>
      </c>
      <c r="K1394" t="s">
        <v>3871</v>
      </c>
      <c r="L1394" t="s">
        <v>3872</v>
      </c>
      <c r="M1394" t="s">
        <v>73</v>
      </c>
      <c r="P1394">
        <f t="shared" si="42"/>
        <v>1</v>
      </c>
      <c r="Q1394" t="str">
        <f>IF(AND(P1394&gt;1,COUNTIF($E$6:E1394,E1394)=1),MAX($Q$5:Q1393)+1,"")</f>
        <v/>
      </c>
      <c r="R1394" t="str">
        <f t="shared" si="43"/>
        <v/>
      </c>
    </row>
    <row r="1395" spans="1:18" ht="22.95" customHeight="1">
      <c r="A1395" t="s">
        <v>3873</v>
      </c>
      <c r="B1395" t="s">
        <v>20</v>
      </c>
      <c r="C1395" t="s">
        <v>65</v>
      </c>
      <c r="D1395" t="s">
        <v>66</v>
      </c>
      <c r="E1395" t="s">
        <v>3874</v>
      </c>
      <c r="F1395">
        <v>1</v>
      </c>
      <c r="G1395" t="s">
        <v>92</v>
      </c>
      <c r="I1395" t="s">
        <v>406</v>
      </c>
      <c r="K1395" t="s">
        <v>141</v>
      </c>
      <c r="L1395" t="s">
        <v>3875</v>
      </c>
      <c r="M1395" t="s">
        <v>73</v>
      </c>
      <c r="P1395">
        <f t="shared" si="42"/>
        <v>1</v>
      </c>
      <c r="Q1395" t="str">
        <f>IF(AND(P1395&gt;1,COUNTIF($E$6:E1395,E1395)=1),MAX($Q$5:Q1394)+1,"")</f>
        <v/>
      </c>
      <c r="R1395" t="str">
        <f t="shared" si="43"/>
        <v/>
      </c>
    </row>
    <row r="1396" spans="1:18" ht="22.95" customHeight="1">
      <c r="A1396" t="s">
        <v>3873</v>
      </c>
      <c r="B1396" t="s">
        <v>20</v>
      </c>
      <c r="C1396" t="s">
        <v>65</v>
      </c>
      <c r="D1396" t="s">
        <v>66</v>
      </c>
      <c r="E1396" t="s">
        <v>3876</v>
      </c>
      <c r="F1396">
        <v>1</v>
      </c>
      <c r="G1396" t="s">
        <v>3877</v>
      </c>
      <c r="H1396" t="s">
        <v>3878</v>
      </c>
      <c r="I1396" t="s">
        <v>3879</v>
      </c>
      <c r="K1396" t="s">
        <v>3880</v>
      </c>
      <c r="L1396" t="s">
        <v>3881</v>
      </c>
      <c r="M1396" t="s">
        <v>62</v>
      </c>
      <c r="N1396" t="s">
        <v>187</v>
      </c>
      <c r="P1396">
        <f t="shared" si="42"/>
        <v>1</v>
      </c>
      <c r="Q1396" t="str">
        <f>IF(AND(P1396&gt;1,COUNTIF($E$6:E1396,E1396)=1),MAX($Q$5:Q1395)+1,"")</f>
        <v/>
      </c>
      <c r="R1396" t="str">
        <f t="shared" si="43"/>
        <v/>
      </c>
    </row>
    <row r="1397" spans="1:18" ht="22.95" customHeight="1">
      <c r="A1397" t="s">
        <v>3873</v>
      </c>
      <c r="B1397" t="s">
        <v>20</v>
      </c>
      <c r="C1397" t="s">
        <v>65</v>
      </c>
      <c r="D1397" t="s">
        <v>66</v>
      </c>
      <c r="E1397" t="s">
        <v>3882</v>
      </c>
      <c r="F1397">
        <v>1</v>
      </c>
      <c r="G1397" t="s">
        <v>3877</v>
      </c>
      <c r="H1397" t="s">
        <v>3878</v>
      </c>
      <c r="I1397" t="s">
        <v>3883</v>
      </c>
      <c r="K1397" t="s">
        <v>3880</v>
      </c>
      <c r="L1397" t="s">
        <v>3884</v>
      </c>
      <c r="M1397" t="s">
        <v>73</v>
      </c>
      <c r="P1397">
        <f t="shared" si="42"/>
        <v>1</v>
      </c>
      <c r="Q1397" t="str">
        <f>IF(AND(P1397&gt;1,COUNTIF($E$6:E1397,E1397)=1),MAX($Q$5:Q1396)+1,"")</f>
        <v/>
      </c>
      <c r="R1397" t="str">
        <f t="shared" si="43"/>
        <v/>
      </c>
    </row>
    <row r="1398" spans="1:18" ht="22.95" customHeight="1">
      <c r="A1398" t="s">
        <v>3873</v>
      </c>
      <c r="B1398" t="s">
        <v>20</v>
      </c>
      <c r="C1398" t="s">
        <v>65</v>
      </c>
      <c r="D1398" t="s">
        <v>66</v>
      </c>
      <c r="E1398" t="s">
        <v>3885</v>
      </c>
      <c r="F1398">
        <v>1</v>
      </c>
      <c r="G1398" t="s">
        <v>3877</v>
      </c>
      <c r="H1398" t="s">
        <v>3878</v>
      </c>
      <c r="I1398" t="s">
        <v>3886</v>
      </c>
      <c r="K1398" t="s">
        <v>3880</v>
      </c>
      <c r="L1398" t="s">
        <v>3884</v>
      </c>
      <c r="M1398" t="s">
        <v>73</v>
      </c>
      <c r="P1398">
        <f t="shared" si="42"/>
        <v>1</v>
      </c>
      <c r="Q1398" t="str">
        <f>IF(AND(P1398&gt;1,COUNTIF($E$6:E1398,E1398)=1),MAX($Q$5:Q1397)+1,"")</f>
        <v/>
      </c>
      <c r="R1398" t="str">
        <f t="shared" si="43"/>
        <v/>
      </c>
    </row>
    <row r="1399" spans="1:18" ht="22.95" customHeight="1">
      <c r="A1399" t="s">
        <v>3873</v>
      </c>
      <c r="B1399" t="s">
        <v>20</v>
      </c>
      <c r="C1399" t="s">
        <v>65</v>
      </c>
      <c r="D1399" t="s">
        <v>66</v>
      </c>
      <c r="E1399" t="s">
        <v>3887</v>
      </c>
      <c r="F1399">
        <v>1</v>
      </c>
      <c r="G1399" t="s">
        <v>3877</v>
      </c>
      <c r="H1399" t="s">
        <v>3878</v>
      </c>
      <c r="I1399" t="s">
        <v>3883</v>
      </c>
      <c r="K1399" t="s">
        <v>3880</v>
      </c>
      <c r="L1399" t="s">
        <v>3884</v>
      </c>
      <c r="M1399" t="s">
        <v>73</v>
      </c>
      <c r="P1399">
        <f t="shared" si="42"/>
        <v>1</v>
      </c>
      <c r="Q1399" t="str">
        <f>IF(AND(P1399&gt;1,COUNTIF($E$6:E1399,E1399)=1),MAX($Q$5:Q1398)+1,"")</f>
        <v/>
      </c>
      <c r="R1399" t="str">
        <f t="shared" si="43"/>
        <v/>
      </c>
    </row>
    <row r="1400" spans="1:18" ht="22.95" customHeight="1">
      <c r="A1400" t="s">
        <v>3873</v>
      </c>
      <c r="B1400" t="s">
        <v>22</v>
      </c>
      <c r="C1400" t="s">
        <v>1149</v>
      </c>
      <c r="D1400" t="s">
        <v>1150</v>
      </c>
      <c r="E1400" t="s">
        <v>3888</v>
      </c>
      <c r="F1400">
        <v>1</v>
      </c>
      <c r="G1400" t="s">
        <v>92</v>
      </c>
      <c r="I1400" t="s">
        <v>733</v>
      </c>
      <c r="K1400" t="s">
        <v>1324</v>
      </c>
      <c r="L1400" t="s">
        <v>3889</v>
      </c>
      <c r="M1400" t="s">
        <v>62</v>
      </c>
      <c r="P1400">
        <f t="shared" si="42"/>
        <v>2</v>
      </c>
      <c r="Q1400">
        <f>IF(AND(P1400&gt;1,COUNTIF($E$6:E1400,E1400)=1),MAX($Q$5:Q1399)+1,"")</f>
        <v>16</v>
      </c>
      <c r="R1400" t="str">
        <f t="shared" si="43"/>
        <v>LÉGITIME</v>
      </c>
    </row>
    <row r="1401" spans="1:18" ht="22.95" customHeight="1">
      <c r="A1401" t="s">
        <v>3873</v>
      </c>
      <c r="B1401" t="s">
        <v>22</v>
      </c>
      <c r="C1401" t="s">
        <v>1149</v>
      </c>
      <c r="D1401" t="s">
        <v>1150</v>
      </c>
      <c r="E1401" t="s">
        <v>3890</v>
      </c>
      <c r="F1401">
        <v>1</v>
      </c>
      <c r="G1401" t="s">
        <v>92</v>
      </c>
      <c r="I1401" t="s">
        <v>733</v>
      </c>
      <c r="K1401" t="s">
        <v>1324</v>
      </c>
      <c r="L1401" t="s">
        <v>3889</v>
      </c>
      <c r="M1401" t="s">
        <v>62</v>
      </c>
      <c r="P1401">
        <f t="shared" si="42"/>
        <v>2</v>
      </c>
      <c r="Q1401">
        <f>IF(AND(P1401&gt;1,COUNTIF($E$6:E1401,E1401)=1),MAX($Q$5:Q1400)+1,"")</f>
        <v>17</v>
      </c>
      <c r="R1401" t="str">
        <f t="shared" si="43"/>
        <v>LÉGITIME</v>
      </c>
    </row>
    <row r="1402" spans="1:18" ht="22.95" customHeight="1">
      <c r="A1402" t="s">
        <v>3873</v>
      </c>
      <c r="B1402" t="s">
        <v>22</v>
      </c>
      <c r="C1402" t="s">
        <v>1149</v>
      </c>
      <c r="D1402" t="s">
        <v>1150</v>
      </c>
      <c r="E1402" t="s">
        <v>3891</v>
      </c>
      <c r="F1402">
        <v>1</v>
      </c>
      <c r="G1402" t="s">
        <v>92</v>
      </c>
      <c r="I1402" t="s">
        <v>733</v>
      </c>
      <c r="K1402" t="s">
        <v>1324</v>
      </c>
      <c r="L1402" t="s">
        <v>3889</v>
      </c>
      <c r="M1402" t="s">
        <v>62</v>
      </c>
      <c r="P1402">
        <f t="shared" si="42"/>
        <v>2</v>
      </c>
      <c r="Q1402">
        <f>IF(AND(P1402&gt;1,COUNTIF($E$6:E1402,E1402)=1),MAX($Q$5:Q1401)+1,"")</f>
        <v>18</v>
      </c>
      <c r="R1402" t="str">
        <f t="shared" si="43"/>
        <v>LÉGITIME</v>
      </c>
    </row>
    <row r="1403" spans="1:18" ht="22.95" customHeight="1">
      <c r="A1403" t="s">
        <v>3873</v>
      </c>
      <c r="B1403" t="s">
        <v>22</v>
      </c>
      <c r="C1403" t="s">
        <v>1149</v>
      </c>
      <c r="D1403" t="s">
        <v>1150</v>
      </c>
      <c r="E1403" t="s">
        <v>3892</v>
      </c>
      <c r="F1403">
        <v>1</v>
      </c>
      <c r="G1403" t="s">
        <v>92</v>
      </c>
      <c r="I1403" t="s">
        <v>733</v>
      </c>
      <c r="K1403" t="s">
        <v>1324</v>
      </c>
      <c r="L1403" t="s">
        <v>3889</v>
      </c>
      <c r="M1403" t="s">
        <v>62</v>
      </c>
      <c r="P1403">
        <f t="shared" si="42"/>
        <v>2</v>
      </c>
      <c r="Q1403">
        <f>IF(AND(P1403&gt;1,COUNTIF($E$6:E1403,E1403)=1),MAX($Q$5:Q1402)+1,"")</f>
        <v>19</v>
      </c>
      <c r="R1403" t="str">
        <f t="shared" si="43"/>
        <v>LÉGITIME</v>
      </c>
    </row>
    <row r="1404" spans="1:18" ht="22.95" customHeight="1">
      <c r="A1404" t="s">
        <v>3873</v>
      </c>
      <c r="B1404" t="s">
        <v>22</v>
      </c>
      <c r="C1404" t="s">
        <v>1149</v>
      </c>
      <c r="D1404" t="s">
        <v>1150</v>
      </c>
      <c r="E1404" t="s">
        <v>3893</v>
      </c>
      <c r="F1404">
        <v>1</v>
      </c>
      <c r="G1404" t="s">
        <v>92</v>
      </c>
      <c r="I1404" t="s">
        <v>733</v>
      </c>
      <c r="K1404" t="s">
        <v>1324</v>
      </c>
      <c r="L1404" t="s">
        <v>3889</v>
      </c>
      <c r="M1404" t="s">
        <v>62</v>
      </c>
      <c r="P1404">
        <f t="shared" si="42"/>
        <v>2</v>
      </c>
      <c r="Q1404">
        <f>IF(AND(P1404&gt;1,COUNTIF($E$6:E1404,E1404)=1),MAX($Q$5:Q1403)+1,"")</f>
        <v>20</v>
      </c>
      <c r="R1404" t="str">
        <f t="shared" si="43"/>
        <v>LÉGITIME</v>
      </c>
    </row>
    <row r="1405" spans="1:18" ht="22.95" customHeight="1">
      <c r="A1405" t="s">
        <v>3873</v>
      </c>
      <c r="B1405" t="s">
        <v>22</v>
      </c>
      <c r="C1405" t="s">
        <v>1149</v>
      </c>
      <c r="D1405" t="s">
        <v>1150</v>
      </c>
      <c r="E1405" t="s">
        <v>3894</v>
      </c>
      <c r="F1405">
        <v>1</v>
      </c>
      <c r="G1405" t="s">
        <v>92</v>
      </c>
      <c r="I1405" t="s">
        <v>733</v>
      </c>
      <c r="K1405" t="s">
        <v>1324</v>
      </c>
      <c r="L1405" t="s">
        <v>3889</v>
      </c>
      <c r="M1405" t="s">
        <v>62</v>
      </c>
      <c r="P1405">
        <f t="shared" si="42"/>
        <v>2</v>
      </c>
      <c r="Q1405">
        <f>IF(AND(P1405&gt;1,COUNTIF($E$6:E1405,E1405)=1),MAX($Q$5:Q1404)+1,"")</f>
        <v>21</v>
      </c>
      <c r="R1405" t="str">
        <f t="shared" si="43"/>
        <v>LÉGITIME</v>
      </c>
    </row>
    <row r="1406" spans="1:18" ht="22.95" customHeight="1">
      <c r="A1406" t="s">
        <v>3873</v>
      </c>
      <c r="B1406" t="s">
        <v>22</v>
      </c>
      <c r="C1406" t="s">
        <v>1149</v>
      </c>
      <c r="D1406" t="s">
        <v>1150</v>
      </c>
      <c r="E1406" t="s">
        <v>3895</v>
      </c>
      <c r="F1406">
        <v>1</v>
      </c>
      <c r="G1406" t="s">
        <v>92</v>
      </c>
      <c r="I1406" t="s">
        <v>733</v>
      </c>
      <c r="K1406" t="s">
        <v>1324</v>
      </c>
      <c r="L1406" t="s">
        <v>3889</v>
      </c>
      <c r="M1406" t="s">
        <v>62</v>
      </c>
      <c r="P1406">
        <f t="shared" si="42"/>
        <v>1</v>
      </c>
      <c r="Q1406" t="str">
        <f>IF(AND(P1406&gt;1,COUNTIF($E$6:E1406,E1406)=1),MAX($Q$5:Q1405)+1,"")</f>
        <v/>
      </c>
      <c r="R1406" t="str">
        <f t="shared" si="43"/>
        <v/>
      </c>
    </row>
    <row r="1407" spans="1:18" ht="22.95" customHeight="1">
      <c r="A1407" t="s">
        <v>3873</v>
      </c>
      <c r="B1407" t="s">
        <v>22</v>
      </c>
      <c r="C1407" t="s">
        <v>1149</v>
      </c>
      <c r="D1407" t="s">
        <v>1150</v>
      </c>
      <c r="E1407" t="s">
        <v>3896</v>
      </c>
      <c r="F1407">
        <v>1</v>
      </c>
      <c r="G1407" t="s">
        <v>92</v>
      </c>
      <c r="I1407" t="s">
        <v>733</v>
      </c>
      <c r="K1407" t="s">
        <v>1324</v>
      </c>
      <c r="L1407" t="s">
        <v>3889</v>
      </c>
      <c r="M1407" t="s">
        <v>62</v>
      </c>
      <c r="P1407">
        <f t="shared" si="42"/>
        <v>1</v>
      </c>
      <c r="Q1407" t="str">
        <f>IF(AND(P1407&gt;1,COUNTIF($E$6:E1407,E1407)=1),MAX($Q$5:Q1406)+1,"")</f>
        <v/>
      </c>
      <c r="R1407" t="str">
        <f t="shared" si="43"/>
        <v/>
      </c>
    </row>
    <row r="1408" spans="1:18" ht="22.95" customHeight="1">
      <c r="A1408" t="s">
        <v>3873</v>
      </c>
      <c r="B1408" t="s">
        <v>22</v>
      </c>
      <c r="C1408" t="s">
        <v>1149</v>
      </c>
      <c r="D1408" t="s">
        <v>1150</v>
      </c>
      <c r="E1408" t="s">
        <v>3897</v>
      </c>
      <c r="F1408">
        <v>1</v>
      </c>
      <c r="G1408" t="s">
        <v>92</v>
      </c>
      <c r="I1408" t="s">
        <v>733</v>
      </c>
      <c r="K1408" t="s">
        <v>1324</v>
      </c>
      <c r="L1408" t="s">
        <v>3889</v>
      </c>
      <c r="M1408" t="s">
        <v>62</v>
      </c>
      <c r="P1408">
        <f t="shared" si="42"/>
        <v>1</v>
      </c>
      <c r="Q1408" t="str">
        <f>IF(AND(P1408&gt;1,COUNTIF($E$6:E1408,E1408)=1),MAX($Q$5:Q1407)+1,"")</f>
        <v/>
      </c>
      <c r="R1408" t="str">
        <f t="shared" si="43"/>
        <v/>
      </c>
    </row>
    <row r="1409" spans="1:18" ht="22.95" customHeight="1">
      <c r="A1409" t="s">
        <v>3873</v>
      </c>
      <c r="B1409" t="s">
        <v>22</v>
      </c>
      <c r="C1409" t="s">
        <v>1149</v>
      </c>
      <c r="D1409" t="s">
        <v>1150</v>
      </c>
      <c r="E1409" t="s">
        <v>3898</v>
      </c>
      <c r="F1409">
        <v>1</v>
      </c>
      <c r="G1409" t="s">
        <v>92</v>
      </c>
      <c r="I1409" t="s">
        <v>733</v>
      </c>
      <c r="K1409" t="s">
        <v>1324</v>
      </c>
      <c r="L1409" t="s">
        <v>3889</v>
      </c>
      <c r="M1409" t="s">
        <v>62</v>
      </c>
      <c r="P1409">
        <f t="shared" si="42"/>
        <v>1</v>
      </c>
      <c r="Q1409" t="str">
        <f>IF(AND(P1409&gt;1,COUNTIF($E$6:E1409,E1409)=1),MAX($Q$5:Q1408)+1,"")</f>
        <v/>
      </c>
      <c r="R1409" t="str">
        <f t="shared" si="43"/>
        <v/>
      </c>
    </row>
    <row r="1410" spans="1:18" ht="22.95" customHeight="1">
      <c r="A1410" t="s">
        <v>3873</v>
      </c>
      <c r="B1410" t="s">
        <v>22</v>
      </c>
      <c r="C1410" t="s">
        <v>1149</v>
      </c>
      <c r="D1410" t="s">
        <v>1150</v>
      </c>
      <c r="E1410" t="s">
        <v>3899</v>
      </c>
      <c r="F1410">
        <v>1</v>
      </c>
      <c r="G1410" t="s">
        <v>92</v>
      </c>
      <c r="I1410" t="s">
        <v>733</v>
      </c>
      <c r="K1410" t="s">
        <v>1324</v>
      </c>
      <c r="L1410" t="s">
        <v>3889</v>
      </c>
      <c r="M1410" t="s">
        <v>62</v>
      </c>
      <c r="P1410">
        <f t="shared" si="42"/>
        <v>2</v>
      </c>
      <c r="Q1410">
        <f>IF(AND(P1410&gt;1,COUNTIF($E$6:E1410,E1410)=1),MAX($Q$5:Q1409)+1,"")</f>
        <v>22</v>
      </c>
      <c r="R1410" t="str">
        <f t="shared" si="43"/>
        <v>LÉGITIME</v>
      </c>
    </row>
    <row r="1411" spans="1:18" ht="22.95" customHeight="1">
      <c r="A1411" t="s">
        <v>3873</v>
      </c>
      <c r="B1411" t="s">
        <v>22</v>
      </c>
      <c r="C1411" t="s">
        <v>1149</v>
      </c>
      <c r="D1411" t="s">
        <v>1150</v>
      </c>
      <c r="E1411" t="s">
        <v>3900</v>
      </c>
      <c r="F1411">
        <v>1</v>
      </c>
      <c r="G1411" t="s">
        <v>92</v>
      </c>
      <c r="I1411" t="s">
        <v>733</v>
      </c>
      <c r="K1411" t="s">
        <v>1324</v>
      </c>
      <c r="L1411" t="s">
        <v>3889</v>
      </c>
      <c r="M1411" t="s">
        <v>62</v>
      </c>
      <c r="P1411">
        <f t="shared" si="42"/>
        <v>2</v>
      </c>
      <c r="Q1411">
        <f>IF(AND(P1411&gt;1,COUNTIF($E$6:E1411,E1411)=1),MAX($Q$5:Q1410)+1,"")</f>
        <v>23</v>
      </c>
      <c r="R1411" t="str">
        <f t="shared" si="43"/>
        <v>LÉGITIME</v>
      </c>
    </row>
    <row r="1412" spans="1:18" ht="22.95" customHeight="1">
      <c r="A1412" t="s">
        <v>3873</v>
      </c>
      <c r="B1412" t="s">
        <v>22</v>
      </c>
      <c r="C1412" t="s">
        <v>1149</v>
      </c>
      <c r="D1412" t="s">
        <v>1150</v>
      </c>
      <c r="E1412" t="s">
        <v>3901</v>
      </c>
      <c r="F1412">
        <v>1</v>
      </c>
      <c r="G1412" t="s">
        <v>92</v>
      </c>
      <c r="I1412" t="s">
        <v>733</v>
      </c>
      <c r="K1412" t="s">
        <v>1324</v>
      </c>
      <c r="L1412" t="s">
        <v>3889</v>
      </c>
      <c r="M1412" t="s">
        <v>62</v>
      </c>
      <c r="P1412">
        <f t="shared" si="42"/>
        <v>1</v>
      </c>
      <c r="Q1412" t="str">
        <f>IF(AND(P1412&gt;1,COUNTIF($E$6:E1412,E1412)=1),MAX($Q$5:Q1411)+1,"")</f>
        <v/>
      </c>
      <c r="R1412" t="str">
        <f t="shared" si="43"/>
        <v/>
      </c>
    </row>
    <row r="1413" spans="1:18" ht="22.95" customHeight="1">
      <c r="A1413" t="s">
        <v>3873</v>
      </c>
      <c r="B1413" t="s">
        <v>22</v>
      </c>
      <c r="C1413" t="s">
        <v>1149</v>
      </c>
      <c r="D1413" t="s">
        <v>1150</v>
      </c>
      <c r="E1413" t="s">
        <v>3902</v>
      </c>
      <c r="F1413">
        <v>1</v>
      </c>
      <c r="G1413" t="s">
        <v>92</v>
      </c>
      <c r="I1413" t="s">
        <v>733</v>
      </c>
      <c r="K1413" t="s">
        <v>1324</v>
      </c>
      <c r="L1413" t="s">
        <v>3889</v>
      </c>
      <c r="M1413" t="s">
        <v>62</v>
      </c>
      <c r="P1413">
        <f t="shared" si="42"/>
        <v>2</v>
      </c>
      <c r="Q1413">
        <f>IF(AND(P1413&gt;1,COUNTIF($E$6:E1413,E1413)=1),MAX($Q$5:Q1412)+1,"")</f>
        <v>24</v>
      </c>
      <c r="R1413" t="str">
        <f t="shared" si="43"/>
        <v>LÉGITIME</v>
      </c>
    </row>
    <row r="1414" spans="1:18" ht="22.95" customHeight="1">
      <c r="A1414" t="s">
        <v>3873</v>
      </c>
      <c r="B1414" t="s">
        <v>22</v>
      </c>
      <c r="C1414" t="s">
        <v>1149</v>
      </c>
      <c r="D1414" t="s">
        <v>1150</v>
      </c>
      <c r="E1414" t="s">
        <v>3903</v>
      </c>
      <c r="F1414">
        <v>1</v>
      </c>
      <c r="G1414" t="s">
        <v>92</v>
      </c>
      <c r="I1414" t="s">
        <v>733</v>
      </c>
      <c r="K1414" t="s">
        <v>1324</v>
      </c>
      <c r="L1414" t="s">
        <v>3889</v>
      </c>
      <c r="M1414" t="s">
        <v>62</v>
      </c>
      <c r="P1414">
        <f t="shared" ref="P1414:P1477" si="44">COUNTIF($E$6:$E$1740,E1414)</f>
        <v>2</v>
      </c>
      <c r="Q1414">
        <f>IF(AND(P1414&gt;1,COUNTIF($E$6:E1414,E1414)=1),MAX($Q$5:Q1413)+1,"")</f>
        <v>25</v>
      </c>
      <c r="R1414" t="str">
        <f t="shared" ref="R1414:R1477" si="45">IF(Q1414="","",IF(COUNTIFS($E$6:$E$1740,E1414,$A$6:$A$1740,A1414,$C$6:$C$1740,C1414)&lt;P1414,"LÉGITIME",IF(COUNTIFS($E$6:$E$1740,E1414,$A$6:$A$1740,A1414,$C$6:$C$1740,C1414,$M$6:$M$1740,M1414)&lt;P1414,"STATUT DIFFÉRENT","VRAI DOUBLON")))</f>
        <v>LÉGITIME</v>
      </c>
    </row>
    <row r="1415" spans="1:18" ht="22.95" customHeight="1">
      <c r="A1415" t="s">
        <v>3873</v>
      </c>
      <c r="B1415" t="s">
        <v>22</v>
      </c>
      <c r="C1415" t="s">
        <v>1149</v>
      </c>
      <c r="D1415" t="s">
        <v>1150</v>
      </c>
      <c r="E1415" t="s">
        <v>3904</v>
      </c>
      <c r="F1415">
        <v>1</v>
      </c>
      <c r="G1415" t="s">
        <v>92</v>
      </c>
      <c r="I1415" t="s">
        <v>733</v>
      </c>
      <c r="K1415" t="s">
        <v>1324</v>
      </c>
      <c r="L1415" t="s">
        <v>3889</v>
      </c>
      <c r="M1415" t="s">
        <v>62</v>
      </c>
      <c r="P1415">
        <f t="shared" si="44"/>
        <v>2</v>
      </c>
      <c r="Q1415">
        <f>IF(AND(P1415&gt;1,COUNTIF($E$6:E1415,E1415)=1),MAX($Q$5:Q1414)+1,"")</f>
        <v>26</v>
      </c>
      <c r="R1415" t="str">
        <f t="shared" si="45"/>
        <v>LÉGITIME</v>
      </c>
    </row>
    <row r="1416" spans="1:18" ht="22.95" customHeight="1">
      <c r="A1416" t="s">
        <v>3873</v>
      </c>
      <c r="B1416" t="s">
        <v>22</v>
      </c>
      <c r="C1416" t="s">
        <v>370</v>
      </c>
      <c r="D1416" t="s">
        <v>371</v>
      </c>
      <c r="E1416" t="s">
        <v>3905</v>
      </c>
      <c r="F1416">
        <v>1</v>
      </c>
      <c r="G1416" t="s">
        <v>92</v>
      </c>
      <c r="I1416" t="s">
        <v>3906</v>
      </c>
      <c r="K1416" t="s">
        <v>3907</v>
      </c>
      <c r="L1416" t="s">
        <v>3908</v>
      </c>
      <c r="M1416" t="s">
        <v>73</v>
      </c>
      <c r="P1416">
        <f t="shared" si="44"/>
        <v>1</v>
      </c>
      <c r="Q1416" t="str">
        <f>IF(AND(P1416&gt;1,COUNTIF($E$6:E1416,E1416)=1),MAX($Q$5:Q1415)+1,"")</f>
        <v/>
      </c>
      <c r="R1416" t="str">
        <f t="shared" si="45"/>
        <v/>
      </c>
    </row>
    <row r="1417" spans="1:18" ht="22.95" customHeight="1">
      <c r="A1417" t="s">
        <v>3873</v>
      </c>
      <c r="B1417" t="s">
        <v>22</v>
      </c>
      <c r="C1417" t="s">
        <v>370</v>
      </c>
      <c r="D1417" t="s">
        <v>371</v>
      </c>
      <c r="E1417" t="s">
        <v>3909</v>
      </c>
      <c r="F1417">
        <v>1</v>
      </c>
      <c r="G1417" t="s">
        <v>92</v>
      </c>
      <c r="I1417" t="s">
        <v>140</v>
      </c>
      <c r="K1417" t="s">
        <v>3910</v>
      </c>
      <c r="L1417" t="s">
        <v>3911</v>
      </c>
      <c r="M1417" t="s">
        <v>73</v>
      </c>
      <c r="P1417">
        <f t="shared" si="44"/>
        <v>1</v>
      </c>
      <c r="Q1417" t="str">
        <f>IF(AND(P1417&gt;1,COUNTIF($E$6:E1417,E1417)=1),MAX($Q$5:Q1416)+1,"")</f>
        <v/>
      </c>
      <c r="R1417" t="str">
        <f t="shared" si="45"/>
        <v/>
      </c>
    </row>
    <row r="1418" spans="1:18" ht="22.95" customHeight="1">
      <c r="A1418" t="s">
        <v>3873</v>
      </c>
      <c r="B1418" t="s">
        <v>22</v>
      </c>
      <c r="C1418" t="s">
        <v>370</v>
      </c>
      <c r="D1418" t="s">
        <v>371</v>
      </c>
      <c r="E1418" t="s">
        <v>3912</v>
      </c>
      <c r="F1418">
        <v>1</v>
      </c>
      <c r="G1418" t="s">
        <v>139</v>
      </c>
      <c r="I1418" t="s">
        <v>3913</v>
      </c>
      <c r="K1418" t="s">
        <v>109</v>
      </c>
      <c r="L1418" t="s">
        <v>3914</v>
      </c>
      <c r="M1418" t="s">
        <v>73</v>
      </c>
      <c r="P1418">
        <f t="shared" si="44"/>
        <v>1</v>
      </c>
      <c r="Q1418" t="str">
        <f>IF(AND(P1418&gt;1,COUNTIF($E$6:E1418,E1418)=1),MAX($Q$5:Q1417)+1,"")</f>
        <v/>
      </c>
      <c r="R1418" t="str">
        <f t="shared" si="45"/>
        <v/>
      </c>
    </row>
    <row r="1419" spans="1:18" ht="22.95" customHeight="1">
      <c r="A1419" t="s">
        <v>3873</v>
      </c>
      <c r="B1419" t="s">
        <v>22</v>
      </c>
      <c r="C1419" t="s">
        <v>370</v>
      </c>
      <c r="D1419" t="s">
        <v>371</v>
      </c>
      <c r="E1419" t="s">
        <v>3915</v>
      </c>
      <c r="F1419">
        <v>1</v>
      </c>
      <c r="G1419" t="s">
        <v>92</v>
      </c>
      <c r="I1419" t="s">
        <v>3916</v>
      </c>
      <c r="J1419" t="s">
        <v>245</v>
      </c>
      <c r="L1419" t="s">
        <v>3917</v>
      </c>
      <c r="M1419" t="s">
        <v>73</v>
      </c>
      <c r="P1419">
        <f t="shared" si="44"/>
        <v>1</v>
      </c>
      <c r="Q1419" t="str">
        <f>IF(AND(P1419&gt;1,COUNTIF($E$6:E1419,E1419)=1),MAX($Q$5:Q1418)+1,"")</f>
        <v/>
      </c>
      <c r="R1419" t="str">
        <f t="shared" si="45"/>
        <v/>
      </c>
    </row>
    <row r="1420" spans="1:18" ht="22.95" customHeight="1">
      <c r="A1420" t="s">
        <v>3873</v>
      </c>
      <c r="B1420" t="s">
        <v>23</v>
      </c>
      <c r="C1420" t="s">
        <v>103</v>
      </c>
      <c r="D1420" t="s">
        <v>104</v>
      </c>
      <c r="E1420" t="s">
        <v>3918</v>
      </c>
      <c r="F1420">
        <v>1</v>
      </c>
      <c r="G1420" t="s">
        <v>386</v>
      </c>
      <c r="H1420" t="s">
        <v>3919</v>
      </c>
      <c r="I1420" t="s">
        <v>112</v>
      </c>
      <c r="K1420" t="s">
        <v>109</v>
      </c>
      <c r="L1420" t="s">
        <v>3920</v>
      </c>
      <c r="M1420" t="s">
        <v>102</v>
      </c>
      <c r="P1420">
        <f t="shared" si="44"/>
        <v>1</v>
      </c>
      <c r="Q1420" t="str">
        <f>IF(AND(P1420&gt;1,COUNTIF($E$6:E1420,E1420)=1),MAX($Q$5:Q1419)+1,"")</f>
        <v/>
      </c>
      <c r="R1420" t="str">
        <f t="shared" si="45"/>
        <v/>
      </c>
    </row>
    <row r="1421" spans="1:18" ht="22.95" customHeight="1">
      <c r="A1421" t="s">
        <v>3873</v>
      </c>
      <c r="B1421" t="s">
        <v>23</v>
      </c>
      <c r="C1421" t="s">
        <v>103</v>
      </c>
      <c r="D1421" t="s">
        <v>104</v>
      </c>
      <c r="E1421" t="s">
        <v>3921</v>
      </c>
      <c r="F1421">
        <v>1</v>
      </c>
      <c r="G1421" t="s">
        <v>386</v>
      </c>
      <c r="H1421" t="s">
        <v>3919</v>
      </c>
      <c r="I1421" t="s">
        <v>112</v>
      </c>
      <c r="K1421" t="s">
        <v>109</v>
      </c>
      <c r="L1421" t="s">
        <v>3922</v>
      </c>
      <c r="M1421" t="s">
        <v>102</v>
      </c>
      <c r="P1421">
        <f t="shared" si="44"/>
        <v>1</v>
      </c>
      <c r="Q1421" t="str">
        <f>IF(AND(P1421&gt;1,COUNTIF($E$6:E1421,E1421)=1),MAX($Q$5:Q1420)+1,"")</f>
        <v/>
      </c>
      <c r="R1421" t="str">
        <f t="shared" si="45"/>
        <v/>
      </c>
    </row>
    <row r="1422" spans="1:18" ht="22.95" customHeight="1">
      <c r="A1422" t="s">
        <v>3873</v>
      </c>
      <c r="B1422" t="s">
        <v>23</v>
      </c>
      <c r="C1422" t="s">
        <v>103</v>
      </c>
      <c r="D1422" t="s">
        <v>104</v>
      </c>
      <c r="E1422" t="s">
        <v>3923</v>
      </c>
      <c r="F1422">
        <v>1</v>
      </c>
      <c r="G1422" t="s">
        <v>386</v>
      </c>
      <c r="H1422" t="s">
        <v>3919</v>
      </c>
      <c r="I1422" t="s">
        <v>112</v>
      </c>
      <c r="K1422" t="s">
        <v>109</v>
      </c>
      <c r="L1422" t="s">
        <v>3922</v>
      </c>
      <c r="M1422" t="s">
        <v>102</v>
      </c>
      <c r="P1422">
        <f t="shared" si="44"/>
        <v>1</v>
      </c>
      <c r="Q1422" t="str">
        <f>IF(AND(P1422&gt;1,COUNTIF($E$6:E1422,E1422)=1),MAX($Q$5:Q1421)+1,"")</f>
        <v/>
      </c>
      <c r="R1422" t="str">
        <f t="shared" si="45"/>
        <v/>
      </c>
    </row>
    <row r="1423" spans="1:18" ht="22.95" customHeight="1">
      <c r="A1423" t="s">
        <v>3873</v>
      </c>
      <c r="B1423" t="s">
        <v>23</v>
      </c>
      <c r="C1423" t="s">
        <v>103</v>
      </c>
      <c r="D1423" t="s">
        <v>104</v>
      </c>
      <c r="E1423" t="s">
        <v>3924</v>
      </c>
      <c r="F1423">
        <v>1</v>
      </c>
      <c r="G1423" t="s">
        <v>139</v>
      </c>
      <c r="I1423" t="s">
        <v>3925</v>
      </c>
      <c r="K1423" t="s">
        <v>109</v>
      </c>
      <c r="L1423" t="s">
        <v>3926</v>
      </c>
      <c r="M1423" t="s">
        <v>73</v>
      </c>
      <c r="P1423">
        <f t="shared" si="44"/>
        <v>1</v>
      </c>
      <c r="Q1423" t="str">
        <f>IF(AND(P1423&gt;1,COUNTIF($E$6:E1423,E1423)=1),MAX($Q$5:Q1422)+1,"")</f>
        <v/>
      </c>
      <c r="R1423" t="str">
        <f t="shared" si="45"/>
        <v/>
      </c>
    </row>
    <row r="1424" spans="1:18" ht="22.95" customHeight="1">
      <c r="A1424" t="s">
        <v>3873</v>
      </c>
      <c r="B1424" t="s">
        <v>25</v>
      </c>
      <c r="C1424" t="s">
        <v>115</v>
      </c>
      <c r="D1424" t="s">
        <v>116</v>
      </c>
      <c r="E1424" t="s">
        <v>3927</v>
      </c>
      <c r="F1424">
        <v>1</v>
      </c>
      <c r="G1424" t="s">
        <v>92</v>
      </c>
      <c r="I1424" t="s">
        <v>3928</v>
      </c>
      <c r="L1424" t="s">
        <v>3929</v>
      </c>
      <c r="M1424" t="s">
        <v>62</v>
      </c>
      <c r="P1424">
        <f t="shared" si="44"/>
        <v>1</v>
      </c>
      <c r="Q1424" t="str">
        <f>IF(AND(P1424&gt;1,COUNTIF($E$6:E1424,E1424)=1),MAX($Q$5:Q1423)+1,"")</f>
        <v/>
      </c>
      <c r="R1424" t="str">
        <f t="shared" si="45"/>
        <v/>
      </c>
    </row>
    <row r="1425" spans="1:18" ht="22.95" customHeight="1">
      <c r="A1425" t="s">
        <v>3873</v>
      </c>
      <c r="B1425" t="s">
        <v>24</v>
      </c>
      <c r="C1425" t="s">
        <v>426</v>
      </c>
      <c r="D1425" t="s">
        <v>427</v>
      </c>
      <c r="E1425" t="s">
        <v>3930</v>
      </c>
      <c r="F1425">
        <v>1</v>
      </c>
      <c r="G1425" t="s">
        <v>3931</v>
      </c>
      <c r="H1425" t="s">
        <v>3932</v>
      </c>
      <c r="I1425" t="s">
        <v>3933</v>
      </c>
      <c r="K1425" t="s">
        <v>3934</v>
      </c>
      <c r="L1425" t="s">
        <v>3935</v>
      </c>
      <c r="M1425" t="s">
        <v>62</v>
      </c>
      <c r="N1425" t="s">
        <v>130</v>
      </c>
      <c r="P1425">
        <f t="shared" si="44"/>
        <v>1</v>
      </c>
      <c r="Q1425" t="str">
        <f>IF(AND(P1425&gt;1,COUNTIF($E$6:E1425,E1425)=1),MAX($Q$5:Q1424)+1,"")</f>
        <v/>
      </c>
      <c r="R1425" t="str">
        <f t="shared" si="45"/>
        <v/>
      </c>
    </row>
    <row r="1426" spans="1:18" ht="22.95" customHeight="1">
      <c r="A1426" t="s">
        <v>3873</v>
      </c>
      <c r="B1426" t="s">
        <v>24</v>
      </c>
      <c r="C1426" t="s">
        <v>426</v>
      </c>
      <c r="D1426" t="s">
        <v>427</v>
      </c>
      <c r="E1426" t="s">
        <v>3936</v>
      </c>
      <c r="F1426">
        <v>1</v>
      </c>
      <c r="G1426" t="s">
        <v>3931</v>
      </c>
      <c r="H1426" t="s">
        <v>3932</v>
      </c>
      <c r="I1426" t="s">
        <v>3933</v>
      </c>
      <c r="K1426" t="s">
        <v>3934</v>
      </c>
      <c r="L1426" t="s">
        <v>3935</v>
      </c>
      <c r="M1426" t="s">
        <v>62</v>
      </c>
      <c r="N1426" t="s">
        <v>130</v>
      </c>
      <c r="P1426">
        <f t="shared" si="44"/>
        <v>1</v>
      </c>
      <c r="Q1426" t="str">
        <f>IF(AND(P1426&gt;1,COUNTIF($E$6:E1426,E1426)=1),MAX($Q$5:Q1425)+1,"")</f>
        <v/>
      </c>
      <c r="R1426" t="str">
        <f t="shared" si="45"/>
        <v/>
      </c>
    </row>
    <row r="1427" spans="1:18" ht="22.95" customHeight="1">
      <c r="A1427" t="s">
        <v>3873</v>
      </c>
      <c r="B1427" t="s">
        <v>24</v>
      </c>
      <c r="C1427" t="s">
        <v>426</v>
      </c>
      <c r="D1427" t="s">
        <v>427</v>
      </c>
      <c r="E1427" t="s">
        <v>3937</v>
      </c>
      <c r="F1427">
        <v>1</v>
      </c>
      <c r="G1427" t="s">
        <v>3931</v>
      </c>
      <c r="H1427" t="s">
        <v>3932</v>
      </c>
      <c r="L1427" t="s">
        <v>3938</v>
      </c>
      <c r="M1427" t="s">
        <v>62</v>
      </c>
      <c r="N1427" t="s">
        <v>712</v>
      </c>
      <c r="P1427">
        <f t="shared" si="44"/>
        <v>1</v>
      </c>
      <c r="Q1427" t="str">
        <f>IF(AND(P1427&gt;1,COUNTIF($E$6:E1427,E1427)=1),MAX($Q$5:Q1426)+1,"")</f>
        <v/>
      </c>
      <c r="R1427" t="str">
        <f t="shared" si="45"/>
        <v/>
      </c>
    </row>
    <row r="1428" spans="1:18" ht="22.95" customHeight="1">
      <c r="A1428" t="s">
        <v>3873</v>
      </c>
      <c r="B1428" t="s">
        <v>24</v>
      </c>
      <c r="C1428" t="s">
        <v>619</v>
      </c>
      <c r="D1428" t="s">
        <v>3340</v>
      </c>
      <c r="E1428" t="s">
        <v>3939</v>
      </c>
      <c r="F1428">
        <v>1</v>
      </c>
      <c r="G1428" t="s">
        <v>92</v>
      </c>
      <c r="I1428" t="s">
        <v>3940</v>
      </c>
      <c r="K1428" t="s">
        <v>109</v>
      </c>
      <c r="L1428" t="s">
        <v>3941</v>
      </c>
      <c r="M1428" t="s">
        <v>62</v>
      </c>
      <c r="N1428" t="s">
        <v>520</v>
      </c>
      <c r="P1428">
        <f t="shared" si="44"/>
        <v>1</v>
      </c>
      <c r="Q1428" t="str">
        <f>IF(AND(P1428&gt;1,COUNTIF($E$6:E1428,E1428)=1),MAX($Q$5:Q1427)+1,"")</f>
        <v/>
      </c>
      <c r="R1428" t="str">
        <f t="shared" si="45"/>
        <v/>
      </c>
    </row>
    <row r="1429" spans="1:18" ht="22.95" customHeight="1">
      <c r="A1429" t="s">
        <v>3873</v>
      </c>
      <c r="B1429" t="s">
        <v>24</v>
      </c>
      <c r="C1429" t="s">
        <v>136</v>
      </c>
      <c r="D1429" t="s">
        <v>674</v>
      </c>
      <c r="E1429" t="s">
        <v>3942</v>
      </c>
      <c r="F1429">
        <v>1</v>
      </c>
      <c r="G1429" t="s">
        <v>92</v>
      </c>
      <c r="I1429" t="s">
        <v>3943</v>
      </c>
      <c r="K1429" t="s">
        <v>109</v>
      </c>
      <c r="L1429" t="s">
        <v>3944</v>
      </c>
      <c r="M1429" t="s">
        <v>102</v>
      </c>
      <c r="P1429">
        <f t="shared" si="44"/>
        <v>1</v>
      </c>
      <c r="Q1429" t="str">
        <f>IF(AND(P1429&gt;1,COUNTIF($E$6:E1429,E1429)=1),MAX($Q$5:Q1428)+1,"")</f>
        <v/>
      </c>
      <c r="R1429" t="str">
        <f t="shared" si="45"/>
        <v/>
      </c>
    </row>
    <row r="1430" spans="1:18" ht="22.95" customHeight="1">
      <c r="A1430" t="s">
        <v>3873</v>
      </c>
      <c r="B1430" t="s">
        <v>24</v>
      </c>
      <c r="C1430" t="s">
        <v>136</v>
      </c>
      <c r="D1430" t="s">
        <v>674</v>
      </c>
      <c r="E1430" t="s">
        <v>3945</v>
      </c>
      <c r="F1430">
        <v>1</v>
      </c>
      <c r="G1430" t="s">
        <v>92</v>
      </c>
      <c r="I1430" t="s">
        <v>3946</v>
      </c>
      <c r="K1430" t="s">
        <v>109</v>
      </c>
      <c r="L1430" t="s">
        <v>3944</v>
      </c>
      <c r="M1430" t="s">
        <v>102</v>
      </c>
      <c r="P1430">
        <f t="shared" si="44"/>
        <v>1</v>
      </c>
      <c r="Q1430" t="str">
        <f>IF(AND(P1430&gt;1,COUNTIF($E$6:E1430,E1430)=1),MAX($Q$5:Q1429)+1,"")</f>
        <v/>
      </c>
      <c r="R1430" t="str">
        <f t="shared" si="45"/>
        <v/>
      </c>
    </row>
    <row r="1431" spans="1:18" ht="22.95" customHeight="1">
      <c r="A1431" t="s">
        <v>3873</v>
      </c>
      <c r="B1431" t="s">
        <v>24</v>
      </c>
      <c r="C1431" t="s">
        <v>136</v>
      </c>
      <c r="D1431" t="s">
        <v>674</v>
      </c>
      <c r="E1431" t="s">
        <v>3947</v>
      </c>
      <c r="F1431">
        <v>1</v>
      </c>
      <c r="G1431" t="s">
        <v>92</v>
      </c>
      <c r="I1431" t="s">
        <v>3948</v>
      </c>
      <c r="K1431" t="s">
        <v>109</v>
      </c>
      <c r="L1431" t="s">
        <v>3944</v>
      </c>
      <c r="M1431" t="s">
        <v>102</v>
      </c>
      <c r="P1431">
        <f t="shared" si="44"/>
        <v>1</v>
      </c>
      <c r="Q1431" t="str">
        <f>IF(AND(P1431&gt;1,COUNTIF($E$6:E1431,E1431)=1),MAX($Q$5:Q1430)+1,"")</f>
        <v/>
      </c>
      <c r="R1431" t="str">
        <f t="shared" si="45"/>
        <v/>
      </c>
    </row>
    <row r="1432" spans="1:18" ht="22.95" customHeight="1">
      <c r="A1432" t="s">
        <v>3873</v>
      </c>
      <c r="B1432" t="s">
        <v>24</v>
      </c>
      <c r="C1432" t="s">
        <v>443</v>
      </c>
      <c r="D1432" t="s">
        <v>444</v>
      </c>
      <c r="E1432" t="s">
        <v>3949</v>
      </c>
      <c r="F1432">
        <v>1</v>
      </c>
      <c r="G1432" t="s">
        <v>92</v>
      </c>
      <c r="I1432" t="s">
        <v>885</v>
      </c>
      <c r="K1432" t="s">
        <v>3950</v>
      </c>
      <c r="L1432" t="s">
        <v>3951</v>
      </c>
      <c r="M1432" t="s">
        <v>62</v>
      </c>
      <c r="N1432" t="s">
        <v>520</v>
      </c>
      <c r="P1432">
        <f t="shared" si="44"/>
        <v>1</v>
      </c>
      <c r="Q1432" t="str">
        <f>IF(AND(P1432&gt;1,COUNTIF($E$6:E1432,E1432)=1),MAX($Q$5:Q1431)+1,"")</f>
        <v/>
      </c>
      <c r="R1432" t="str">
        <f t="shared" si="45"/>
        <v/>
      </c>
    </row>
    <row r="1433" spans="1:18" ht="22.95" customHeight="1">
      <c r="A1433" t="s">
        <v>3873</v>
      </c>
      <c r="B1433" t="s">
        <v>28</v>
      </c>
      <c r="C1433" t="s">
        <v>167</v>
      </c>
      <c r="D1433" t="s">
        <v>168</v>
      </c>
      <c r="E1433" t="s">
        <v>3952</v>
      </c>
      <c r="F1433">
        <v>1</v>
      </c>
      <c r="G1433" t="s">
        <v>3953</v>
      </c>
      <c r="H1433" t="s">
        <v>3760</v>
      </c>
      <c r="I1433" t="s">
        <v>3954</v>
      </c>
      <c r="K1433" t="s">
        <v>109</v>
      </c>
      <c r="L1433" t="s">
        <v>3955</v>
      </c>
      <c r="M1433" t="s">
        <v>73</v>
      </c>
      <c r="P1433">
        <f t="shared" si="44"/>
        <v>1</v>
      </c>
      <c r="Q1433" t="str">
        <f>IF(AND(P1433&gt;1,COUNTIF($E$6:E1433,E1433)=1),MAX($Q$5:Q1432)+1,"")</f>
        <v/>
      </c>
      <c r="R1433" t="str">
        <f t="shared" si="45"/>
        <v/>
      </c>
    </row>
    <row r="1434" spans="1:18" ht="22.95" customHeight="1">
      <c r="A1434" t="s">
        <v>3873</v>
      </c>
      <c r="B1434" t="s">
        <v>28</v>
      </c>
      <c r="C1434" t="s">
        <v>167</v>
      </c>
      <c r="D1434" t="s">
        <v>168</v>
      </c>
      <c r="E1434" t="s">
        <v>3956</v>
      </c>
      <c r="F1434">
        <v>1</v>
      </c>
      <c r="G1434" t="s">
        <v>1627</v>
      </c>
      <c r="I1434" t="s">
        <v>3957</v>
      </c>
      <c r="K1434" t="s">
        <v>78</v>
      </c>
      <c r="L1434" t="s">
        <v>3958</v>
      </c>
      <c r="M1434" t="s">
        <v>73</v>
      </c>
      <c r="P1434">
        <f t="shared" si="44"/>
        <v>1</v>
      </c>
      <c r="Q1434" t="str">
        <f>IF(AND(P1434&gt;1,COUNTIF($E$6:E1434,E1434)=1),MAX($Q$5:Q1433)+1,"")</f>
        <v/>
      </c>
      <c r="R1434" t="str">
        <f t="shared" si="45"/>
        <v/>
      </c>
    </row>
    <row r="1435" spans="1:18" ht="22.95" customHeight="1">
      <c r="A1435" t="s">
        <v>3873</v>
      </c>
      <c r="B1435" t="s">
        <v>28</v>
      </c>
      <c r="C1435" t="s">
        <v>167</v>
      </c>
      <c r="D1435" t="s">
        <v>168</v>
      </c>
      <c r="E1435" t="s">
        <v>3959</v>
      </c>
      <c r="F1435">
        <v>1</v>
      </c>
      <c r="G1435" t="s">
        <v>92</v>
      </c>
      <c r="I1435" t="s">
        <v>3960</v>
      </c>
      <c r="K1435" t="s">
        <v>3961</v>
      </c>
      <c r="L1435" t="s">
        <v>3962</v>
      </c>
      <c r="M1435" t="s">
        <v>73</v>
      </c>
      <c r="P1435">
        <f t="shared" si="44"/>
        <v>1</v>
      </c>
      <c r="Q1435" t="str">
        <f>IF(AND(P1435&gt;1,COUNTIF($E$6:E1435,E1435)=1),MAX($Q$5:Q1434)+1,"")</f>
        <v/>
      </c>
      <c r="R1435" t="str">
        <f t="shared" si="45"/>
        <v/>
      </c>
    </row>
    <row r="1436" spans="1:18" ht="22.95" customHeight="1">
      <c r="A1436" t="s">
        <v>3873</v>
      </c>
      <c r="B1436" t="s">
        <v>28</v>
      </c>
      <c r="C1436" t="s">
        <v>167</v>
      </c>
      <c r="D1436" t="s">
        <v>168</v>
      </c>
      <c r="E1436" t="s">
        <v>3963</v>
      </c>
      <c r="F1436">
        <v>1</v>
      </c>
      <c r="G1436" t="s">
        <v>92</v>
      </c>
      <c r="I1436" t="s">
        <v>3964</v>
      </c>
      <c r="K1436" t="s">
        <v>3961</v>
      </c>
      <c r="L1436" t="s">
        <v>3962</v>
      </c>
      <c r="M1436" t="s">
        <v>73</v>
      </c>
      <c r="P1436">
        <f t="shared" si="44"/>
        <v>1</v>
      </c>
      <c r="Q1436" t="str">
        <f>IF(AND(P1436&gt;1,COUNTIF($E$6:E1436,E1436)=1),MAX($Q$5:Q1435)+1,"")</f>
        <v/>
      </c>
      <c r="R1436" t="str">
        <f t="shared" si="45"/>
        <v/>
      </c>
    </row>
    <row r="1437" spans="1:18" ht="22.95" customHeight="1">
      <c r="A1437" t="s">
        <v>3873</v>
      </c>
      <c r="B1437" t="s">
        <v>27</v>
      </c>
      <c r="C1437" t="s">
        <v>1069</v>
      </c>
      <c r="D1437" t="s">
        <v>3965</v>
      </c>
      <c r="E1437" t="s">
        <v>3966</v>
      </c>
      <c r="F1437">
        <v>1</v>
      </c>
      <c r="G1437" t="s">
        <v>92</v>
      </c>
      <c r="I1437" t="s">
        <v>3967</v>
      </c>
      <c r="K1437" t="s">
        <v>2749</v>
      </c>
      <c r="L1437" t="s">
        <v>3968</v>
      </c>
      <c r="M1437" t="s">
        <v>102</v>
      </c>
      <c r="P1437">
        <f t="shared" si="44"/>
        <v>1</v>
      </c>
      <c r="Q1437" t="str">
        <f>IF(AND(P1437&gt;1,COUNTIF($E$6:E1437,E1437)=1),MAX($Q$5:Q1436)+1,"")</f>
        <v/>
      </c>
      <c r="R1437" t="str">
        <f t="shared" si="45"/>
        <v/>
      </c>
    </row>
    <row r="1438" spans="1:18" ht="22.95" customHeight="1">
      <c r="A1438" t="s">
        <v>3873</v>
      </c>
      <c r="B1438" t="s">
        <v>27</v>
      </c>
      <c r="C1438" t="s">
        <v>1069</v>
      </c>
      <c r="D1438" t="s">
        <v>3965</v>
      </c>
      <c r="E1438" t="s">
        <v>3969</v>
      </c>
      <c r="F1438">
        <v>1</v>
      </c>
      <c r="G1438" t="s">
        <v>92</v>
      </c>
      <c r="I1438" t="s">
        <v>3970</v>
      </c>
      <c r="K1438" t="s">
        <v>2749</v>
      </c>
      <c r="L1438" t="s">
        <v>3968</v>
      </c>
      <c r="M1438" t="s">
        <v>102</v>
      </c>
      <c r="P1438">
        <f t="shared" si="44"/>
        <v>1</v>
      </c>
      <c r="Q1438" t="str">
        <f>IF(AND(P1438&gt;1,COUNTIF($E$6:E1438,E1438)=1),MAX($Q$5:Q1437)+1,"")</f>
        <v/>
      </c>
      <c r="R1438" t="str">
        <f t="shared" si="45"/>
        <v/>
      </c>
    </row>
    <row r="1439" spans="1:18" ht="22.95" customHeight="1">
      <c r="A1439" t="s">
        <v>3873</v>
      </c>
      <c r="B1439" t="s">
        <v>27</v>
      </c>
      <c r="C1439" t="s">
        <v>1069</v>
      </c>
      <c r="D1439" t="s">
        <v>3965</v>
      </c>
      <c r="E1439" t="s">
        <v>3971</v>
      </c>
      <c r="F1439">
        <v>1</v>
      </c>
      <c r="G1439" t="s">
        <v>92</v>
      </c>
      <c r="I1439" t="s">
        <v>3972</v>
      </c>
      <c r="K1439" t="s">
        <v>2749</v>
      </c>
      <c r="L1439" t="s">
        <v>3968</v>
      </c>
      <c r="M1439" t="s">
        <v>102</v>
      </c>
      <c r="P1439">
        <f t="shared" si="44"/>
        <v>1</v>
      </c>
      <c r="Q1439" t="str">
        <f>IF(AND(P1439&gt;1,COUNTIF($E$6:E1439,E1439)=1),MAX($Q$5:Q1438)+1,"")</f>
        <v/>
      </c>
      <c r="R1439" t="str">
        <f t="shared" si="45"/>
        <v/>
      </c>
    </row>
    <row r="1440" spans="1:18" ht="22.95" customHeight="1">
      <c r="A1440" t="s">
        <v>3873</v>
      </c>
      <c r="B1440" t="s">
        <v>27</v>
      </c>
      <c r="C1440" t="s">
        <v>1069</v>
      </c>
      <c r="D1440" t="s">
        <v>3965</v>
      </c>
      <c r="E1440" t="s">
        <v>3973</v>
      </c>
      <c r="F1440">
        <v>1</v>
      </c>
      <c r="G1440" t="s">
        <v>92</v>
      </c>
      <c r="I1440" t="s">
        <v>3974</v>
      </c>
      <c r="K1440" t="s">
        <v>2749</v>
      </c>
      <c r="L1440" t="s">
        <v>3968</v>
      </c>
      <c r="M1440" t="s">
        <v>102</v>
      </c>
      <c r="P1440">
        <f t="shared" si="44"/>
        <v>1</v>
      </c>
      <c r="Q1440" t="str">
        <f>IF(AND(P1440&gt;1,COUNTIF($E$6:E1440,E1440)=1),MAX($Q$5:Q1439)+1,"")</f>
        <v/>
      </c>
      <c r="R1440" t="str">
        <f t="shared" si="45"/>
        <v/>
      </c>
    </row>
    <row r="1441" spans="1:18" ht="22.95" customHeight="1">
      <c r="A1441" t="s">
        <v>3873</v>
      </c>
      <c r="B1441" t="s">
        <v>30</v>
      </c>
      <c r="C1441" t="s">
        <v>180</v>
      </c>
      <c r="D1441" t="s">
        <v>181</v>
      </c>
      <c r="E1441" t="s">
        <v>3975</v>
      </c>
      <c r="F1441">
        <v>1</v>
      </c>
      <c r="G1441" t="s">
        <v>3976</v>
      </c>
      <c r="H1441" t="s">
        <v>3977</v>
      </c>
      <c r="I1441" t="s">
        <v>112</v>
      </c>
      <c r="K1441" t="s">
        <v>109</v>
      </c>
      <c r="L1441" t="s">
        <v>3978</v>
      </c>
      <c r="M1441" t="s">
        <v>73</v>
      </c>
      <c r="P1441">
        <f t="shared" si="44"/>
        <v>1</v>
      </c>
      <c r="Q1441" t="str">
        <f>IF(AND(P1441&gt;1,COUNTIF($E$6:E1441,E1441)=1),MAX($Q$5:Q1440)+1,"")</f>
        <v/>
      </c>
      <c r="R1441" t="str">
        <f t="shared" si="45"/>
        <v/>
      </c>
    </row>
    <row r="1442" spans="1:18" ht="22.95" customHeight="1">
      <c r="A1442" t="s">
        <v>3873</v>
      </c>
      <c r="B1442" t="s">
        <v>30</v>
      </c>
      <c r="C1442" t="s">
        <v>180</v>
      </c>
      <c r="D1442" t="s">
        <v>181</v>
      </c>
      <c r="E1442" t="s">
        <v>3979</v>
      </c>
      <c r="F1442">
        <v>1</v>
      </c>
      <c r="G1442" t="s">
        <v>3980</v>
      </c>
      <c r="H1442" t="s">
        <v>3981</v>
      </c>
      <c r="I1442" t="s">
        <v>3982</v>
      </c>
      <c r="K1442" t="s">
        <v>3983</v>
      </c>
      <c r="L1442" t="s">
        <v>3984</v>
      </c>
      <c r="M1442" t="s">
        <v>73</v>
      </c>
      <c r="P1442">
        <f t="shared" si="44"/>
        <v>1</v>
      </c>
      <c r="Q1442" t="str">
        <f>IF(AND(P1442&gt;1,COUNTIF($E$6:E1442,E1442)=1),MAX($Q$5:Q1441)+1,"")</f>
        <v/>
      </c>
      <c r="R1442" t="str">
        <f t="shared" si="45"/>
        <v/>
      </c>
    </row>
    <row r="1443" spans="1:18" ht="22.95" customHeight="1">
      <c r="A1443" t="s">
        <v>3873</v>
      </c>
      <c r="B1443" t="s">
        <v>30</v>
      </c>
      <c r="C1443" t="s">
        <v>188</v>
      </c>
      <c r="D1443" t="s">
        <v>189</v>
      </c>
      <c r="E1443" t="s">
        <v>3985</v>
      </c>
      <c r="F1443">
        <v>1</v>
      </c>
      <c r="G1443" t="s">
        <v>139</v>
      </c>
      <c r="I1443" t="s">
        <v>140</v>
      </c>
      <c r="L1443" t="s">
        <v>3986</v>
      </c>
      <c r="M1443" t="s">
        <v>73</v>
      </c>
      <c r="P1443">
        <f t="shared" si="44"/>
        <v>1</v>
      </c>
      <c r="Q1443" t="str">
        <f>IF(AND(P1443&gt;1,COUNTIF($E$6:E1443,E1443)=1),MAX($Q$5:Q1442)+1,"")</f>
        <v/>
      </c>
      <c r="R1443" t="str">
        <f t="shared" si="45"/>
        <v/>
      </c>
    </row>
    <row r="1444" spans="1:18" ht="22.95" customHeight="1">
      <c r="A1444" t="s">
        <v>3873</v>
      </c>
      <c r="B1444" t="s">
        <v>30</v>
      </c>
      <c r="C1444" t="s">
        <v>188</v>
      </c>
      <c r="D1444" t="s">
        <v>189</v>
      </c>
      <c r="E1444" t="s">
        <v>3987</v>
      </c>
      <c r="F1444">
        <v>1</v>
      </c>
      <c r="G1444" t="s">
        <v>92</v>
      </c>
      <c r="I1444" t="s">
        <v>3988</v>
      </c>
      <c r="K1444" t="s">
        <v>3989</v>
      </c>
      <c r="L1444" t="s">
        <v>3990</v>
      </c>
      <c r="M1444" t="s">
        <v>102</v>
      </c>
      <c r="P1444">
        <f t="shared" si="44"/>
        <v>1</v>
      </c>
      <c r="Q1444" t="str">
        <f>IF(AND(P1444&gt;1,COUNTIF($E$6:E1444,E1444)=1),MAX($Q$5:Q1443)+1,"")</f>
        <v/>
      </c>
      <c r="R1444" t="str">
        <f t="shared" si="45"/>
        <v/>
      </c>
    </row>
    <row r="1445" spans="1:18" ht="22.95" customHeight="1">
      <c r="A1445" t="s">
        <v>3873</v>
      </c>
      <c r="B1445" t="s">
        <v>26</v>
      </c>
      <c r="C1445" t="s">
        <v>196</v>
      </c>
      <c r="D1445" t="s">
        <v>197</v>
      </c>
      <c r="E1445" t="s">
        <v>3991</v>
      </c>
      <c r="F1445">
        <v>1</v>
      </c>
      <c r="G1445" t="s">
        <v>2192</v>
      </c>
      <c r="H1445" t="s">
        <v>3992</v>
      </c>
      <c r="I1445" t="s">
        <v>112</v>
      </c>
      <c r="K1445" t="s">
        <v>109</v>
      </c>
      <c r="L1445" t="s">
        <v>3993</v>
      </c>
      <c r="M1445" t="s">
        <v>102</v>
      </c>
      <c r="P1445">
        <f t="shared" si="44"/>
        <v>1</v>
      </c>
      <c r="Q1445" t="str">
        <f>IF(AND(P1445&gt;1,COUNTIF($E$6:E1445,E1445)=1),MAX($Q$5:Q1444)+1,"")</f>
        <v/>
      </c>
      <c r="R1445" t="str">
        <f t="shared" si="45"/>
        <v/>
      </c>
    </row>
    <row r="1446" spans="1:18" ht="22.95" customHeight="1">
      <c r="A1446" t="s">
        <v>3873</v>
      </c>
      <c r="B1446" t="s">
        <v>26</v>
      </c>
      <c r="C1446" t="s">
        <v>196</v>
      </c>
      <c r="D1446" t="s">
        <v>197</v>
      </c>
      <c r="E1446" t="s">
        <v>3994</v>
      </c>
      <c r="F1446">
        <v>1</v>
      </c>
      <c r="G1446" t="s">
        <v>2192</v>
      </c>
      <c r="H1446" t="s">
        <v>3992</v>
      </c>
      <c r="I1446" t="s">
        <v>112</v>
      </c>
      <c r="K1446" t="s">
        <v>109</v>
      </c>
      <c r="L1446" t="s">
        <v>3993</v>
      </c>
      <c r="M1446" t="s">
        <v>102</v>
      </c>
      <c r="P1446">
        <f t="shared" si="44"/>
        <v>1</v>
      </c>
      <c r="Q1446" t="str">
        <f>IF(AND(P1446&gt;1,COUNTIF($E$6:E1446,E1446)=1),MAX($Q$5:Q1445)+1,"")</f>
        <v/>
      </c>
      <c r="R1446" t="str">
        <f t="shared" si="45"/>
        <v/>
      </c>
    </row>
    <row r="1447" spans="1:18" ht="22.95" customHeight="1">
      <c r="A1447" t="s">
        <v>3873</v>
      </c>
      <c r="B1447" t="s">
        <v>26</v>
      </c>
      <c r="C1447" t="s">
        <v>196</v>
      </c>
      <c r="D1447" t="s">
        <v>197</v>
      </c>
      <c r="E1447" t="s">
        <v>3995</v>
      </c>
      <c r="F1447">
        <v>1</v>
      </c>
      <c r="G1447" t="s">
        <v>2192</v>
      </c>
      <c r="H1447" t="s">
        <v>3992</v>
      </c>
      <c r="I1447" t="s">
        <v>112</v>
      </c>
      <c r="K1447" t="s">
        <v>109</v>
      </c>
      <c r="L1447" t="s">
        <v>3996</v>
      </c>
      <c r="M1447" t="s">
        <v>62</v>
      </c>
      <c r="N1447" t="s">
        <v>951</v>
      </c>
      <c r="P1447">
        <f t="shared" si="44"/>
        <v>1</v>
      </c>
      <c r="Q1447" t="str">
        <f>IF(AND(P1447&gt;1,COUNTIF($E$6:E1447,E1447)=1),MAX($Q$5:Q1446)+1,"")</f>
        <v/>
      </c>
      <c r="R1447" t="str">
        <f t="shared" si="45"/>
        <v/>
      </c>
    </row>
    <row r="1448" spans="1:18" ht="22.95" customHeight="1">
      <c r="A1448" t="s">
        <v>3873</v>
      </c>
      <c r="B1448" t="s">
        <v>26</v>
      </c>
      <c r="C1448" t="s">
        <v>196</v>
      </c>
      <c r="D1448" t="s">
        <v>197</v>
      </c>
      <c r="E1448" t="s">
        <v>3997</v>
      </c>
      <c r="F1448">
        <v>1</v>
      </c>
      <c r="G1448" t="s">
        <v>2192</v>
      </c>
      <c r="H1448" t="s">
        <v>3992</v>
      </c>
      <c r="I1448" t="s">
        <v>112</v>
      </c>
      <c r="K1448" t="s">
        <v>109</v>
      </c>
      <c r="L1448" t="s">
        <v>3998</v>
      </c>
      <c r="M1448" t="s">
        <v>102</v>
      </c>
      <c r="P1448">
        <f t="shared" si="44"/>
        <v>1</v>
      </c>
      <c r="Q1448" t="str">
        <f>IF(AND(P1448&gt;1,COUNTIF($E$6:E1448,E1448)=1),MAX($Q$5:Q1447)+1,"")</f>
        <v/>
      </c>
      <c r="R1448" t="str">
        <f t="shared" si="45"/>
        <v/>
      </c>
    </row>
    <row r="1449" spans="1:18" ht="22.95" customHeight="1">
      <c r="A1449" t="s">
        <v>3873</v>
      </c>
      <c r="B1449" t="s">
        <v>26</v>
      </c>
      <c r="C1449" t="s">
        <v>196</v>
      </c>
      <c r="D1449" t="s">
        <v>197</v>
      </c>
      <c r="E1449" t="s">
        <v>3999</v>
      </c>
      <c r="F1449">
        <v>1</v>
      </c>
      <c r="G1449" t="s">
        <v>2192</v>
      </c>
      <c r="H1449" t="s">
        <v>3992</v>
      </c>
      <c r="I1449" t="s">
        <v>112</v>
      </c>
      <c r="K1449" t="s">
        <v>109</v>
      </c>
      <c r="L1449" t="s">
        <v>4000</v>
      </c>
      <c r="M1449" t="s">
        <v>62</v>
      </c>
      <c r="N1449" t="s">
        <v>951</v>
      </c>
      <c r="P1449">
        <f t="shared" si="44"/>
        <v>1</v>
      </c>
      <c r="Q1449" t="str">
        <f>IF(AND(P1449&gt;1,COUNTIF($E$6:E1449,E1449)=1),MAX($Q$5:Q1448)+1,"")</f>
        <v/>
      </c>
      <c r="R1449" t="str">
        <f t="shared" si="45"/>
        <v/>
      </c>
    </row>
    <row r="1450" spans="1:18" ht="22.95" customHeight="1">
      <c r="A1450" t="s">
        <v>3873</v>
      </c>
      <c r="B1450" t="s">
        <v>26</v>
      </c>
      <c r="C1450" t="s">
        <v>196</v>
      </c>
      <c r="D1450" t="s">
        <v>197</v>
      </c>
      <c r="E1450" t="s">
        <v>4001</v>
      </c>
      <c r="F1450">
        <v>1</v>
      </c>
      <c r="G1450" t="s">
        <v>4002</v>
      </c>
      <c r="H1450" t="s">
        <v>3797</v>
      </c>
      <c r="I1450" t="s">
        <v>4003</v>
      </c>
      <c r="K1450" t="s">
        <v>109</v>
      </c>
      <c r="L1450" t="s">
        <v>4004</v>
      </c>
      <c r="M1450" t="s">
        <v>62</v>
      </c>
      <c r="N1450" t="s">
        <v>303</v>
      </c>
      <c r="P1450">
        <f t="shared" si="44"/>
        <v>1</v>
      </c>
      <c r="Q1450" t="str">
        <f>IF(AND(P1450&gt;1,COUNTIF($E$6:E1450,E1450)=1),MAX($Q$5:Q1449)+1,"")</f>
        <v/>
      </c>
      <c r="R1450" t="str">
        <f t="shared" si="45"/>
        <v/>
      </c>
    </row>
    <row r="1451" spans="1:18" ht="22.95" customHeight="1">
      <c r="A1451" t="s">
        <v>3873</v>
      </c>
      <c r="B1451" t="s">
        <v>26</v>
      </c>
      <c r="C1451" t="s">
        <v>196</v>
      </c>
      <c r="D1451" t="s">
        <v>197</v>
      </c>
      <c r="E1451" t="s">
        <v>4005</v>
      </c>
      <c r="F1451">
        <v>1</v>
      </c>
      <c r="G1451" t="s">
        <v>92</v>
      </c>
      <c r="I1451" t="s">
        <v>4006</v>
      </c>
      <c r="K1451" t="s">
        <v>406</v>
      </c>
      <c r="L1451" t="s">
        <v>4007</v>
      </c>
      <c r="M1451" t="s">
        <v>102</v>
      </c>
      <c r="P1451">
        <f t="shared" si="44"/>
        <v>1</v>
      </c>
      <c r="Q1451" t="str">
        <f>IF(AND(P1451&gt;1,COUNTIF($E$6:E1451,E1451)=1),MAX($Q$5:Q1450)+1,"")</f>
        <v/>
      </c>
      <c r="R1451" t="str">
        <f t="shared" si="45"/>
        <v/>
      </c>
    </row>
    <row r="1452" spans="1:18" ht="22.95" customHeight="1">
      <c r="A1452" t="s">
        <v>3873</v>
      </c>
      <c r="B1452" t="s">
        <v>33</v>
      </c>
      <c r="C1452" t="s">
        <v>2088</v>
      </c>
      <c r="D1452" t="s">
        <v>660</v>
      </c>
      <c r="E1452" t="s">
        <v>4008</v>
      </c>
      <c r="F1452">
        <v>1</v>
      </c>
      <c r="G1452" t="s">
        <v>92</v>
      </c>
      <c r="I1452" t="s">
        <v>4009</v>
      </c>
      <c r="K1452" t="s">
        <v>109</v>
      </c>
      <c r="L1452" t="s">
        <v>4010</v>
      </c>
      <c r="M1452" t="s">
        <v>73</v>
      </c>
      <c r="P1452">
        <f t="shared" si="44"/>
        <v>1</v>
      </c>
      <c r="Q1452" t="str">
        <f>IF(AND(P1452&gt;1,COUNTIF($E$6:E1452,E1452)=1),MAX($Q$5:Q1451)+1,"")</f>
        <v/>
      </c>
      <c r="R1452" t="str">
        <f t="shared" si="45"/>
        <v/>
      </c>
    </row>
    <row r="1453" spans="1:18" ht="22.95" customHeight="1">
      <c r="A1453" t="s">
        <v>3873</v>
      </c>
      <c r="B1453" t="s">
        <v>33</v>
      </c>
      <c r="C1453" t="s">
        <v>2314</v>
      </c>
      <c r="D1453" t="s">
        <v>2315</v>
      </c>
      <c r="E1453" t="s">
        <v>4011</v>
      </c>
      <c r="F1453">
        <v>1</v>
      </c>
      <c r="G1453" t="s">
        <v>4012</v>
      </c>
      <c r="H1453" t="s">
        <v>4013</v>
      </c>
      <c r="I1453" t="s">
        <v>112</v>
      </c>
      <c r="K1453" t="s">
        <v>78</v>
      </c>
      <c r="L1453" t="s">
        <v>4014</v>
      </c>
      <c r="M1453" t="s">
        <v>73</v>
      </c>
      <c r="P1453">
        <f t="shared" si="44"/>
        <v>1</v>
      </c>
      <c r="Q1453" t="str">
        <f>IF(AND(P1453&gt;1,COUNTIF($E$6:E1453,E1453)=1),MAX($Q$5:Q1452)+1,"")</f>
        <v/>
      </c>
      <c r="R1453" t="str">
        <f t="shared" si="45"/>
        <v/>
      </c>
    </row>
    <row r="1454" spans="1:18" ht="22.95" customHeight="1">
      <c r="A1454" t="s">
        <v>3873</v>
      </c>
      <c r="B1454" t="s">
        <v>33</v>
      </c>
      <c r="C1454" t="s">
        <v>2314</v>
      </c>
      <c r="D1454" t="s">
        <v>2315</v>
      </c>
      <c r="E1454" t="s">
        <v>4015</v>
      </c>
      <c r="F1454">
        <v>1</v>
      </c>
      <c r="G1454" t="s">
        <v>4012</v>
      </c>
      <c r="H1454" t="s">
        <v>4013</v>
      </c>
      <c r="I1454" t="s">
        <v>112</v>
      </c>
      <c r="K1454" t="s">
        <v>78</v>
      </c>
      <c r="L1454" t="s">
        <v>4016</v>
      </c>
      <c r="M1454" t="s">
        <v>62</v>
      </c>
      <c r="P1454">
        <f t="shared" si="44"/>
        <v>1</v>
      </c>
      <c r="Q1454" t="str">
        <f>IF(AND(P1454&gt;1,COUNTIF($E$6:E1454,E1454)=1),MAX($Q$5:Q1453)+1,"")</f>
        <v/>
      </c>
      <c r="R1454" t="str">
        <f t="shared" si="45"/>
        <v/>
      </c>
    </row>
    <row r="1455" spans="1:18" ht="22.95" customHeight="1">
      <c r="A1455" t="s">
        <v>3873</v>
      </c>
      <c r="B1455" t="s">
        <v>33</v>
      </c>
      <c r="C1455" t="s">
        <v>2314</v>
      </c>
      <c r="D1455" t="s">
        <v>2315</v>
      </c>
      <c r="E1455" t="s">
        <v>4017</v>
      </c>
      <c r="F1455">
        <v>1</v>
      </c>
      <c r="G1455" t="s">
        <v>3045</v>
      </c>
      <c r="H1455" t="s">
        <v>3030</v>
      </c>
      <c r="I1455" t="s">
        <v>4018</v>
      </c>
      <c r="L1455" t="s">
        <v>4019</v>
      </c>
      <c r="M1455" t="s">
        <v>102</v>
      </c>
      <c r="P1455">
        <f t="shared" si="44"/>
        <v>1</v>
      </c>
      <c r="Q1455" t="str">
        <f>IF(AND(P1455&gt;1,COUNTIF($E$6:E1455,E1455)=1),MAX($Q$5:Q1454)+1,"")</f>
        <v/>
      </c>
      <c r="R1455" t="str">
        <f t="shared" si="45"/>
        <v/>
      </c>
    </row>
    <row r="1456" spans="1:18" ht="22.95" customHeight="1">
      <c r="A1456" t="s">
        <v>3873</v>
      </c>
      <c r="B1456" t="s">
        <v>33</v>
      </c>
      <c r="C1456" t="s">
        <v>2103</v>
      </c>
      <c r="D1456" t="s">
        <v>2104</v>
      </c>
      <c r="E1456" t="s">
        <v>4020</v>
      </c>
      <c r="F1456">
        <v>1</v>
      </c>
      <c r="G1456" t="s">
        <v>92</v>
      </c>
      <c r="I1456" t="s">
        <v>4021</v>
      </c>
      <c r="K1456" t="s">
        <v>4022</v>
      </c>
      <c r="L1456" t="s">
        <v>4023</v>
      </c>
      <c r="M1456" t="s">
        <v>73</v>
      </c>
      <c r="P1456">
        <f t="shared" si="44"/>
        <v>1</v>
      </c>
      <c r="Q1456" t="str">
        <f>IF(AND(P1456&gt;1,COUNTIF($E$6:E1456,E1456)=1),MAX($Q$5:Q1455)+1,"")</f>
        <v/>
      </c>
      <c r="R1456" t="str">
        <f t="shared" si="45"/>
        <v/>
      </c>
    </row>
    <row r="1457" spans="1:18" ht="22.95" customHeight="1">
      <c r="A1457" t="s">
        <v>3873</v>
      </c>
      <c r="B1457" t="s">
        <v>33</v>
      </c>
      <c r="C1457" t="s">
        <v>2103</v>
      </c>
      <c r="D1457" t="s">
        <v>2104</v>
      </c>
      <c r="E1457" t="s">
        <v>4024</v>
      </c>
      <c r="F1457">
        <v>1</v>
      </c>
      <c r="G1457" t="s">
        <v>92</v>
      </c>
      <c r="I1457" t="s">
        <v>4025</v>
      </c>
      <c r="K1457" t="s">
        <v>4026</v>
      </c>
      <c r="L1457" t="s">
        <v>4023</v>
      </c>
      <c r="M1457" t="s">
        <v>73</v>
      </c>
      <c r="P1457">
        <f t="shared" si="44"/>
        <v>1</v>
      </c>
      <c r="Q1457" t="str">
        <f>IF(AND(P1457&gt;1,COUNTIF($E$6:E1457,E1457)=1),MAX($Q$5:Q1456)+1,"")</f>
        <v/>
      </c>
      <c r="R1457" t="str">
        <f t="shared" si="45"/>
        <v/>
      </c>
    </row>
    <row r="1458" spans="1:18" ht="22.95" customHeight="1">
      <c r="A1458" t="s">
        <v>3873</v>
      </c>
      <c r="B1458" t="s">
        <v>33</v>
      </c>
      <c r="C1458" t="s">
        <v>2103</v>
      </c>
      <c r="D1458" t="s">
        <v>2104</v>
      </c>
      <c r="E1458" t="s">
        <v>4027</v>
      </c>
      <c r="F1458">
        <v>1</v>
      </c>
      <c r="G1458" t="s">
        <v>92</v>
      </c>
      <c r="I1458" t="s">
        <v>4028</v>
      </c>
      <c r="K1458" t="s">
        <v>4029</v>
      </c>
      <c r="L1458" t="s">
        <v>4023</v>
      </c>
      <c r="M1458" t="s">
        <v>73</v>
      </c>
      <c r="P1458">
        <f t="shared" si="44"/>
        <v>1</v>
      </c>
      <c r="Q1458" t="str">
        <f>IF(AND(P1458&gt;1,COUNTIF($E$6:E1458,E1458)=1),MAX($Q$5:Q1457)+1,"")</f>
        <v/>
      </c>
      <c r="R1458" t="str">
        <f t="shared" si="45"/>
        <v/>
      </c>
    </row>
    <row r="1459" spans="1:18" ht="22.95" customHeight="1">
      <c r="A1459" t="s">
        <v>3873</v>
      </c>
      <c r="B1459" t="s">
        <v>33</v>
      </c>
      <c r="C1459" t="s">
        <v>2103</v>
      </c>
      <c r="D1459" t="s">
        <v>2104</v>
      </c>
      <c r="E1459" t="s">
        <v>4030</v>
      </c>
      <c r="F1459">
        <v>1</v>
      </c>
      <c r="G1459" t="s">
        <v>92</v>
      </c>
      <c r="I1459" t="s">
        <v>4031</v>
      </c>
      <c r="K1459" t="s">
        <v>4029</v>
      </c>
      <c r="L1459" t="s">
        <v>4023</v>
      </c>
      <c r="M1459" t="s">
        <v>73</v>
      </c>
      <c r="P1459">
        <f t="shared" si="44"/>
        <v>1</v>
      </c>
      <c r="Q1459" t="str">
        <f>IF(AND(P1459&gt;1,COUNTIF($E$6:E1459,E1459)=1),MAX($Q$5:Q1458)+1,"")</f>
        <v/>
      </c>
      <c r="R1459" t="str">
        <f t="shared" si="45"/>
        <v/>
      </c>
    </row>
    <row r="1460" spans="1:18" ht="22.95" customHeight="1">
      <c r="A1460" t="s">
        <v>3873</v>
      </c>
      <c r="B1460" t="s">
        <v>31</v>
      </c>
      <c r="C1460" t="s">
        <v>491</v>
      </c>
      <c r="D1460" t="s">
        <v>492</v>
      </c>
      <c r="E1460" t="s">
        <v>4032</v>
      </c>
      <c r="F1460">
        <v>1</v>
      </c>
      <c r="G1460" t="s">
        <v>2192</v>
      </c>
      <c r="H1460" t="s">
        <v>3992</v>
      </c>
      <c r="I1460" t="s">
        <v>4033</v>
      </c>
      <c r="K1460" t="s">
        <v>78</v>
      </c>
      <c r="L1460" t="s">
        <v>4034</v>
      </c>
      <c r="M1460" t="s">
        <v>62</v>
      </c>
      <c r="N1460" t="s">
        <v>303</v>
      </c>
      <c r="P1460">
        <f t="shared" si="44"/>
        <v>1</v>
      </c>
      <c r="Q1460" t="str">
        <f>IF(AND(P1460&gt;1,COUNTIF($E$6:E1460,E1460)=1),MAX($Q$5:Q1459)+1,"")</f>
        <v/>
      </c>
      <c r="R1460" t="str">
        <f t="shared" si="45"/>
        <v/>
      </c>
    </row>
    <row r="1461" spans="1:18" ht="22.95" customHeight="1">
      <c r="A1461" t="s">
        <v>3873</v>
      </c>
      <c r="B1461" t="s">
        <v>22</v>
      </c>
      <c r="C1461" t="s">
        <v>370</v>
      </c>
      <c r="D1461" t="s">
        <v>371</v>
      </c>
      <c r="E1461" t="s">
        <v>3899</v>
      </c>
      <c r="F1461">
        <v>1</v>
      </c>
      <c r="G1461" t="s">
        <v>92</v>
      </c>
      <c r="I1461" t="s">
        <v>4035</v>
      </c>
      <c r="K1461" t="s">
        <v>109</v>
      </c>
      <c r="L1461" t="s">
        <v>4036</v>
      </c>
      <c r="M1461" t="s">
        <v>73</v>
      </c>
      <c r="P1461">
        <f t="shared" si="44"/>
        <v>2</v>
      </c>
      <c r="Q1461" t="str">
        <f>IF(AND(P1461&gt;1,COUNTIF($E$6:E1461,E1461)=1),MAX($Q$5:Q1460)+1,"")</f>
        <v/>
      </c>
      <c r="R1461" t="str">
        <f t="shared" si="45"/>
        <v/>
      </c>
    </row>
    <row r="1462" spans="1:18" ht="22.95" customHeight="1">
      <c r="A1462" t="s">
        <v>3873</v>
      </c>
      <c r="B1462" t="s">
        <v>22</v>
      </c>
      <c r="C1462" t="s">
        <v>370</v>
      </c>
      <c r="D1462" t="s">
        <v>371</v>
      </c>
      <c r="E1462" t="s">
        <v>3904</v>
      </c>
      <c r="F1462">
        <v>1</v>
      </c>
      <c r="G1462" t="s">
        <v>92</v>
      </c>
      <c r="I1462" t="s">
        <v>3916</v>
      </c>
      <c r="J1462" t="s">
        <v>245</v>
      </c>
      <c r="L1462" t="s">
        <v>3917</v>
      </c>
      <c r="M1462" t="s">
        <v>73</v>
      </c>
      <c r="P1462">
        <f t="shared" si="44"/>
        <v>2</v>
      </c>
      <c r="Q1462" t="str">
        <f>IF(AND(P1462&gt;1,COUNTIF($E$6:E1462,E1462)=1),MAX($Q$5:Q1461)+1,"")</f>
        <v/>
      </c>
      <c r="R1462" t="str">
        <f t="shared" si="45"/>
        <v/>
      </c>
    </row>
    <row r="1463" spans="1:18" ht="22.95" customHeight="1">
      <c r="A1463" t="s">
        <v>3873</v>
      </c>
      <c r="B1463" t="s">
        <v>22</v>
      </c>
      <c r="C1463" t="s">
        <v>370</v>
      </c>
      <c r="D1463" t="s">
        <v>371</v>
      </c>
      <c r="E1463" t="s">
        <v>3903</v>
      </c>
      <c r="F1463">
        <v>1</v>
      </c>
      <c r="G1463" t="s">
        <v>92</v>
      </c>
      <c r="I1463" t="s">
        <v>3916</v>
      </c>
      <c r="J1463" t="s">
        <v>245</v>
      </c>
      <c r="L1463" t="s">
        <v>3917</v>
      </c>
      <c r="M1463" t="s">
        <v>73</v>
      </c>
      <c r="P1463">
        <f t="shared" si="44"/>
        <v>2</v>
      </c>
      <c r="Q1463" t="str">
        <f>IF(AND(P1463&gt;1,COUNTIF($E$6:E1463,E1463)=1),MAX($Q$5:Q1462)+1,"")</f>
        <v/>
      </c>
      <c r="R1463" t="str">
        <f t="shared" si="45"/>
        <v/>
      </c>
    </row>
    <row r="1464" spans="1:18" ht="22.95" customHeight="1">
      <c r="A1464" t="s">
        <v>3873</v>
      </c>
      <c r="B1464" t="s">
        <v>22</v>
      </c>
      <c r="C1464" t="s">
        <v>370</v>
      </c>
      <c r="D1464" t="s">
        <v>371</v>
      </c>
      <c r="E1464" t="s">
        <v>3902</v>
      </c>
      <c r="F1464">
        <v>1</v>
      </c>
      <c r="G1464" t="s">
        <v>92</v>
      </c>
      <c r="I1464" t="s">
        <v>3916</v>
      </c>
      <c r="J1464" t="s">
        <v>245</v>
      </c>
      <c r="L1464" t="s">
        <v>3917</v>
      </c>
      <c r="M1464" t="s">
        <v>73</v>
      </c>
      <c r="P1464">
        <f t="shared" si="44"/>
        <v>2</v>
      </c>
      <c r="Q1464" t="str">
        <f>IF(AND(P1464&gt;1,COUNTIF($E$6:E1464,E1464)=1),MAX($Q$5:Q1463)+1,"")</f>
        <v/>
      </c>
      <c r="R1464" t="str">
        <f t="shared" si="45"/>
        <v/>
      </c>
    </row>
    <row r="1465" spans="1:18" ht="22.95" customHeight="1">
      <c r="A1465" t="s">
        <v>3873</v>
      </c>
      <c r="B1465" t="s">
        <v>22</v>
      </c>
      <c r="C1465" t="s">
        <v>370</v>
      </c>
      <c r="D1465" t="s">
        <v>371</v>
      </c>
      <c r="E1465" t="s">
        <v>3900</v>
      </c>
      <c r="F1465">
        <v>1</v>
      </c>
      <c r="G1465" t="s">
        <v>92</v>
      </c>
      <c r="I1465" t="s">
        <v>3916</v>
      </c>
      <c r="J1465" t="s">
        <v>245</v>
      </c>
      <c r="L1465" t="s">
        <v>3917</v>
      </c>
      <c r="M1465" t="s">
        <v>73</v>
      </c>
      <c r="P1465">
        <f t="shared" si="44"/>
        <v>2</v>
      </c>
      <c r="Q1465" t="str">
        <f>IF(AND(P1465&gt;1,COUNTIF($E$6:E1465,E1465)=1),MAX($Q$5:Q1464)+1,"")</f>
        <v/>
      </c>
      <c r="R1465" t="str">
        <f t="shared" si="45"/>
        <v/>
      </c>
    </row>
    <row r="1466" spans="1:18" ht="22.95" customHeight="1">
      <c r="A1466" t="s">
        <v>3873</v>
      </c>
      <c r="B1466" t="s">
        <v>22</v>
      </c>
      <c r="C1466" t="s">
        <v>370</v>
      </c>
      <c r="D1466" t="s">
        <v>371</v>
      </c>
      <c r="E1466" t="s">
        <v>3894</v>
      </c>
      <c r="F1466">
        <v>1</v>
      </c>
      <c r="G1466" t="s">
        <v>92</v>
      </c>
      <c r="I1466" t="s">
        <v>3916</v>
      </c>
      <c r="J1466" t="s">
        <v>245</v>
      </c>
      <c r="L1466" t="s">
        <v>3917</v>
      </c>
      <c r="M1466" t="s">
        <v>73</v>
      </c>
      <c r="P1466">
        <f t="shared" si="44"/>
        <v>2</v>
      </c>
      <c r="Q1466" t="str">
        <f>IF(AND(P1466&gt;1,COUNTIF($E$6:E1466,E1466)=1),MAX($Q$5:Q1465)+1,"")</f>
        <v/>
      </c>
      <c r="R1466" t="str">
        <f t="shared" si="45"/>
        <v/>
      </c>
    </row>
    <row r="1467" spans="1:18" ht="22.95" customHeight="1">
      <c r="A1467" t="s">
        <v>3873</v>
      </c>
      <c r="B1467" t="s">
        <v>22</v>
      </c>
      <c r="C1467" t="s">
        <v>370</v>
      </c>
      <c r="D1467" t="s">
        <v>371</v>
      </c>
      <c r="E1467" t="s">
        <v>3893</v>
      </c>
      <c r="F1467">
        <v>1</v>
      </c>
      <c r="G1467" t="s">
        <v>92</v>
      </c>
      <c r="I1467" t="s">
        <v>3916</v>
      </c>
      <c r="J1467" t="s">
        <v>245</v>
      </c>
      <c r="L1467" t="s">
        <v>3917</v>
      </c>
      <c r="M1467" t="s">
        <v>73</v>
      </c>
      <c r="P1467">
        <f t="shared" si="44"/>
        <v>2</v>
      </c>
      <c r="Q1467" t="str">
        <f>IF(AND(P1467&gt;1,COUNTIF($E$6:E1467,E1467)=1),MAX($Q$5:Q1466)+1,"")</f>
        <v/>
      </c>
      <c r="R1467" t="str">
        <f t="shared" si="45"/>
        <v/>
      </c>
    </row>
    <row r="1468" spans="1:18" ht="22.95" customHeight="1">
      <c r="A1468" t="s">
        <v>3873</v>
      </c>
      <c r="B1468" t="s">
        <v>22</v>
      </c>
      <c r="C1468" t="s">
        <v>370</v>
      </c>
      <c r="D1468" t="s">
        <v>371</v>
      </c>
      <c r="E1468" t="s">
        <v>3891</v>
      </c>
      <c r="F1468">
        <v>1</v>
      </c>
      <c r="G1468" t="s">
        <v>92</v>
      </c>
      <c r="I1468" t="s">
        <v>3916</v>
      </c>
      <c r="J1468" t="s">
        <v>245</v>
      </c>
      <c r="L1468" t="s">
        <v>3917</v>
      </c>
      <c r="M1468" t="s">
        <v>73</v>
      </c>
      <c r="P1468">
        <f t="shared" si="44"/>
        <v>2</v>
      </c>
      <c r="Q1468" t="str">
        <f>IF(AND(P1468&gt;1,COUNTIF($E$6:E1468,E1468)=1),MAX($Q$5:Q1467)+1,"")</f>
        <v/>
      </c>
      <c r="R1468" t="str">
        <f t="shared" si="45"/>
        <v/>
      </c>
    </row>
    <row r="1469" spans="1:18" ht="22.95" customHeight="1">
      <c r="A1469" t="s">
        <v>3873</v>
      </c>
      <c r="B1469" t="s">
        <v>22</v>
      </c>
      <c r="C1469" t="s">
        <v>370</v>
      </c>
      <c r="D1469" t="s">
        <v>371</v>
      </c>
      <c r="E1469" t="s">
        <v>3892</v>
      </c>
      <c r="F1469">
        <v>1</v>
      </c>
      <c r="G1469" t="s">
        <v>92</v>
      </c>
      <c r="I1469" t="s">
        <v>3916</v>
      </c>
      <c r="J1469" t="s">
        <v>245</v>
      </c>
      <c r="L1469" t="s">
        <v>3917</v>
      </c>
      <c r="M1469" t="s">
        <v>73</v>
      </c>
      <c r="P1469">
        <f t="shared" si="44"/>
        <v>2</v>
      </c>
      <c r="Q1469" t="str">
        <f>IF(AND(P1469&gt;1,COUNTIF($E$6:E1469,E1469)=1),MAX($Q$5:Q1468)+1,"")</f>
        <v/>
      </c>
      <c r="R1469" t="str">
        <f t="shared" si="45"/>
        <v/>
      </c>
    </row>
    <row r="1470" spans="1:18" ht="22.95" customHeight="1">
      <c r="A1470" t="s">
        <v>3873</v>
      </c>
      <c r="B1470" t="s">
        <v>22</v>
      </c>
      <c r="C1470" t="s">
        <v>370</v>
      </c>
      <c r="D1470" t="s">
        <v>371</v>
      </c>
      <c r="E1470" t="s">
        <v>3890</v>
      </c>
      <c r="F1470">
        <v>1</v>
      </c>
      <c r="G1470" t="s">
        <v>92</v>
      </c>
      <c r="I1470" t="s">
        <v>3916</v>
      </c>
      <c r="J1470" t="s">
        <v>245</v>
      </c>
      <c r="L1470" t="s">
        <v>3917</v>
      </c>
      <c r="M1470" t="s">
        <v>73</v>
      </c>
      <c r="P1470">
        <f t="shared" si="44"/>
        <v>2</v>
      </c>
      <c r="Q1470" t="str">
        <f>IF(AND(P1470&gt;1,COUNTIF($E$6:E1470,E1470)=1),MAX($Q$5:Q1469)+1,"")</f>
        <v/>
      </c>
      <c r="R1470" t="str">
        <f t="shared" si="45"/>
        <v/>
      </c>
    </row>
    <row r="1471" spans="1:18" ht="22.95" customHeight="1">
      <c r="A1471" t="s">
        <v>3873</v>
      </c>
      <c r="B1471" t="s">
        <v>22</v>
      </c>
      <c r="C1471" t="s">
        <v>370</v>
      </c>
      <c r="D1471" t="s">
        <v>371</v>
      </c>
      <c r="E1471" t="s">
        <v>3888</v>
      </c>
      <c r="F1471">
        <v>1</v>
      </c>
      <c r="G1471" t="s">
        <v>92</v>
      </c>
      <c r="I1471" t="s">
        <v>3916</v>
      </c>
      <c r="J1471" t="s">
        <v>245</v>
      </c>
      <c r="L1471" t="s">
        <v>3917</v>
      </c>
      <c r="M1471" t="s">
        <v>73</v>
      </c>
      <c r="P1471">
        <f t="shared" si="44"/>
        <v>2</v>
      </c>
      <c r="Q1471" t="str">
        <f>IF(AND(P1471&gt;1,COUNTIF($E$6:E1471,E1471)=1),MAX($Q$5:Q1470)+1,"")</f>
        <v/>
      </c>
      <c r="R1471" t="str">
        <f t="shared" si="45"/>
        <v/>
      </c>
    </row>
    <row r="1472" spans="1:18" ht="22.95" customHeight="1">
      <c r="A1472" t="s">
        <v>4037</v>
      </c>
      <c r="B1472" t="s">
        <v>23</v>
      </c>
      <c r="C1472" t="s">
        <v>103</v>
      </c>
      <c r="D1472" t="s">
        <v>104</v>
      </c>
      <c r="E1472" t="s">
        <v>4038</v>
      </c>
      <c r="F1472">
        <v>1</v>
      </c>
      <c r="G1472" t="s">
        <v>4039</v>
      </c>
      <c r="H1472" t="s">
        <v>4040</v>
      </c>
      <c r="I1472" t="s">
        <v>4041</v>
      </c>
      <c r="L1472" t="s">
        <v>4042</v>
      </c>
      <c r="M1472" t="s">
        <v>73</v>
      </c>
      <c r="P1472">
        <f t="shared" si="44"/>
        <v>1</v>
      </c>
      <c r="Q1472" t="str">
        <f>IF(AND(P1472&gt;1,COUNTIF($E$6:E1472,E1472)=1),MAX($Q$5:Q1471)+1,"")</f>
        <v/>
      </c>
      <c r="R1472" t="str">
        <f t="shared" si="45"/>
        <v/>
      </c>
    </row>
    <row r="1473" spans="1:18" ht="22.95" customHeight="1">
      <c r="A1473" t="s">
        <v>4037</v>
      </c>
      <c r="B1473" t="s">
        <v>23</v>
      </c>
      <c r="C1473" t="s">
        <v>103</v>
      </c>
      <c r="D1473" t="s">
        <v>104</v>
      </c>
      <c r="E1473" t="s">
        <v>4043</v>
      </c>
      <c r="F1473">
        <v>1</v>
      </c>
      <c r="G1473" t="s">
        <v>4039</v>
      </c>
      <c r="H1473" t="s">
        <v>4040</v>
      </c>
      <c r="I1473" t="s">
        <v>4044</v>
      </c>
      <c r="L1473" t="s">
        <v>4042</v>
      </c>
      <c r="M1473" t="s">
        <v>73</v>
      </c>
      <c r="P1473">
        <f t="shared" si="44"/>
        <v>1</v>
      </c>
      <c r="Q1473" t="str">
        <f>IF(AND(P1473&gt;1,COUNTIF($E$6:E1473,E1473)=1),MAX($Q$5:Q1472)+1,"")</f>
        <v/>
      </c>
      <c r="R1473" t="str">
        <f t="shared" si="45"/>
        <v/>
      </c>
    </row>
    <row r="1474" spans="1:18" ht="22.95" customHeight="1">
      <c r="A1474" t="s">
        <v>4037</v>
      </c>
      <c r="B1474" t="s">
        <v>25</v>
      </c>
      <c r="C1474" t="s">
        <v>3299</v>
      </c>
      <c r="D1474" t="s">
        <v>698</v>
      </c>
      <c r="E1474" t="s">
        <v>4045</v>
      </c>
      <c r="F1474">
        <v>1</v>
      </c>
      <c r="G1474" t="s">
        <v>92</v>
      </c>
      <c r="I1474" t="s">
        <v>4046</v>
      </c>
      <c r="K1474" t="s">
        <v>109</v>
      </c>
      <c r="L1474" t="s">
        <v>4047</v>
      </c>
      <c r="M1474" t="s">
        <v>102</v>
      </c>
      <c r="P1474">
        <f t="shared" si="44"/>
        <v>1</v>
      </c>
      <c r="Q1474" t="str">
        <f>IF(AND(P1474&gt;1,COUNTIF($E$6:E1474,E1474)=1),MAX($Q$5:Q1473)+1,"")</f>
        <v/>
      </c>
      <c r="R1474" t="str">
        <f t="shared" si="45"/>
        <v/>
      </c>
    </row>
    <row r="1475" spans="1:18" ht="22.95" customHeight="1">
      <c r="A1475" t="s">
        <v>4037</v>
      </c>
      <c r="B1475" t="s">
        <v>24</v>
      </c>
      <c r="C1475" t="s">
        <v>426</v>
      </c>
      <c r="D1475" t="s">
        <v>427</v>
      </c>
      <c r="E1475" t="s">
        <v>4048</v>
      </c>
      <c r="F1475">
        <v>1</v>
      </c>
      <c r="G1475" t="s">
        <v>1863</v>
      </c>
      <c r="H1475" t="s">
        <v>4049</v>
      </c>
      <c r="I1475" t="s">
        <v>4050</v>
      </c>
      <c r="K1475" t="s">
        <v>4051</v>
      </c>
      <c r="L1475" t="s">
        <v>4052</v>
      </c>
      <c r="M1475" t="s">
        <v>62</v>
      </c>
      <c r="N1475" t="s">
        <v>130</v>
      </c>
      <c r="P1475">
        <f t="shared" si="44"/>
        <v>1</v>
      </c>
      <c r="Q1475" t="str">
        <f>IF(AND(P1475&gt;1,COUNTIF($E$6:E1475,E1475)=1),MAX($Q$5:Q1474)+1,"")</f>
        <v/>
      </c>
      <c r="R1475" t="str">
        <f t="shared" si="45"/>
        <v/>
      </c>
    </row>
    <row r="1476" spans="1:18" ht="22.95" customHeight="1">
      <c r="A1476" t="s">
        <v>4037</v>
      </c>
      <c r="B1476" t="s">
        <v>24</v>
      </c>
      <c r="C1476" t="s">
        <v>426</v>
      </c>
      <c r="D1476" t="s">
        <v>427</v>
      </c>
      <c r="E1476" t="s">
        <v>4053</v>
      </c>
      <c r="F1476">
        <v>1</v>
      </c>
      <c r="G1476" t="s">
        <v>1863</v>
      </c>
      <c r="H1476" t="s">
        <v>4049</v>
      </c>
      <c r="I1476" t="s">
        <v>4054</v>
      </c>
      <c r="K1476" t="s">
        <v>4051</v>
      </c>
      <c r="L1476" t="s">
        <v>4052</v>
      </c>
      <c r="M1476" t="s">
        <v>62</v>
      </c>
      <c r="N1476" t="s">
        <v>130</v>
      </c>
      <c r="P1476">
        <f t="shared" si="44"/>
        <v>1</v>
      </c>
      <c r="Q1476" t="str">
        <f>IF(AND(P1476&gt;1,COUNTIF($E$6:E1476,E1476)=1),MAX($Q$5:Q1475)+1,"")</f>
        <v/>
      </c>
      <c r="R1476" t="str">
        <f t="shared" si="45"/>
        <v/>
      </c>
    </row>
    <row r="1477" spans="1:18" ht="22.95" customHeight="1">
      <c r="A1477" t="s">
        <v>4037</v>
      </c>
      <c r="B1477" t="s">
        <v>24</v>
      </c>
      <c r="C1477" t="s">
        <v>426</v>
      </c>
      <c r="D1477" t="s">
        <v>427</v>
      </c>
      <c r="E1477" t="s">
        <v>4055</v>
      </c>
      <c r="F1477">
        <v>1</v>
      </c>
      <c r="G1477" t="s">
        <v>1863</v>
      </c>
      <c r="H1477" t="s">
        <v>4049</v>
      </c>
      <c r="I1477" t="s">
        <v>4056</v>
      </c>
      <c r="K1477" t="s">
        <v>4051</v>
      </c>
      <c r="L1477" t="s">
        <v>4057</v>
      </c>
      <c r="M1477" t="s">
        <v>62</v>
      </c>
      <c r="N1477" t="s">
        <v>130</v>
      </c>
      <c r="P1477">
        <f t="shared" si="44"/>
        <v>1</v>
      </c>
      <c r="Q1477" t="str">
        <f>IF(AND(P1477&gt;1,COUNTIF($E$6:E1477,E1477)=1),MAX($Q$5:Q1476)+1,"")</f>
        <v/>
      </c>
      <c r="R1477" t="str">
        <f t="shared" si="45"/>
        <v/>
      </c>
    </row>
    <row r="1478" spans="1:18" ht="22.95" customHeight="1">
      <c r="A1478" t="s">
        <v>4037</v>
      </c>
      <c r="B1478" t="s">
        <v>24</v>
      </c>
      <c r="C1478" t="s">
        <v>426</v>
      </c>
      <c r="D1478" t="s">
        <v>427</v>
      </c>
      <c r="E1478" t="s">
        <v>4058</v>
      </c>
      <c r="F1478">
        <v>1</v>
      </c>
      <c r="G1478" t="s">
        <v>1863</v>
      </c>
      <c r="H1478" t="s">
        <v>4049</v>
      </c>
      <c r="I1478" t="s">
        <v>4059</v>
      </c>
      <c r="K1478" t="s">
        <v>109</v>
      </c>
      <c r="L1478" t="s">
        <v>4060</v>
      </c>
      <c r="M1478" t="s">
        <v>62</v>
      </c>
      <c r="N1478" t="s">
        <v>130</v>
      </c>
      <c r="P1478">
        <f t="shared" ref="P1478:P1541" si="46">COUNTIF($E$6:$E$1740,E1478)</f>
        <v>1</v>
      </c>
      <c r="Q1478" t="str">
        <f>IF(AND(P1478&gt;1,COUNTIF($E$6:E1478,E1478)=1),MAX($Q$5:Q1477)+1,"")</f>
        <v/>
      </c>
      <c r="R1478" t="str">
        <f t="shared" ref="R1478:R1541" si="47">IF(Q1478="","",IF(COUNTIFS($E$6:$E$1740,E1478,$A$6:$A$1740,A1478,$C$6:$C$1740,C1478)&lt;P1478,"LÉGITIME",IF(COUNTIFS($E$6:$E$1740,E1478,$A$6:$A$1740,A1478,$C$6:$C$1740,C1478,$M$6:$M$1740,M1478)&lt;P1478,"STATUT DIFFÉRENT","VRAI DOUBLON")))</f>
        <v/>
      </c>
    </row>
    <row r="1479" spans="1:18" ht="22.95" customHeight="1">
      <c r="A1479" t="s">
        <v>4037</v>
      </c>
      <c r="B1479" t="s">
        <v>24</v>
      </c>
      <c r="C1479" t="s">
        <v>431</v>
      </c>
      <c r="D1479" t="s">
        <v>216</v>
      </c>
      <c r="E1479" t="s">
        <v>4061</v>
      </c>
      <c r="F1479">
        <v>1</v>
      </c>
      <c r="G1479" t="s">
        <v>92</v>
      </c>
      <c r="I1479" t="s">
        <v>4062</v>
      </c>
      <c r="K1479" t="s">
        <v>4063</v>
      </c>
      <c r="L1479" t="s">
        <v>4064</v>
      </c>
      <c r="M1479" t="s">
        <v>102</v>
      </c>
      <c r="P1479">
        <f t="shared" si="46"/>
        <v>1</v>
      </c>
      <c r="Q1479" t="str">
        <f>IF(AND(P1479&gt;1,COUNTIF($E$6:E1479,E1479)=1),MAX($Q$5:Q1478)+1,"")</f>
        <v/>
      </c>
      <c r="R1479" t="str">
        <f t="shared" si="47"/>
        <v/>
      </c>
    </row>
    <row r="1480" spans="1:18" ht="22.95" customHeight="1">
      <c r="A1480" t="s">
        <v>4037</v>
      </c>
      <c r="B1480" t="s">
        <v>24</v>
      </c>
      <c r="C1480" t="s">
        <v>431</v>
      </c>
      <c r="D1480" t="s">
        <v>216</v>
      </c>
      <c r="E1480" t="s">
        <v>4065</v>
      </c>
      <c r="F1480">
        <v>1</v>
      </c>
      <c r="G1480" t="s">
        <v>92</v>
      </c>
      <c r="I1480" t="s">
        <v>1389</v>
      </c>
      <c r="K1480" t="s">
        <v>4063</v>
      </c>
      <c r="L1480" t="s">
        <v>4064</v>
      </c>
      <c r="M1480" t="s">
        <v>102</v>
      </c>
      <c r="P1480">
        <f t="shared" si="46"/>
        <v>1</v>
      </c>
      <c r="Q1480" t="str">
        <f>IF(AND(P1480&gt;1,COUNTIF($E$6:E1480,E1480)=1),MAX($Q$5:Q1479)+1,"")</f>
        <v/>
      </c>
      <c r="R1480" t="str">
        <f t="shared" si="47"/>
        <v/>
      </c>
    </row>
    <row r="1481" spans="1:18" ht="22.95" customHeight="1">
      <c r="A1481" t="s">
        <v>4037</v>
      </c>
      <c r="B1481" t="s">
        <v>24</v>
      </c>
      <c r="C1481" t="s">
        <v>436</v>
      </c>
      <c r="D1481" t="s">
        <v>437</v>
      </c>
      <c r="E1481" t="s">
        <v>4066</v>
      </c>
      <c r="F1481">
        <v>1</v>
      </c>
      <c r="G1481" t="s">
        <v>92</v>
      </c>
      <c r="I1481" t="s">
        <v>4067</v>
      </c>
      <c r="K1481" t="s">
        <v>406</v>
      </c>
      <c r="L1481" t="s">
        <v>4068</v>
      </c>
      <c r="M1481" t="s">
        <v>102</v>
      </c>
      <c r="P1481">
        <f t="shared" si="46"/>
        <v>1</v>
      </c>
      <c r="Q1481" t="str">
        <f>IF(AND(P1481&gt;1,COUNTIF($E$6:E1481,E1481)=1),MAX($Q$5:Q1480)+1,"")</f>
        <v/>
      </c>
      <c r="R1481" t="str">
        <f t="shared" si="47"/>
        <v/>
      </c>
    </row>
    <row r="1482" spans="1:18" ht="22.95" customHeight="1">
      <c r="A1482" t="s">
        <v>4037</v>
      </c>
      <c r="B1482" t="s">
        <v>24</v>
      </c>
      <c r="C1482" t="s">
        <v>443</v>
      </c>
      <c r="D1482" t="s">
        <v>444</v>
      </c>
      <c r="E1482" t="s">
        <v>4069</v>
      </c>
      <c r="F1482">
        <v>1</v>
      </c>
      <c r="G1482" t="s">
        <v>139</v>
      </c>
      <c r="I1482" t="s">
        <v>112</v>
      </c>
      <c r="L1482" t="s">
        <v>4070</v>
      </c>
      <c r="M1482" t="s">
        <v>102</v>
      </c>
      <c r="P1482">
        <f t="shared" si="46"/>
        <v>1</v>
      </c>
      <c r="Q1482" t="str">
        <f>IF(AND(P1482&gt;1,COUNTIF($E$6:E1482,E1482)=1),MAX($Q$5:Q1481)+1,"")</f>
        <v/>
      </c>
      <c r="R1482" t="str">
        <f t="shared" si="47"/>
        <v/>
      </c>
    </row>
    <row r="1483" spans="1:18" ht="22.95" customHeight="1">
      <c r="A1483" t="s">
        <v>4037</v>
      </c>
      <c r="B1483" t="s">
        <v>24</v>
      </c>
      <c r="C1483" t="s">
        <v>443</v>
      </c>
      <c r="D1483" t="s">
        <v>444</v>
      </c>
      <c r="E1483" t="s">
        <v>4071</v>
      </c>
      <c r="F1483">
        <v>1</v>
      </c>
      <c r="G1483" t="s">
        <v>92</v>
      </c>
      <c r="I1483" t="s">
        <v>4072</v>
      </c>
      <c r="J1483" t="s">
        <v>99</v>
      </c>
      <c r="L1483" t="s">
        <v>4073</v>
      </c>
      <c r="M1483" t="s">
        <v>102</v>
      </c>
      <c r="P1483">
        <f t="shared" si="46"/>
        <v>1</v>
      </c>
      <c r="Q1483" t="str">
        <f>IF(AND(P1483&gt;1,COUNTIF($E$6:E1483,E1483)=1),MAX($Q$5:Q1482)+1,"")</f>
        <v/>
      </c>
      <c r="R1483" t="str">
        <f t="shared" si="47"/>
        <v/>
      </c>
    </row>
    <row r="1484" spans="1:18" ht="22.95" customHeight="1">
      <c r="A1484" t="s">
        <v>4037</v>
      </c>
      <c r="B1484" t="s">
        <v>28</v>
      </c>
      <c r="C1484" t="s">
        <v>146</v>
      </c>
      <c r="D1484" t="s">
        <v>147</v>
      </c>
      <c r="E1484" t="s">
        <v>4074</v>
      </c>
      <c r="F1484">
        <v>1</v>
      </c>
      <c r="G1484" t="s">
        <v>2432</v>
      </c>
      <c r="H1484" t="s">
        <v>1710</v>
      </c>
      <c r="I1484" t="s">
        <v>112</v>
      </c>
      <c r="K1484" t="s">
        <v>406</v>
      </c>
      <c r="L1484" t="s">
        <v>4075</v>
      </c>
      <c r="M1484" t="s">
        <v>62</v>
      </c>
      <c r="N1484" t="s">
        <v>130</v>
      </c>
      <c r="P1484">
        <f t="shared" si="46"/>
        <v>1</v>
      </c>
      <c r="Q1484" t="str">
        <f>IF(AND(P1484&gt;1,COUNTIF($E$6:E1484,E1484)=1),MAX($Q$5:Q1483)+1,"")</f>
        <v/>
      </c>
      <c r="R1484" t="str">
        <f t="shared" si="47"/>
        <v/>
      </c>
    </row>
    <row r="1485" spans="1:18" ht="22.95" customHeight="1">
      <c r="A1485" t="s">
        <v>4037</v>
      </c>
      <c r="B1485" t="s">
        <v>27</v>
      </c>
      <c r="C1485" t="s">
        <v>475</v>
      </c>
      <c r="D1485" t="s">
        <v>3965</v>
      </c>
      <c r="E1485" t="s">
        <v>139</v>
      </c>
      <c r="F1485">
        <v>1</v>
      </c>
      <c r="I1485" t="s">
        <v>112</v>
      </c>
      <c r="K1485" t="s">
        <v>109</v>
      </c>
      <c r="L1485" t="s">
        <v>4076</v>
      </c>
      <c r="M1485" t="s">
        <v>73</v>
      </c>
      <c r="P1485">
        <f t="shared" si="46"/>
        <v>1</v>
      </c>
      <c r="Q1485" t="str">
        <f>IF(AND(P1485&gt;1,COUNTIF($E$6:E1485,E1485)=1),MAX($Q$5:Q1484)+1,"")</f>
        <v/>
      </c>
      <c r="R1485" t="str">
        <f t="shared" si="47"/>
        <v/>
      </c>
    </row>
    <row r="1486" spans="1:18" ht="22.95" customHeight="1">
      <c r="A1486" t="s">
        <v>4037</v>
      </c>
      <c r="B1486" t="s">
        <v>27</v>
      </c>
      <c r="C1486" t="s">
        <v>475</v>
      </c>
      <c r="D1486" t="s">
        <v>3965</v>
      </c>
      <c r="E1486" t="s">
        <v>4077</v>
      </c>
      <c r="F1486">
        <v>1</v>
      </c>
      <c r="G1486" t="s">
        <v>92</v>
      </c>
      <c r="I1486" t="s">
        <v>4078</v>
      </c>
      <c r="K1486" t="s">
        <v>109</v>
      </c>
      <c r="L1486" t="s">
        <v>4079</v>
      </c>
      <c r="M1486" t="s">
        <v>102</v>
      </c>
      <c r="P1486">
        <f t="shared" si="46"/>
        <v>1</v>
      </c>
      <c r="Q1486" t="str">
        <f>IF(AND(P1486&gt;1,COUNTIF($E$6:E1486,E1486)=1),MAX($Q$5:Q1485)+1,"")</f>
        <v/>
      </c>
      <c r="R1486" t="str">
        <f t="shared" si="47"/>
        <v/>
      </c>
    </row>
    <row r="1487" spans="1:18" ht="22.95" customHeight="1">
      <c r="A1487" t="s">
        <v>4037</v>
      </c>
      <c r="B1487" t="s">
        <v>27</v>
      </c>
      <c r="C1487" t="s">
        <v>475</v>
      </c>
      <c r="D1487" t="s">
        <v>3965</v>
      </c>
      <c r="E1487" t="s">
        <v>4080</v>
      </c>
      <c r="F1487">
        <v>1</v>
      </c>
      <c r="G1487" t="s">
        <v>92</v>
      </c>
      <c r="I1487" t="s">
        <v>4078</v>
      </c>
      <c r="K1487" t="s">
        <v>109</v>
      </c>
      <c r="L1487" t="s">
        <v>4079</v>
      </c>
      <c r="M1487" t="s">
        <v>102</v>
      </c>
      <c r="P1487">
        <f t="shared" si="46"/>
        <v>1</v>
      </c>
      <c r="Q1487" t="str">
        <f>IF(AND(P1487&gt;1,COUNTIF($E$6:E1487,E1487)=1),MAX($Q$5:Q1486)+1,"")</f>
        <v/>
      </c>
      <c r="R1487" t="str">
        <f t="shared" si="47"/>
        <v/>
      </c>
    </row>
    <row r="1488" spans="1:18" ht="22.95" customHeight="1">
      <c r="A1488" t="s">
        <v>4037</v>
      </c>
      <c r="B1488" t="s">
        <v>27</v>
      </c>
      <c r="C1488" t="s">
        <v>475</v>
      </c>
      <c r="D1488" t="s">
        <v>3965</v>
      </c>
      <c r="E1488" t="s">
        <v>4081</v>
      </c>
      <c r="F1488">
        <v>1</v>
      </c>
      <c r="G1488" t="s">
        <v>92</v>
      </c>
      <c r="I1488" t="s">
        <v>4078</v>
      </c>
      <c r="K1488" t="s">
        <v>109</v>
      </c>
      <c r="L1488" t="s">
        <v>4079</v>
      </c>
      <c r="M1488" t="s">
        <v>102</v>
      </c>
      <c r="P1488">
        <f t="shared" si="46"/>
        <v>1</v>
      </c>
      <c r="Q1488" t="str">
        <f>IF(AND(P1488&gt;1,COUNTIF($E$6:E1488,E1488)=1),MAX($Q$5:Q1487)+1,"")</f>
        <v/>
      </c>
      <c r="R1488" t="str">
        <f t="shared" si="47"/>
        <v/>
      </c>
    </row>
    <row r="1489" spans="1:18" ht="22.95" customHeight="1">
      <c r="A1489" t="s">
        <v>4037</v>
      </c>
      <c r="B1489" t="s">
        <v>27</v>
      </c>
      <c r="C1489" t="s">
        <v>475</v>
      </c>
      <c r="D1489" t="s">
        <v>3965</v>
      </c>
      <c r="E1489" t="s">
        <v>4082</v>
      </c>
      <c r="F1489">
        <v>1</v>
      </c>
      <c r="G1489" t="s">
        <v>92</v>
      </c>
      <c r="I1489" t="s">
        <v>4078</v>
      </c>
      <c r="K1489" t="s">
        <v>109</v>
      </c>
      <c r="L1489" t="s">
        <v>4079</v>
      </c>
      <c r="M1489" t="s">
        <v>102</v>
      </c>
      <c r="P1489">
        <f t="shared" si="46"/>
        <v>1</v>
      </c>
      <c r="Q1489" t="str">
        <f>IF(AND(P1489&gt;1,COUNTIF($E$6:E1489,E1489)=1),MAX($Q$5:Q1488)+1,"")</f>
        <v/>
      </c>
      <c r="R1489" t="str">
        <f t="shared" si="47"/>
        <v/>
      </c>
    </row>
    <row r="1490" spans="1:18" ht="22.95" customHeight="1">
      <c r="A1490" t="s">
        <v>4037</v>
      </c>
      <c r="B1490" t="s">
        <v>30</v>
      </c>
      <c r="C1490" t="s">
        <v>180</v>
      </c>
      <c r="D1490" t="s">
        <v>181</v>
      </c>
      <c r="E1490" t="s">
        <v>4083</v>
      </c>
      <c r="F1490">
        <v>1</v>
      </c>
      <c r="G1490" t="s">
        <v>92</v>
      </c>
      <c r="I1490" t="s">
        <v>4084</v>
      </c>
      <c r="K1490" t="s">
        <v>109</v>
      </c>
      <c r="L1490" t="s">
        <v>4085</v>
      </c>
      <c r="M1490" t="s">
        <v>73</v>
      </c>
      <c r="P1490">
        <f t="shared" si="46"/>
        <v>1</v>
      </c>
      <c r="Q1490" t="str">
        <f>IF(AND(P1490&gt;1,COUNTIF($E$6:E1490,E1490)=1),MAX($Q$5:Q1489)+1,"")</f>
        <v/>
      </c>
      <c r="R1490" t="str">
        <f t="shared" si="47"/>
        <v/>
      </c>
    </row>
    <row r="1491" spans="1:18" ht="22.95" customHeight="1">
      <c r="A1491" t="s">
        <v>4037</v>
      </c>
      <c r="B1491" t="s">
        <v>30</v>
      </c>
      <c r="C1491" t="s">
        <v>188</v>
      </c>
      <c r="D1491" t="s">
        <v>189</v>
      </c>
      <c r="E1491" t="s">
        <v>4086</v>
      </c>
      <c r="F1491">
        <v>1</v>
      </c>
      <c r="G1491" t="s">
        <v>2758</v>
      </c>
      <c r="H1491" t="s">
        <v>4087</v>
      </c>
      <c r="I1491" t="s">
        <v>4088</v>
      </c>
      <c r="K1491" t="s">
        <v>4089</v>
      </c>
      <c r="L1491" t="s">
        <v>4090</v>
      </c>
      <c r="M1491" t="s">
        <v>73</v>
      </c>
      <c r="P1491">
        <f t="shared" si="46"/>
        <v>1</v>
      </c>
      <c r="Q1491" t="str">
        <f>IF(AND(P1491&gt;1,COUNTIF($E$6:E1491,E1491)=1),MAX($Q$5:Q1490)+1,"")</f>
        <v/>
      </c>
      <c r="R1491" t="str">
        <f t="shared" si="47"/>
        <v/>
      </c>
    </row>
    <row r="1492" spans="1:18" ht="22.95" customHeight="1">
      <c r="A1492" t="s">
        <v>4037</v>
      </c>
      <c r="B1492" t="s">
        <v>30</v>
      </c>
      <c r="C1492" t="s">
        <v>188</v>
      </c>
      <c r="D1492" t="s">
        <v>189</v>
      </c>
      <c r="E1492" t="s">
        <v>4091</v>
      </c>
      <c r="F1492">
        <v>1</v>
      </c>
      <c r="G1492" t="s">
        <v>4092</v>
      </c>
      <c r="H1492" t="s">
        <v>3201</v>
      </c>
      <c r="I1492" t="s">
        <v>4093</v>
      </c>
      <c r="K1492" t="s">
        <v>78</v>
      </c>
      <c r="L1492" t="s">
        <v>4094</v>
      </c>
      <c r="M1492" t="s">
        <v>73</v>
      </c>
      <c r="P1492">
        <f t="shared" si="46"/>
        <v>1</v>
      </c>
      <c r="Q1492" t="str">
        <f>IF(AND(P1492&gt;1,COUNTIF($E$6:E1492,E1492)=1),MAX($Q$5:Q1491)+1,"")</f>
        <v/>
      </c>
      <c r="R1492" t="str">
        <f t="shared" si="47"/>
        <v/>
      </c>
    </row>
    <row r="1493" spans="1:18" ht="22.95" customHeight="1">
      <c r="A1493" t="s">
        <v>4037</v>
      </c>
      <c r="B1493" t="s">
        <v>30</v>
      </c>
      <c r="C1493" t="s">
        <v>188</v>
      </c>
      <c r="D1493" t="s">
        <v>189</v>
      </c>
      <c r="E1493" t="s">
        <v>4095</v>
      </c>
      <c r="F1493">
        <v>1</v>
      </c>
      <c r="G1493" t="s">
        <v>1534</v>
      </c>
      <c r="H1493" t="s">
        <v>4096</v>
      </c>
      <c r="I1493" t="s">
        <v>4097</v>
      </c>
      <c r="K1493" t="s">
        <v>4098</v>
      </c>
      <c r="L1493" t="s">
        <v>4099</v>
      </c>
      <c r="M1493" t="s">
        <v>73</v>
      </c>
      <c r="P1493">
        <f t="shared" si="46"/>
        <v>1</v>
      </c>
      <c r="Q1493" t="str">
        <f>IF(AND(P1493&gt;1,COUNTIF($E$6:E1493,E1493)=1),MAX($Q$5:Q1492)+1,"")</f>
        <v/>
      </c>
      <c r="R1493" t="str">
        <f t="shared" si="47"/>
        <v/>
      </c>
    </row>
    <row r="1494" spans="1:18" ht="22.95" customHeight="1">
      <c r="A1494" t="s">
        <v>4037</v>
      </c>
      <c r="B1494" t="s">
        <v>30</v>
      </c>
      <c r="C1494" t="s">
        <v>188</v>
      </c>
      <c r="D1494" t="s">
        <v>189</v>
      </c>
      <c r="E1494" t="s">
        <v>4100</v>
      </c>
      <c r="F1494">
        <v>1</v>
      </c>
      <c r="G1494" t="s">
        <v>1534</v>
      </c>
      <c r="H1494" t="s">
        <v>4096</v>
      </c>
      <c r="I1494" t="s">
        <v>4101</v>
      </c>
      <c r="K1494" t="s">
        <v>4098</v>
      </c>
      <c r="L1494" t="s">
        <v>4102</v>
      </c>
      <c r="M1494" t="s">
        <v>73</v>
      </c>
      <c r="P1494">
        <f t="shared" si="46"/>
        <v>1</v>
      </c>
      <c r="Q1494" t="str">
        <f>IF(AND(P1494&gt;1,COUNTIF($E$6:E1494,E1494)=1),MAX($Q$5:Q1493)+1,"")</f>
        <v/>
      </c>
      <c r="R1494" t="str">
        <f t="shared" si="47"/>
        <v/>
      </c>
    </row>
    <row r="1495" spans="1:18" ht="22.95" customHeight="1">
      <c r="A1495" t="s">
        <v>4037</v>
      </c>
      <c r="B1495" t="s">
        <v>30</v>
      </c>
      <c r="C1495" t="s">
        <v>188</v>
      </c>
      <c r="D1495" t="s">
        <v>189</v>
      </c>
      <c r="E1495" t="s">
        <v>4103</v>
      </c>
      <c r="F1495">
        <v>1</v>
      </c>
      <c r="G1495" t="s">
        <v>4104</v>
      </c>
      <c r="H1495" t="s">
        <v>4105</v>
      </c>
      <c r="I1495" t="s">
        <v>4101</v>
      </c>
      <c r="K1495" t="s">
        <v>4098</v>
      </c>
      <c r="L1495" t="s">
        <v>4102</v>
      </c>
      <c r="M1495" t="s">
        <v>73</v>
      </c>
      <c r="P1495">
        <f t="shared" si="46"/>
        <v>1</v>
      </c>
      <c r="Q1495" t="str">
        <f>IF(AND(P1495&gt;1,COUNTIF($E$6:E1495,E1495)=1),MAX($Q$5:Q1494)+1,"")</f>
        <v/>
      </c>
      <c r="R1495" t="str">
        <f t="shared" si="47"/>
        <v/>
      </c>
    </row>
    <row r="1496" spans="1:18" ht="22.95" customHeight="1">
      <c r="A1496" t="s">
        <v>4037</v>
      </c>
      <c r="B1496" t="s">
        <v>30</v>
      </c>
      <c r="C1496" t="s">
        <v>188</v>
      </c>
      <c r="D1496" t="s">
        <v>189</v>
      </c>
      <c r="E1496" t="s">
        <v>4106</v>
      </c>
      <c r="F1496">
        <v>1</v>
      </c>
      <c r="G1496" t="s">
        <v>4104</v>
      </c>
      <c r="H1496" t="s">
        <v>4105</v>
      </c>
      <c r="I1496" t="s">
        <v>4101</v>
      </c>
      <c r="K1496" t="s">
        <v>4098</v>
      </c>
      <c r="L1496" t="s">
        <v>4102</v>
      </c>
      <c r="M1496" t="s">
        <v>73</v>
      </c>
      <c r="P1496">
        <f t="shared" si="46"/>
        <v>1</v>
      </c>
      <c r="Q1496" t="str">
        <f>IF(AND(P1496&gt;1,COUNTIF($E$6:E1496,E1496)=1),MAX($Q$5:Q1495)+1,"")</f>
        <v/>
      </c>
      <c r="R1496" t="str">
        <f t="shared" si="47"/>
        <v/>
      </c>
    </row>
    <row r="1497" spans="1:18" ht="22.95" customHeight="1">
      <c r="A1497" t="s">
        <v>4037</v>
      </c>
      <c r="B1497" t="s">
        <v>26</v>
      </c>
      <c r="C1497" t="s">
        <v>196</v>
      </c>
      <c r="D1497" t="s">
        <v>197</v>
      </c>
      <c r="E1497" t="s">
        <v>4107</v>
      </c>
      <c r="F1497">
        <v>1</v>
      </c>
      <c r="G1497" t="s">
        <v>1448</v>
      </c>
      <c r="H1497" t="s">
        <v>4108</v>
      </c>
      <c r="I1497" t="s">
        <v>4109</v>
      </c>
      <c r="K1497" t="s">
        <v>4110</v>
      </c>
      <c r="L1497" t="s">
        <v>4111</v>
      </c>
      <c r="M1497" t="s">
        <v>62</v>
      </c>
      <c r="N1497" t="s">
        <v>130</v>
      </c>
      <c r="P1497">
        <f t="shared" si="46"/>
        <v>1</v>
      </c>
      <c r="Q1497" t="str">
        <f>IF(AND(P1497&gt;1,COUNTIF($E$6:E1497,E1497)=1),MAX($Q$5:Q1496)+1,"")</f>
        <v/>
      </c>
      <c r="R1497" t="str">
        <f t="shared" si="47"/>
        <v/>
      </c>
    </row>
    <row r="1498" spans="1:18" ht="22.95" customHeight="1">
      <c r="A1498" t="s">
        <v>4037</v>
      </c>
      <c r="B1498" t="s">
        <v>26</v>
      </c>
      <c r="C1498" t="s">
        <v>196</v>
      </c>
      <c r="D1498" t="s">
        <v>197</v>
      </c>
      <c r="E1498" t="s">
        <v>4112</v>
      </c>
      <c r="F1498">
        <v>1</v>
      </c>
      <c r="G1498" t="s">
        <v>508</v>
      </c>
      <c r="H1498" t="s">
        <v>4113</v>
      </c>
      <c r="I1498" t="s">
        <v>4114</v>
      </c>
      <c r="K1498" t="s">
        <v>4115</v>
      </c>
      <c r="L1498" t="s">
        <v>4116</v>
      </c>
      <c r="M1498" t="s">
        <v>62</v>
      </c>
      <c r="N1498" t="s">
        <v>130</v>
      </c>
      <c r="P1498">
        <f t="shared" si="46"/>
        <v>1</v>
      </c>
      <c r="Q1498" t="str">
        <f>IF(AND(P1498&gt;1,COUNTIF($E$6:E1498,E1498)=1),MAX($Q$5:Q1497)+1,"")</f>
        <v/>
      </c>
      <c r="R1498" t="str">
        <f t="shared" si="47"/>
        <v/>
      </c>
    </row>
    <row r="1499" spans="1:18" ht="22.95" customHeight="1">
      <c r="A1499" t="s">
        <v>4037</v>
      </c>
      <c r="B1499" t="s">
        <v>26</v>
      </c>
      <c r="C1499" t="s">
        <v>196</v>
      </c>
      <c r="D1499" t="s">
        <v>197</v>
      </c>
      <c r="E1499" t="s">
        <v>4117</v>
      </c>
      <c r="F1499">
        <v>1</v>
      </c>
      <c r="G1499" t="s">
        <v>2302</v>
      </c>
      <c r="H1499" t="s">
        <v>4118</v>
      </c>
      <c r="I1499" t="s">
        <v>4119</v>
      </c>
      <c r="K1499" t="s">
        <v>4115</v>
      </c>
      <c r="L1499" t="s">
        <v>4120</v>
      </c>
      <c r="M1499" t="s">
        <v>102</v>
      </c>
      <c r="P1499">
        <f t="shared" si="46"/>
        <v>1</v>
      </c>
      <c r="Q1499" t="str">
        <f>IF(AND(P1499&gt;1,COUNTIF($E$6:E1499,E1499)=1),MAX($Q$5:Q1498)+1,"")</f>
        <v/>
      </c>
      <c r="R1499" t="str">
        <f t="shared" si="47"/>
        <v/>
      </c>
    </row>
    <row r="1500" spans="1:18" ht="22.95" customHeight="1">
      <c r="A1500" t="s">
        <v>4037</v>
      </c>
      <c r="B1500" t="s">
        <v>33</v>
      </c>
      <c r="C1500" t="s">
        <v>2314</v>
      </c>
      <c r="D1500" t="s">
        <v>2315</v>
      </c>
      <c r="E1500" t="s">
        <v>4121</v>
      </c>
      <c r="F1500">
        <v>1</v>
      </c>
      <c r="G1500" t="s">
        <v>3045</v>
      </c>
      <c r="H1500" t="s">
        <v>1599</v>
      </c>
      <c r="I1500" t="s">
        <v>4122</v>
      </c>
      <c r="K1500" t="s">
        <v>109</v>
      </c>
      <c r="L1500" t="s">
        <v>4123</v>
      </c>
      <c r="M1500" t="s">
        <v>102</v>
      </c>
      <c r="P1500">
        <f t="shared" si="46"/>
        <v>1</v>
      </c>
      <c r="Q1500" t="str">
        <f>IF(AND(P1500&gt;1,COUNTIF($E$6:E1500,E1500)=1),MAX($Q$5:Q1499)+1,"")</f>
        <v/>
      </c>
      <c r="R1500" t="str">
        <f t="shared" si="47"/>
        <v/>
      </c>
    </row>
    <row r="1501" spans="1:18" ht="22.95" customHeight="1">
      <c r="A1501" t="s">
        <v>4037</v>
      </c>
      <c r="B1501" t="s">
        <v>33</v>
      </c>
      <c r="C1501" t="s">
        <v>2314</v>
      </c>
      <c r="D1501" t="s">
        <v>2315</v>
      </c>
      <c r="E1501" t="s">
        <v>4124</v>
      </c>
      <c r="F1501">
        <v>1</v>
      </c>
      <c r="G1501" t="s">
        <v>125</v>
      </c>
      <c r="H1501" t="s">
        <v>1675</v>
      </c>
      <c r="I1501" t="s">
        <v>4125</v>
      </c>
      <c r="K1501" t="s">
        <v>109</v>
      </c>
      <c r="L1501" t="s">
        <v>4123</v>
      </c>
      <c r="M1501" t="s">
        <v>102</v>
      </c>
      <c r="P1501">
        <f t="shared" si="46"/>
        <v>1</v>
      </c>
      <c r="Q1501" t="str">
        <f>IF(AND(P1501&gt;1,COUNTIF($E$6:E1501,E1501)=1),MAX($Q$5:Q1500)+1,"")</f>
        <v/>
      </c>
      <c r="R1501" t="str">
        <f t="shared" si="47"/>
        <v/>
      </c>
    </row>
    <row r="1502" spans="1:18" ht="22.95" customHeight="1">
      <c r="A1502" t="s">
        <v>4037</v>
      </c>
      <c r="B1502" t="s">
        <v>33</v>
      </c>
      <c r="C1502" t="s">
        <v>2314</v>
      </c>
      <c r="D1502" t="s">
        <v>2315</v>
      </c>
      <c r="E1502" t="s">
        <v>4126</v>
      </c>
      <c r="F1502">
        <v>1</v>
      </c>
      <c r="G1502" t="s">
        <v>125</v>
      </c>
      <c r="H1502" t="s">
        <v>1675</v>
      </c>
      <c r="I1502" t="s">
        <v>4125</v>
      </c>
      <c r="K1502" t="s">
        <v>109</v>
      </c>
      <c r="L1502" t="s">
        <v>4123</v>
      </c>
      <c r="M1502" t="s">
        <v>102</v>
      </c>
      <c r="P1502">
        <f t="shared" si="46"/>
        <v>1</v>
      </c>
      <c r="Q1502" t="str">
        <f>IF(AND(P1502&gt;1,COUNTIF($E$6:E1502,E1502)=1),MAX($Q$5:Q1501)+1,"")</f>
        <v/>
      </c>
      <c r="R1502" t="str">
        <f t="shared" si="47"/>
        <v/>
      </c>
    </row>
    <row r="1503" spans="1:18" ht="22.95" customHeight="1">
      <c r="A1503" t="s">
        <v>4037</v>
      </c>
      <c r="B1503" t="s">
        <v>33</v>
      </c>
      <c r="C1503" t="s">
        <v>2314</v>
      </c>
      <c r="D1503" t="s">
        <v>2315</v>
      </c>
      <c r="E1503" t="s">
        <v>4127</v>
      </c>
      <c r="F1503">
        <v>1</v>
      </c>
      <c r="G1503" t="s">
        <v>125</v>
      </c>
      <c r="H1503" t="s">
        <v>1675</v>
      </c>
      <c r="I1503" t="s">
        <v>4125</v>
      </c>
      <c r="K1503" t="s">
        <v>109</v>
      </c>
      <c r="L1503" t="s">
        <v>4123</v>
      </c>
      <c r="M1503" t="s">
        <v>102</v>
      </c>
      <c r="P1503">
        <f t="shared" si="46"/>
        <v>1</v>
      </c>
      <c r="Q1503" t="str">
        <f>IF(AND(P1503&gt;1,COUNTIF($E$6:E1503,E1503)=1),MAX($Q$5:Q1502)+1,"")</f>
        <v/>
      </c>
      <c r="R1503" t="str">
        <f t="shared" si="47"/>
        <v/>
      </c>
    </row>
    <row r="1504" spans="1:18" ht="22.95" customHeight="1">
      <c r="A1504" t="s">
        <v>4037</v>
      </c>
      <c r="B1504" t="s">
        <v>31</v>
      </c>
      <c r="C1504" t="s">
        <v>491</v>
      </c>
      <c r="D1504" t="s">
        <v>492</v>
      </c>
      <c r="E1504" t="s">
        <v>4128</v>
      </c>
      <c r="F1504">
        <v>1</v>
      </c>
      <c r="G1504" t="s">
        <v>2192</v>
      </c>
      <c r="H1504" t="s">
        <v>4129</v>
      </c>
      <c r="I1504" t="s">
        <v>4130</v>
      </c>
      <c r="K1504" t="s">
        <v>78</v>
      </c>
      <c r="L1504" t="s">
        <v>4131</v>
      </c>
      <c r="M1504" t="s">
        <v>73</v>
      </c>
      <c r="P1504">
        <f t="shared" si="46"/>
        <v>1</v>
      </c>
      <c r="Q1504" t="str">
        <f>IF(AND(P1504&gt;1,COUNTIF($E$6:E1504,E1504)=1),MAX($Q$5:Q1503)+1,"")</f>
        <v/>
      </c>
      <c r="R1504" t="str">
        <f t="shared" si="47"/>
        <v/>
      </c>
    </row>
    <row r="1505" spans="1:18" ht="22.95" customHeight="1">
      <c r="A1505" t="s">
        <v>4132</v>
      </c>
      <c r="B1505" t="s">
        <v>20</v>
      </c>
      <c r="C1505" t="s">
        <v>55</v>
      </c>
      <c r="D1505" t="s">
        <v>56</v>
      </c>
      <c r="E1505" t="s">
        <v>4133</v>
      </c>
      <c r="F1505">
        <v>1</v>
      </c>
      <c r="G1505" t="s">
        <v>4134</v>
      </c>
      <c r="H1505" t="s">
        <v>4135</v>
      </c>
      <c r="I1505" t="s">
        <v>4136</v>
      </c>
      <c r="K1505" t="s">
        <v>4137</v>
      </c>
      <c r="L1505" t="s">
        <v>4138</v>
      </c>
      <c r="M1505" t="s">
        <v>62</v>
      </c>
      <c r="N1505" t="s">
        <v>187</v>
      </c>
      <c r="P1505">
        <f t="shared" si="46"/>
        <v>1</v>
      </c>
      <c r="Q1505" t="str">
        <f>IF(AND(P1505&gt;1,COUNTIF($E$6:E1505,E1505)=1),MAX($Q$5:Q1504)+1,"")</f>
        <v/>
      </c>
      <c r="R1505" t="str">
        <f t="shared" si="47"/>
        <v/>
      </c>
    </row>
    <row r="1506" spans="1:18" ht="22.95" customHeight="1">
      <c r="A1506" t="s">
        <v>4132</v>
      </c>
      <c r="B1506" t="s">
        <v>23</v>
      </c>
      <c r="C1506" t="s">
        <v>103</v>
      </c>
      <c r="D1506" t="s">
        <v>104</v>
      </c>
      <c r="E1506" t="s">
        <v>4139</v>
      </c>
      <c r="F1506">
        <v>1</v>
      </c>
      <c r="G1506" t="s">
        <v>92</v>
      </c>
      <c r="I1506" t="s">
        <v>451</v>
      </c>
      <c r="K1506" t="s">
        <v>109</v>
      </c>
      <c r="L1506" t="s">
        <v>4140</v>
      </c>
      <c r="M1506" t="s">
        <v>62</v>
      </c>
      <c r="N1506" t="s">
        <v>63</v>
      </c>
      <c r="P1506">
        <f t="shared" si="46"/>
        <v>1</v>
      </c>
      <c r="Q1506" t="str">
        <f>IF(AND(P1506&gt;1,COUNTIF($E$6:E1506,E1506)=1),MAX($Q$5:Q1505)+1,"")</f>
        <v/>
      </c>
      <c r="R1506" t="str">
        <f t="shared" si="47"/>
        <v/>
      </c>
    </row>
    <row r="1507" spans="1:18" ht="22.95" customHeight="1">
      <c r="A1507" t="s">
        <v>4132</v>
      </c>
      <c r="B1507" t="s">
        <v>25</v>
      </c>
      <c r="C1507" t="s">
        <v>115</v>
      </c>
      <c r="D1507" t="s">
        <v>116</v>
      </c>
      <c r="E1507" t="s">
        <v>4141</v>
      </c>
      <c r="F1507">
        <v>1</v>
      </c>
      <c r="G1507" t="s">
        <v>2219</v>
      </c>
      <c r="H1507" t="s">
        <v>409</v>
      </c>
      <c r="I1507" t="s">
        <v>164</v>
      </c>
      <c r="L1507" t="s">
        <v>4142</v>
      </c>
      <c r="M1507" t="s">
        <v>62</v>
      </c>
      <c r="N1507" t="s">
        <v>811</v>
      </c>
      <c r="P1507">
        <f t="shared" si="46"/>
        <v>1</v>
      </c>
      <c r="Q1507" t="str">
        <f>IF(AND(P1507&gt;1,COUNTIF($E$6:E1507,E1507)=1),MAX($Q$5:Q1506)+1,"")</f>
        <v/>
      </c>
      <c r="R1507" t="str">
        <f t="shared" si="47"/>
        <v/>
      </c>
    </row>
    <row r="1508" spans="1:18" ht="22.95" customHeight="1">
      <c r="A1508" t="s">
        <v>4132</v>
      </c>
      <c r="B1508" t="s">
        <v>25</v>
      </c>
      <c r="C1508" t="s">
        <v>115</v>
      </c>
      <c r="D1508" t="s">
        <v>116</v>
      </c>
      <c r="E1508" t="s">
        <v>4143</v>
      </c>
      <c r="F1508">
        <v>1</v>
      </c>
      <c r="G1508" t="s">
        <v>2219</v>
      </c>
      <c r="H1508" t="s">
        <v>409</v>
      </c>
      <c r="I1508" t="s">
        <v>164</v>
      </c>
      <c r="L1508" t="s">
        <v>4142</v>
      </c>
      <c r="M1508" t="s">
        <v>62</v>
      </c>
      <c r="N1508" t="s">
        <v>811</v>
      </c>
      <c r="P1508">
        <f t="shared" si="46"/>
        <v>1</v>
      </c>
      <c r="Q1508" t="str">
        <f>IF(AND(P1508&gt;1,COUNTIF($E$6:E1508,E1508)=1),MAX($Q$5:Q1507)+1,"")</f>
        <v/>
      </c>
      <c r="R1508" t="str">
        <f t="shared" si="47"/>
        <v/>
      </c>
    </row>
    <row r="1509" spans="1:18" ht="22.95" customHeight="1">
      <c r="A1509" t="s">
        <v>4132</v>
      </c>
      <c r="B1509" t="s">
        <v>25</v>
      </c>
      <c r="C1509" t="s">
        <v>115</v>
      </c>
      <c r="D1509" t="s">
        <v>116</v>
      </c>
      <c r="E1509" t="s">
        <v>4144</v>
      </c>
      <c r="F1509">
        <v>1</v>
      </c>
      <c r="G1509" t="s">
        <v>92</v>
      </c>
      <c r="I1509" t="s">
        <v>406</v>
      </c>
      <c r="K1509" t="s">
        <v>406</v>
      </c>
      <c r="L1509" t="s">
        <v>4145</v>
      </c>
      <c r="M1509" t="s">
        <v>102</v>
      </c>
      <c r="P1509">
        <f t="shared" si="46"/>
        <v>1</v>
      </c>
      <c r="Q1509" t="str">
        <f>IF(AND(P1509&gt;1,COUNTIF($E$6:E1509,E1509)=1),MAX($Q$5:Q1508)+1,"")</f>
        <v/>
      </c>
      <c r="R1509" t="str">
        <f t="shared" si="47"/>
        <v/>
      </c>
    </row>
    <row r="1510" spans="1:18" ht="22.95" customHeight="1">
      <c r="A1510" t="s">
        <v>4132</v>
      </c>
      <c r="B1510" t="s">
        <v>24</v>
      </c>
      <c r="C1510" t="s">
        <v>426</v>
      </c>
      <c r="D1510" t="s">
        <v>427</v>
      </c>
      <c r="E1510" t="s">
        <v>4146</v>
      </c>
      <c r="F1510">
        <v>1</v>
      </c>
      <c r="G1510" t="s">
        <v>92</v>
      </c>
      <c r="I1510" t="s">
        <v>4147</v>
      </c>
      <c r="K1510" t="s">
        <v>109</v>
      </c>
      <c r="L1510" t="s">
        <v>4148</v>
      </c>
      <c r="M1510" t="s">
        <v>73</v>
      </c>
      <c r="P1510">
        <f t="shared" si="46"/>
        <v>1</v>
      </c>
      <c r="Q1510" t="str">
        <f>IF(AND(P1510&gt;1,COUNTIF($E$6:E1510,E1510)=1),MAX($Q$5:Q1509)+1,"")</f>
        <v/>
      </c>
      <c r="R1510" t="str">
        <f t="shared" si="47"/>
        <v/>
      </c>
    </row>
    <row r="1511" spans="1:18" ht="22.95" customHeight="1">
      <c r="A1511" t="s">
        <v>4132</v>
      </c>
      <c r="B1511" t="s">
        <v>24</v>
      </c>
      <c r="C1511" t="s">
        <v>136</v>
      </c>
      <c r="D1511" t="s">
        <v>137</v>
      </c>
      <c r="E1511" t="s">
        <v>4149</v>
      </c>
      <c r="F1511">
        <v>1</v>
      </c>
      <c r="G1511" t="s">
        <v>92</v>
      </c>
      <c r="I1511" t="s">
        <v>4150</v>
      </c>
      <c r="K1511" t="s">
        <v>109</v>
      </c>
      <c r="L1511" t="s">
        <v>4151</v>
      </c>
      <c r="M1511" t="s">
        <v>62</v>
      </c>
      <c r="N1511" t="s">
        <v>63</v>
      </c>
      <c r="P1511">
        <f t="shared" si="46"/>
        <v>1</v>
      </c>
      <c r="Q1511" t="str">
        <f>IF(AND(P1511&gt;1,COUNTIF($E$6:E1511,E1511)=1),MAX($Q$5:Q1510)+1,"")</f>
        <v/>
      </c>
      <c r="R1511" t="str">
        <f t="shared" si="47"/>
        <v/>
      </c>
    </row>
    <row r="1512" spans="1:18" ht="22.95" customHeight="1">
      <c r="A1512" t="s">
        <v>4132</v>
      </c>
      <c r="B1512" t="s">
        <v>28</v>
      </c>
      <c r="C1512" t="s">
        <v>146</v>
      </c>
      <c r="D1512" t="s">
        <v>147</v>
      </c>
      <c r="E1512" t="s">
        <v>4152</v>
      </c>
      <c r="F1512">
        <v>1</v>
      </c>
      <c r="G1512" t="s">
        <v>527</v>
      </c>
      <c r="H1512" t="s">
        <v>889</v>
      </c>
      <c r="I1512" t="s">
        <v>4153</v>
      </c>
      <c r="K1512" t="s">
        <v>4137</v>
      </c>
      <c r="L1512" t="s">
        <v>4154</v>
      </c>
      <c r="M1512" t="s">
        <v>62</v>
      </c>
      <c r="N1512" t="s">
        <v>187</v>
      </c>
      <c r="P1512">
        <f t="shared" si="46"/>
        <v>1</v>
      </c>
      <c r="Q1512" t="str">
        <f>IF(AND(P1512&gt;1,COUNTIF($E$6:E1512,E1512)=1),MAX($Q$5:Q1511)+1,"")</f>
        <v/>
      </c>
      <c r="R1512" t="str">
        <f t="shared" si="47"/>
        <v/>
      </c>
    </row>
    <row r="1513" spans="1:18" ht="22.95" customHeight="1">
      <c r="A1513" t="s">
        <v>4132</v>
      </c>
      <c r="B1513" t="s">
        <v>28</v>
      </c>
      <c r="C1513" t="s">
        <v>146</v>
      </c>
      <c r="D1513" t="s">
        <v>147</v>
      </c>
      <c r="E1513" t="s">
        <v>4155</v>
      </c>
      <c r="F1513">
        <v>1</v>
      </c>
      <c r="G1513" t="s">
        <v>92</v>
      </c>
      <c r="I1513" t="s">
        <v>4156</v>
      </c>
      <c r="K1513" t="s">
        <v>109</v>
      </c>
      <c r="L1513" t="s">
        <v>4157</v>
      </c>
      <c r="M1513" t="s">
        <v>102</v>
      </c>
      <c r="P1513">
        <f t="shared" si="46"/>
        <v>1</v>
      </c>
      <c r="Q1513" t="str">
        <f>IF(AND(P1513&gt;1,COUNTIF($E$6:E1513,E1513)=1),MAX($Q$5:Q1512)+1,"")</f>
        <v/>
      </c>
      <c r="R1513" t="str">
        <f t="shared" si="47"/>
        <v/>
      </c>
    </row>
    <row r="1514" spans="1:18" ht="22.95" customHeight="1">
      <c r="A1514" t="s">
        <v>4132</v>
      </c>
      <c r="B1514" t="s">
        <v>28</v>
      </c>
      <c r="C1514" t="s">
        <v>146</v>
      </c>
      <c r="D1514" t="s">
        <v>147</v>
      </c>
      <c r="E1514" t="s">
        <v>4158</v>
      </c>
      <c r="F1514">
        <v>1</v>
      </c>
      <c r="G1514" t="s">
        <v>92</v>
      </c>
      <c r="I1514" t="s">
        <v>4159</v>
      </c>
      <c r="K1514" t="s">
        <v>109</v>
      </c>
      <c r="L1514" t="s">
        <v>4160</v>
      </c>
      <c r="M1514" t="s">
        <v>62</v>
      </c>
      <c r="N1514" t="s">
        <v>63</v>
      </c>
      <c r="P1514">
        <f t="shared" si="46"/>
        <v>1</v>
      </c>
      <c r="Q1514" t="str">
        <f>IF(AND(P1514&gt;1,COUNTIF($E$6:E1514,E1514)=1),MAX($Q$5:Q1513)+1,"")</f>
        <v/>
      </c>
      <c r="R1514" t="str">
        <f t="shared" si="47"/>
        <v/>
      </c>
    </row>
    <row r="1515" spans="1:18" ht="22.95" customHeight="1">
      <c r="A1515" t="s">
        <v>4132</v>
      </c>
      <c r="B1515" t="s">
        <v>27</v>
      </c>
      <c r="C1515" t="s">
        <v>1069</v>
      </c>
      <c r="D1515" t="s">
        <v>104</v>
      </c>
      <c r="E1515" t="s">
        <v>4161</v>
      </c>
      <c r="F1515">
        <v>1</v>
      </c>
      <c r="G1515" t="s">
        <v>92</v>
      </c>
      <c r="I1515" t="s">
        <v>4162</v>
      </c>
      <c r="K1515" t="s">
        <v>109</v>
      </c>
      <c r="L1515" t="s">
        <v>4163</v>
      </c>
      <c r="M1515" t="s">
        <v>73</v>
      </c>
      <c r="P1515">
        <f t="shared" si="46"/>
        <v>1</v>
      </c>
      <c r="Q1515" t="str">
        <f>IF(AND(P1515&gt;1,COUNTIF($E$6:E1515,E1515)=1),MAX($Q$5:Q1514)+1,"")</f>
        <v/>
      </c>
      <c r="R1515" t="str">
        <f t="shared" si="47"/>
        <v/>
      </c>
    </row>
    <row r="1516" spans="1:18" ht="22.95" customHeight="1">
      <c r="A1516" t="s">
        <v>4132</v>
      </c>
      <c r="B1516" t="s">
        <v>27</v>
      </c>
      <c r="C1516" t="s">
        <v>1069</v>
      </c>
      <c r="D1516" t="s">
        <v>104</v>
      </c>
      <c r="E1516" t="s">
        <v>4164</v>
      </c>
      <c r="F1516">
        <v>1</v>
      </c>
      <c r="G1516" t="s">
        <v>92</v>
      </c>
      <c r="I1516" t="s">
        <v>4162</v>
      </c>
      <c r="K1516" t="s">
        <v>109</v>
      </c>
      <c r="L1516" t="s">
        <v>4165</v>
      </c>
      <c r="M1516" t="s">
        <v>73</v>
      </c>
      <c r="P1516">
        <f t="shared" si="46"/>
        <v>1</v>
      </c>
      <c r="Q1516" t="str">
        <f>IF(AND(P1516&gt;1,COUNTIF($E$6:E1516,E1516)=1),MAX($Q$5:Q1515)+1,"")</f>
        <v/>
      </c>
      <c r="R1516" t="str">
        <f t="shared" si="47"/>
        <v/>
      </c>
    </row>
    <row r="1517" spans="1:18" ht="22.95" customHeight="1">
      <c r="A1517" t="s">
        <v>4132</v>
      </c>
      <c r="B1517" t="s">
        <v>27</v>
      </c>
      <c r="C1517" t="s">
        <v>1069</v>
      </c>
      <c r="D1517" t="s">
        <v>104</v>
      </c>
      <c r="E1517" t="s">
        <v>4166</v>
      </c>
      <c r="F1517">
        <v>1</v>
      </c>
      <c r="G1517" t="s">
        <v>92</v>
      </c>
      <c r="I1517" t="s">
        <v>406</v>
      </c>
      <c r="K1517" t="s">
        <v>408</v>
      </c>
      <c r="L1517" t="s">
        <v>4167</v>
      </c>
      <c r="M1517" t="s">
        <v>62</v>
      </c>
      <c r="N1517" t="s">
        <v>63</v>
      </c>
      <c r="P1517">
        <f t="shared" si="46"/>
        <v>1</v>
      </c>
      <c r="Q1517" t="str">
        <f>IF(AND(P1517&gt;1,COUNTIF($E$6:E1517,E1517)=1),MAX($Q$5:Q1516)+1,"")</f>
        <v/>
      </c>
      <c r="R1517" t="str">
        <f t="shared" si="47"/>
        <v/>
      </c>
    </row>
    <row r="1518" spans="1:18" ht="22.95" customHeight="1">
      <c r="A1518" t="s">
        <v>4132</v>
      </c>
      <c r="B1518" t="s">
        <v>30</v>
      </c>
      <c r="C1518" t="s">
        <v>188</v>
      </c>
      <c r="D1518" t="s">
        <v>189</v>
      </c>
      <c r="E1518" t="s">
        <v>4168</v>
      </c>
      <c r="F1518">
        <v>1</v>
      </c>
      <c r="G1518" t="s">
        <v>1545</v>
      </c>
      <c r="H1518" t="s">
        <v>1535</v>
      </c>
      <c r="I1518" t="s">
        <v>4169</v>
      </c>
      <c r="L1518" t="s">
        <v>4170</v>
      </c>
      <c r="M1518" t="s">
        <v>73</v>
      </c>
      <c r="P1518">
        <f t="shared" si="46"/>
        <v>1</v>
      </c>
      <c r="Q1518" t="str">
        <f>IF(AND(P1518&gt;1,COUNTIF($E$6:E1518,E1518)=1),MAX($Q$5:Q1517)+1,"")</f>
        <v/>
      </c>
      <c r="R1518" t="str">
        <f t="shared" si="47"/>
        <v/>
      </c>
    </row>
    <row r="1519" spans="1:18" ht="22.95" customHeight="1">
      <c r="A1519" t="s">
        <v>4132</v>
      </c>
      <c r="B1519" t="s">
        <v>30</v>
      </c>
      <c r="C1519" t="s">
        <v>188</v>
      </c>
      <c r="D1519" t="s">
        <v>189</v>
      </c>
      <c r="E1519" t="s">
        <v>4171</v>
      </c>
      <c r="F1519">
        <v>1</v>
      </c>
      <c r="G1519" t="s">
        <v>481</v>
      </c>
      <c r="H1519" t="s">
        <v>4172</v>
      </c>
      <c r="I1519" t="s">
        <v>4173</v>
      </c>
      <c r="L1519" t="s">
        <v>4170</v>
      </c>
      <c r="M1519" t="s">
        <v>73</v>
      </c>
      <c r="P1519">
        <f t="shared" si="46"/>
        <v>1</v>
      </c>
      <c r="Q1519" t="str">
        <f>IF(AND(P1519&gt;1,COUNTIF($E$6:E1519,E1519)=1),MAX($Q$5:Q1518)+1,"")</f>
        <v/>
      </c>
      <c r="R1519" t="str">
        <f t="shared" si="47"/>
        <v/>
      </c>
    </row>
    <row r="1520" spans="1:18" ht="22.95" customHeight="1">
      <c r="A1520" t="s">
        <v>4132</v>
      </c>
      <c r="B1520" t="s">
        <v>30</v>
      </c>
      <c r="C1520" t="s">
        <v>188</v>
      </c>
      <c r="D1520" t="s">
        <v>189</v>
      </c>
      <c r="E1520" t="s">
        <v>4174</v>
      </c>
      <c r="F1520">
        <v>1</v>
      </c>
      <c r="G1520" t="s">
        <v>2275</v>
      </c>
      <c r="H1520" t="s">
        <v>4175</v>
      </c>
      <c r="I1520" t="s">
        <v>699</v>
      </c>
      <c r="L1520" t="s">
        <v>4176</v>
      </c>
      <c r="M1520" t="s">
        <v>73</v>
      </c>
      <c r="P1520">
        <f t="shared" si="46"/>
        <v>1</v>
      </c>
      <c r="Q1520" t="str">
        <f>IF(AND(P1520&gt;1,COUNTIF($E$6:E1520,E1520)=1),MAX($Q$5:Q1519)+1,"")</f>
        <v/>
      </c>
      <c r="R1520" t="str">
        <f t="shared" si="47"/>
        <v/>
      </c>
    </row>
    <row r="1521" spans="1:18" ht="22.95" customHeight="1">
      <c r="A1521" t="s">
        <v>4132</v>
      </c>
      <c r="B1521" t="s">
        <v>26</v>
      </c>
      <c r="C1521" t="s">
        <v>196</v>
      </c>
      <c r="D1521" t="s">
        <v>197</v>
      </c>
      <c r="E1521" t="s">
        <v>4177</v>
      </c>
      <c r="F1521">
        <v>1</v>
      </c>
      <c r="G1521" t="s">
        <v>2297</v>
      </c>
      <c r="H1521" t="s">
        <v>4178</v>
      </c>
      <c r="I1521" t="s">
        <v>4179</v>
      </c>
      <c r="K1521" t="s">
        <v>849</v>
      </c>
      <c r="L1521" t="s">
        <v>4180</v>
      </c>
      <c r="M1521" t="s">
        <v>62</v>
      </c>
      <c r="N1521" t="s">
        <v>303</v>
      </c>
      <c r="P1521">
        <f t="shared" si="46"/>
        <v>1</v>
      </c>
      <c r="Q1521" t="str">
        <f>IF(AND(P1521&gt;1,COUNTIF($E$6:E1521,E1521)=1),MAX($Q$5:Q1520)+1,"")</f>
        <v/>
      </c>
      <c r="R1521" t="str">
        <f t="shared" si="47"/>
        <v/>
      </c>
    </row>
    <row r="1522" spans="1:18" ht="22.95" customHeight="1">
      <c r="A1522" t="s">
        <v>4132</v>
      </c>
      <c r="B1522" t="s">
        <v>26</v>
      </c>
      <c r="C1522" t="s">
        <v>196</v>
      </c>
      <c r="D1522" t="s">
        <v>197</v>
      </c>
      <c r="E1522" t="s">
        <v>4181</v>
      </c>
      <c r="F1522">
        <v>1</v>
      </c>
      <c r="G1522" t="s">
        <v>2297</v>
      </c>
      <c r="H1522" t="s">
        <v>4178</v>
      </c>
      <c r="I1522" t="s">
        <v>4179</v>
      </c>
      <c r="K1522" t="s">
        <v>849</v>
      </c>
      <c r="L1522" t="s">
        <v>4182</v>
      </c>
      <c r="M1522" t="s">
        <v>62</v>
      </c>
      <c r="N1522" t="s">
        <v>303</v>
      </c>
      <c r="P1522">
        <f t="shared" si="46"/>
        <v>1</v>
      </c>
      <c r="Q1522" t="str">
        <f>IF(AND(P1522&gt;1,COUNTIF($E$6:E1522,E1522)=1),MAX($Q$5:Q1521)+1,"")</f>
        <v/>
      </c>
      <c r="R1522" t="str">
        <f t="shared" si="47"/>
        <v/>
      </c>
    </row>
    <row r="1523" spans="1:18" ht="22.95" customHeight="1">
      <c r="A1523" t="s">
        <v>4132</v>
      </c>
      <c r="B1523" t="s">
        <v>26</v>
      </c>
      <c r="C1523" t="s">
        <v>196</v>
      </c>
      <c r="D1523" t="s">
        <v>197</v>
      </c>
      <c r="E1523" t="s">
        <v>4183</v>
      </c>
      <c r="F1523">
        <v>1</v>
      </c>
      <c r="G1523" t="s">
        <v>2297</v>
      </c>
      <c r="H1523" t="s">
        <v>4178</v>
      </c>
      <c r="I1523" t="s">
        <v>4179</v>
      </c>
      <c r="K1523" t="s">
        <v>849</v>
      </c>
      <c r="L1523" t="s">
        <v>4182</v>
      </c>
      <c r="M1523" t="s">
        <v>62</v>
      </c>
      <c r="N1523" t="s">
        <v>303</v>
      </c>
      <c r="P1523">
        <f t="shared" si="46"/>
        <v>1</v>
      </c>
      <c r="Q1523" t="str">
        <f>IF(AND(P1523&gt;1,COUNTIF($E$6:E1523,E1523)=1),MAX($Q$5:Q1522)+1,"")</f>
        <v/>
      </c>
      <c r="R1523" t="str">
        <f t="shared" si="47"/>
        <v/>
      </c>
    </row>
    <row r="1524" spans="1:18" ht="22.95" customHeight="1">
      <c r="A1524" t="s">
        <v>4132</v>
      </c>
      <c r="B1524" t="s">
        <v>26</v>
      </c>
      <c r="C1524" t="s">
        <v>196</v>
      </c>
      <c r="D1524" t="s">
        <v>197</v>
      </c>
      <c r="E1524" t="s">
        <v>4184</v>
      </c>
      <c r="F1524">
        <v>1</v>
      </c>
      <c r="G1524" t="s">
        <v>4185</v>
      </c>
      <c r="H1524" t="s">
        <v>409</v>
      </c>
      <c r="I1524" t="s">
        <v>4186</v>
      </c>
      <c r="K1524" t="s">
        <v>4137</v>
      </c>
      <c r="L1524" t="s">
        <v>4187</v>
      </c>
      <c r="M1524" t="s">
        <v>62</v>
      </c>
      <c r="N1524" t="s">
        <v>187</v>
      </c>
      <c r="P1524">
        <f t="shared" si="46"/>
        <v>1</v>
      </c>
      <c r="Q1524" t="str">
        <f>IF(AND(P1524&gt;1,COUNTIF($E$6:E1524,E1524)=1),MAX($Q$5:Q1523)+1,"")</f>
        <v/>
      </c>
      <c r="R1524" t="str">
        <f t="shared" si="47"/>
        <v/>
      </c>
    </row>
    <row r="1525" spans="1:18" ht="22.95" customHeight="1">
      <c r="A1525" t="s">
        <v>4132</v>
      </c>
      <c r="B1525" t="s">
        <v>26</v>
      </c>
      <c r="C1525" t="s">
        <v>196</v>
      </c>
      <c r="D1525" t="s">
        <v>197</v>
      </c>
      <c r="E1525" t="s">
        <v>4188</v>
      </c>
      <c r="F1525">
        <v>1</v>
      </c>
      <c r="G1525" t="s">
        <v>4189</v>
      </c>
      <c r="H1525" t="s">
        <v>3030</v>
      </c>
      <c r="I1525" t="s">
        <v>4190</v>
      </c>
      <c r="K1525" t="s">
        <v>406</v>
      </c>
      <c r="L1525" t="s">
        <v>4191</v>
      </c>
      <c r="M1525" t="s">
        <v>62</v>
      </c>
      <c r="N1525" t="s">
        <v>187</v>
      </c>
      <c r="P1525">
        <f t="shared" si="46"/>
        <v>1</v>
      </c>
      <c r="Q1525" t="str">
        <f>IF(AND(P1525&gt;1,COUNTIF($E$6:E1525,E1525)=1),MAX($Q$5:Q1524)+1,"")</f>
        <v/>
      </c>
      <c r="R1525" t="str">
        <f t="shared" si="47"/>
        <v/>
      </c>
    </row>
    <row r="1526" spans="1:18" ht="22.95" customHeight="1">
      <c r="A1526" t="s">
        <v>4132</v>
      </c>
      <c r="B1526" t="s">
        <v>26</v>
      </c>
      <c r="C1526" t="s">
        <v>196</v>
      </c>
      <c r="D1526" t="s">
        <v>197</v>
      </c>
      <c r="E1526" t="s">
        <v>4192</v>
      </c>
      <c r="F1526">
        <v>1</v>
      </c>
      <c r="G1526" t="s">
        <v>4193</v>
      </c>
      <c r="H1526" t="s">
        <v>716</v>
      </c>
      <c r="I1526" t="s">
        <v>4194</v>
      </c>
      <c r="K1526" t="s">
        <v>4195</v>
      </c>
      <c r="L1526" t="s">
        <v>4196</v>
      </c>
      <c r="M1526" t="s">
        <v>62</v>
      </c>
      <c r="N1526" t="s">
        <v>187</v>
      </c>
      <c r="P1526">
        <f t="shared" si="46"/>
        <v>1</v>
      </c>
      <c r="Q1526" t="str">
        <f>IF(AND(P1526&gt;1,COUNTIF($E$6:E1526,E1526)=1),MAX($Q$5:Q1525)+1,"")</f>
        <v/>
      </c>
      <c r="R1526" t="str">
        <f t="shared" si="47"/>
        <v/>
      </c>
    </row>
    <row r="1527" spans="1:18" ht="22.95" customHeight="1">
      <c r="A1527" t="s">
        <v>4132</v>
      </c>
      <c r="B1527" t="s">
        <v>26</v>
      </c>
      <c r="C1527" t="s">
        <v>196</v>
      </c>
      <c r="D1527" t="s">
        <v>197</v>
      </c>
      <c r="E1527" t="s">
        <v>4197</v>
      </c>
      <c r="F1527">
        <v>1</v>
      </c>
      <c r="G1527" t="s">
        <v>4185</v>
      </c>
      <c r="H1527" t="s">
        <v>409</v>
      </c>
      <c r="I1527" t="s">
        <v>4198</v>
      </c>
      <c r="K1527" t="s">
        <v>4195</v>
      </c>
      <c r="L1527" t="s">
        <v>4199</v>
      </c>
      <c r="M1527" t="s">
        <v>62</v>
      </c>
      <c r="N1527" t="s">
        <v>187</v>
      </c>
      <c r="P1527">
        <f t="shared" si="46"/>
        <v>1</v>
      </c>
      <c r="Q1527" t="str">
        <f>IF(AND(P1527&gt;1,COUNTIF($E$6:E1527,E1527)=1),MAX($Q$5:Q1526)+1,"")</f>
        <v/>
      </c>
      <c r="R1527" t="str">
        <f t="shared" si="47"/>
        <v/>
      </c>
    </row>
    <row r="1528" spans="1:18" ht="22.95" customHeight="1">
      <c r="A1528" t="s">
        <v>4132</v>
      </c>
      <c r="B1528" t="s">
        <v>26</v>
      </c>
      <c r="C1528" t="s">
        <v>196</v>
      </c>
      <c r="D1528" t="s">
        <v>197</v>
      </c>
      <c r="E1528" t="s">
        <v>4200</v>
      </c>
      <c r="F1528">
        <v>1</v>
      </c>
      <c r="G1528" t="s">
        <v>4185</v>
      </c>
      <c r="H1528" t="s">
        <v>409</v>
      </c>
      <c r="I1528" t="s">
        <v>4201</v>
      </c>
      <c r="K1528" t="s">
        <v>4195</v>
      </c>
      <c r="L1528" t="s">
        <v>4199</v>
      </c>
      <c r="M1528" t="s">
        <v>62</v>
      </c>
      <c r="N1528" t="s">
        <v>187</v>
      </c>
      <c r="P1528">
        <f t="shared" si="46"/>
        <v>1</v>
      </c>
      <c r="Q1528" t="str">
        <f>IF(AND(P1528&gt;1,COUNTIF($E$6:E1528,E1528)=1),MAX($Q$5:Q1527)+1,"")</f>
        <v/>
      </c>
      <c r="R1528" t="str">
        <f t="shared" si="47"/>
        <v/>
      </c>
    </row>
    <row r="1529" spans="1:18" ht="22.95" customHeight="1">
      <c r="A1529" t="s">
        <v>4132</v>
      </c>
      <c r="B1529" t="s">
        <v>26</v>
      </c>
      <c r="C1529" t="s">
        <v>196</v>
      </c>
      <c r="D1529" t="s">
        <v>197</v>
      </c>
      <c r="E1529" t="s">
        <v>4202</v>
      </c>
      <c r="F1529">
        <v>1</v>
      </c>
      <c r="G1529" t="s">
        <v>4185</v>
      </c>
      <c r="H1529" t="s">
        <v>409</v>
      </c>
      <c r="I1529" t="s">
        <v>4203</v>
      </c>
      <c r="K1529" t="s">
        <v>4195</v>
      </c>
      <c r="L1529" t="s">
        <v>4204</v>
      </c>
      <c r="M1529" t="s">
        <v>62</v>
      </c>
      <c r="N1529" t="s">
        <v>187</v>
      </c>
      <c r="P1529">
        <f t="shared" si="46"/>
        <v>1</v>
      </c>
      <c r="Q1529" t="str">
        <f>IF(AND(P1529&gt;1,COUNTIF($E$6:E1529,E1529)=1),MAX($Q$5:Q1528)+1,"")</f>
        <v/>
      </c>
      <c r="R1529" t="str">
        <f t="shared" si="47"/>
        <v/>
      </c>
    </row>
    <row r="1530" spans="1:18" ht="22.95" customHeight="1">
      <c r="A1530" t="s">
        <v>4132</v>
      </c>
      <c r="B1530" t="s">
        <v>26</v>
      </c>
      <c r="C1530" t="s">
        <v>196</v>
      </c>
      <c r="D1530" t="s">
        <v>197</v>
      </c>
      <c r="E1530" t="s">
        <v>4205</v>
      </c>
      <c r="F1530">
        <v>1</v>
      </c>
      <c r="G1530" t="s">
        <v>4185</v>
      </c>
      <c r="H1530" t="s">
        <v>409</v>
      </c>
      <c r="I1530" t="s">
        <v>4198</v>
      </c>
      <c r="K1530" t="s">
        <v>4195</v>
      </c>
      <c r="L1530" t="s">
        <v>4204</v>
      </c>
      <c r="M1530" t="s">
        <v>62</v>
      </c>
      <c r="N1530" t="s">
        <v>187</v>
      </c>
      <c r="P1530">
        <f t="shared" si="46"/>
        <v>1</v>
      </c>
      <c r="Q1530" t="str">
        <f>IF(AND(P1530&gt;1,COUNTIF($E$6:E1530,E1530)=1),MAX($Q$5:Q1529)+1,"")</f>
        <v/>
      </c>
      <c r="R1530" t="str">
        <f t="shared" si="47"/>
        <v/>
      </c>
    </row>
    <row r="1531" spans="1:18" ht="22.95" customHeight="1">
      <c r="A1531" t="s">
        <v>4132</v>
      </c>
      <c r="B1531" t="s">
        <v>26</v>
      </c>
      <c r="C1531" t="s">
        <v>196</v>
      </c>
      <c r="D1531" t="s">
        <v>197</v>
      </c>
      <c r="E1531" t="s">
        <v>4206</v>
      </c>
      <c r="F1531">
        <v>1</v>
      </c>
      <c r="G1531" t="s">
        <v>4185</v>
      </c>
      <c r="H1531" t="s">
        <v>409</v>
      </c>
      <c r="I1531" t="s">
        <v>4207</v>
      </c>
      <c r="K1531" t="s">
        <v>4195</v>
      </c>
      <c r="L1531" t="s">
        <v>4208</v>
      </c>
      <c r="M1531" t="s">
        <v>62</v>
      </c>
      <c r="N1531" t="s">
        <v>187</v>
      </c>
      <c r="P1531">
        <f t="shared" si="46"/>
        <v>1</v>
      </c>
      <c r="Q1531" t="str">
        <f>IF(AND(P1531&gt;1,COUNTIF($E$6:E1531,E1531)=1),MAX($Q$5:Q1530)+1,"")</f>
        <v/>
      </c>
      <c r="R1531" t="str">
        <f t="shared" si="47"/>
        <v/>
      </c>
    </row>
    <row r="1532" spans="1:18" ht="22.95" customHeight="1">
      <c r="A1532" t="s">
        <v>4132</v>
      </c>
      <c r="B1532" t="s">
        <v>33</v>
      </c>
      <c r="C1532" t="s">
        <v>2314</v>
      </c>
      <c r="D1532" t="s">
        <v>2315</v>
      </c>
      <c r="E1532" t="s">
        <v>4209</v>
      </c>
      <c r="F1532">
        <v>1</v>
      </c>
      <c r="G1532" t="s">
        <v>4012</v>
      </c>
      <c r="H1532" t="s">
        <v>1812</v>
      </c>
      <c r="I1532" t="s">
        <v>408</v>
      </c>
      <c r="K1532" t="s">
        <v>406</v>
      </c>
      <c r="L1532" t="s">
        <v>4210</v>
      </c>
      <c r="M1532" t="s">
        <v>102</v>
      </c>
      <c r="P1532">
        <f t="shared" si="46"/>
        <v>1</v>
      </c>
      <c r="Q1532" t="str">
        <f>IF(AND(P1532&gt;1,COUNTIF($E$6:E1532,E1532)=1),MAX($Q$5:Q1531)+1,"")</f>
        <v/>
      </c>
      <c r="R1532" t="str">
        <f t="shared" si="47"/>
        <v/>
      </c>
    </row>
    <row r="1533" spans="1:18" ht="22.95" customHeight="1">
      <c r="A1533" t="s">
        <v>4132</v>
      </c>
      <c r="B1533" t="s">
        <v>31</v>
      </c>
      <c r="C1533" t="s">
        <v>491</v>
      </c>
      <c r="D1533" t="s">
        <v>492</v>
      </c>
      <c r="E1533" t="s">
        <v>4211</v>
      </c>
      <c r="F1533">
        <v>1</v>
      </c>
      <c r="G1533" t="s">
        <v>2192</v>
      </c>
      <c r="H1533" t="s">
        <v>2833</v>
      </c>
      <c r="I1533" t="s">
        <v>406</v>
      </c>
      <c r="K1533" t="s">
        <v>406</v>
      </c>
      <c r="L1533" t="s">
        <v>4212</v>
      </c>
      <c r="M1533" t="s">
        <v>73</v>
      </c>
      <c r="P1533">
        <f t="shared" si="46"/>
        <v>1</v>
      </c>
      <c r="Q1533" t="str">
        <f>IF(AND(P1533&gt;1,COUNTIF($E$6:E1533,E1533)=1),MAX($Q$5:Q1532)+1,"")</f>
        <v/>
      </c>
      <c r="R1533" t="str">
        <f t="shared" si="47"/>
        <v/>
      </c>
    </row>
    <row r="1534" spans="1:18" ht="22.95" customHeight="1">
      <c r="A1534" t="s">
        <v>4132</v>
      </c>
      <c r="B1534" t="s">
        <v>31</v>
      </c>
      <c r="C1534" t="s">
        <v>491</v>
      </c>
      <c r="D1534" t="s">
        <v>492</v>
      </c>
      <c r="E1534" t="s">
        <v>4213</v>
      </c>
      <c r="F1534">
        <v>1</v>
      </c>
      <c r="G1534" t="s">
        <v>2192</v>
      </c>
      <c r="H1534" t="s">
        <v>2833</v>
      </c>
      <c r="I1534" t="s">
        <v>406</v>
      </c>
      <c r="K1534" t="s">
        <v>406</v>
      </c>
      <c r="L1534" t="s">
        <v>4212</v>
      </c>
      <c r="M1534" t="s">
        <v>73</v>
      </c>
      <c r="P1534">
        <f t="shared" si="46"/>
        <v>1</v>
      </c>
      <c r="Q1534" t="str">
        <f>IF(AND(P1534&gt;1,COUNTIF($E$6:E1534,E1534)=1),MAX($Q$5:Q1533)+1,"")</f>
        <v/>
      </c>
      <c r="R1534" t="str">
        <f t="shared" si="47"/>
        <v/>
      </c>
    </row>
    <row r="1535" spans="1:18" ht="22.95" customHeight="1">
      <c r="A1535" t="s">
        <v>4132</v>
      </c>
      <c r="B1535" t="s">
        <v>31</v>
      </c>
      <c r="C1535" t="s">
        <v>491</v>
      </c>
      <c r="D1535" t="s">
        <v>492</v>
      </c>
      <c r="E1535" t="s">
        <v>4214</v>
      </c>
      <c r="F1535">
        <v>1</v>
      </c>
      <c r="G1535" t="s">
        <v>2192</v>
      </c>
      <c r="H1535" t="s">
        <v>2833</v>
      </c>
      <c r="I1535" t="s">
        <v>406</v>
      </c>
      <c r="K1535" t="s">
        <v>406</v>
      </c>
      <c r="L1535" t="s">
        <v>4212</v>
      </c>
      <c r="M1535" t="s">
        <v>73</v>
      </c>
      <c r="P1535">
        <f t="shared" si="46"/>
        <v>1</v>
      </c>
      <c r="Q1535" t="str">
        <f>IF(AND(P1535&gt;1,COUNTIF($E$6:E1535,E1535)=1),MAX($Q$5:Q1534)+1,"")</f>
        <v/>
      </c>
      <c r="R1535" t="str">
        <f t="shared" si="47"/>
        <v/>
      </c>
    </row>
    <row r="1536" spans="1:18" ht="22.95" customHeight="1">
      <c r="A1536" t="s">
        <v>4132</v>
      </c>
      <c r="B1536" t="s">
        <v>31</v>
      </c>
      <c r="C1536" t="s">
        <v>491</v>
      </c>
      <c r="D1536" t="s">
        <v>492</v>
      </c>
      <c r="E1536" t="s">
        <v>4215</v>
      </c>
      <c r="F1536">
        <v>1</v>
      </c>
      <c r="G1536" t="s">
        <v>92</v>
      </c>
      <c r="I1536" t="s">
        <v>406</v>
      </c>
      <c r="K1536" t="s">
        <v>406</v>
      </c>
      <c r="L1536" t="s">
        <v>4216</v>
      </c>
      <c r="M1536" t="s">
        <v>102</v>
      </c>
      <c r="P1536">
        <f t="shared" si="46"/>
        <v>1</v>
      </c>
      <c r="Q1536" t="str">
        <f>IF(AND(P1536&gt;1,COUNTIF($E$6:E1536,E1536)=1),MAX($Q$5:Q1535)+1,"")</f>
        <v/>
      </c>
      <c r="R1536" t="str">
        <f t="shared" si="47"/>
        <v/>
      </c>
    </row>
    <row r="1537" spans="1:18" ht="22.95" customHeight="1">
      <c r="A1537" t="s">
        <v>4217</v>
      </c>
      <c r="B1537" t="s">
        <v>20</v>
      </c>
      <c r="C1537" t="s">
        <v>55</v>
      </c>
      <c r="D1537" t="s">
        <v>56</v>
      </c>
      <c r="E1537" t="s">
        <v>4218</v>
      </c>
      <c r="F1537">
        <v>1</v>
      </c>
      <c r="L1537" t="s">
        <v>4219</v>
      </c>
      <c r="M1537" t="s">
        <v>73</v>
      </c>
      <c r="P1537">
        <f t="shared" si="46"/>
        <v>1</v>
      </c>
      <c r="Q1537" t="str">
        <f>IF(AND(P1537&gt;1,COUNTIF($E$6:E1537,E1537)=1),MAX($Q$5:Q1536)+1,"")</f>
        <v/>
      </c>
      <c r="R1537" t="str">
        <f t="shared" si="47"/>
        <v/>
      </c>
    </row>
    <row r="1538" spans="1:18" ht="22.95" customHeight="1">
      <c r="A1538" t="s">
        <v>4217</v>
      </c>
      <c r="B1538" t="s">
        <v>20</v>
      </c>
      <c r="C1538" t="s">
        <v>65</v>
      </c>
      <c r="D1538" t="s">
        <v>66</v>
      </c>
      <c r="E1538" t="s">
        <v>4220</v>
      </c>
      <c r="F1538">
        <v>1</v>
      </c>
      <c r="I1538" t="s">
        <v>4221</v>
      </c>
      <c r="J1538" t="s">
        <v>245</v>
      </c>
      <c r="L1538" t="s">
        <v>4222</v>
      </c>
      <c r="M1538" t="s">
        <v>73</v>
      </c>
      <c r="P1538">
        <f t="shared" si="46"/>
        <v>1</v>
      </c>
      <c r="Q1538" t="str">
        <f>IF(AND(P1538&gt;1,COUNTIF($E$6:E1538,E1538)=1),MAX($Q$5:Q1537)+1,"")</f>
        <v/>
      </c>
      <c r="R1538" t="str">
        <f t="shared" si="47"/>
        <v/>
      </c>
    </row>
    <row r="1539" spans="1:18" ht="22.95" customHeight="1">
      <c r="A1539" t="s">
        <v>4217</v>
      </c>
      <c r="B1539" t="s">
        <v>20</v>
      </c>
      <c r="C1539" t="s">
        <v>65</v>
      </c>
      <c r="D1539" t="s">
        <v>66</v>
      </c>
      <c r="E1539" t="s">
        <v>4223</v>
      </c>
      <c r="F1539">
        <v>1</v>
      </c>
      <c r="I1539" t="s">
        <v>4221</v>
      </c>
      <c r="J1539" t="s">
        <v>245</v>
      </c>
      <c r="L1539" t="s">
        <v>4222</v>
      </c>
      <c r="M1539" t="s">
        <v>73</v>
      </c>
      <c r="P1539">
        <f t="shared" si="46"/>
        <v>1</v>
      </c>
      <c r="Q1539" t="str">
        <f>IF(AND(P1539&gt;1,COUNTIF($E$6:E1539,E1539)=1),MAX($Q$5:Q1538)+1,"")</f>
        <v/>
      </c>
      <c r="R1539" t="str">
        <f t="shared" si="47"/>
        <v/>
      </c>
    </row>
    <row r="1540" spans="1:18" ht="22.95" customHeight="1">
      <c r="A1540" t="s">
        <v>4217</v>
      </c>
      <c r="B1540" t="s">
        <v>20</v>
      </c>
      <c r="C1540" t="s">
        <v>65</v>
      </c>
      <c r="D1540" t="s">
        <v>66</v>
      </c>
      <c r="E1540" t="s">
        <v>4224</v>
      </c>
      <c r="F1540">
        <v>1</v>
      </c>
      <c r="I1540" t="s">
        <v>4221</v>
      </c>
      <c r="J1540" t="s">
        <v>245</v>
      </c>
      <c r="L1540" t="s">
        <v>4222</v>
      </c>
      <c r="M1540" t="s">
        <v>73</v>
      </c>
      <c r="P1540">
        <f t="shared" si="46"/>
        <v>1</v>
      </c>
      <c r="Q1540" t="str">
        <f>IF(AND(P1540&gt;1,COUNTIF($E$6:E1540,E1540)=1),MAX($Q$5:Q1539)+1,"")</f>
        <v/>
      </c>
      <c r="R1540" t="str">
        <f t="shared" si="47"/>
        <v/>
      </c>
    </row>
    <row r="1541" spans="1:18" ht="22.95" customHeight="1">
      <c r="A1541" t="s">
        <v>4217</v>
      </c>
      <c r="B1541" t="s">
        <v>20</v>
      </c>
      <c r="C1541" t="s">
        <v>65</v>
      </c>
      <c r="D1541" t="s">
        <v>66</v>
      </c>
      <c r="E1541" t="s">
        <v>4225</v>
      </c>
      <c r="F1541">
        <v>1</v>
      </c>
      <c r="I1541" t="s">
        <v>4221</v>
      </c>
      <c r="J1541" t="s">
        <v>245</v>
      </c>
      <c r="L1541" t="s">
        <v>4222</v>
      </c>
      <c r="M1541" t="s">
        <v>73</v>
      </c>
      <c r="P1541">
        <f t="shared" si="46"/>
        <v>1</v>
      </c>
      <c r="Q1541" t="str">
        <f>IF(AND(P1541&gt;1,COUNTIF($E$6:E1541,E1541)=1),MAX($Q$5:Q1540)+1,"")</f>
        <v/>
      </c>
      <c r="R1541" t="str">
        <f t="shared" si="47"/>
        <v/>
      </c>
    </row>
    <row r="1542" spans="1:18" ht="22.95" customHeight="1">
      <c r="A1542" t="s">
        <v>4217</v>
      </c>
      <c r="B1542" t="s">
        <v>20</v>
      </c>
      <c r="C1542" t="s">
        <v>65</v>
      </c>
      <c r="D1542" t="s">
        <v>66</v>
      </c>
      <c r="E1542" t="s">
        <v>4226</v>
      </c>
      <c r="F1542">
        <v>1</v>
      </c>
      <c r="I1542" t="s">
        <v>4221</v>
      </c>
      <c r="J1542" t="s">
        <v>245</v>
      </c>
      <c r="L1542" t="s">
        <v>4222</v>
      </c>
      <c r="M1542" t="s">
        <v>73</v>
      </c>
      <c r="P1542">
        <f t="shared" ref="P1542:P1605" si="48">COUNTIF($E$6:$E$1740,E1542)</f>
        <v>1</v>
      </c>
      <c r="Q1542" t="str">
        <f>IF(AND(P1542&gt;1,COUNTIF($E$6:E1542,E1542)=1),MAX($Q$5:Q1541)+1,"")</f>
        <v/>
      </c>
      <c r="R1542" t="str">
        <f t="shared" ref="R1542:R1605" si="49">IF(Q1542="","",IF(COUNTIFS($E$6:$E$1740,E1542,$A$6:$A$1740,A1542,$C$6:$C$1740,C1542)&lt;P1542,"LÉGITIME",IF(COUNTIFS($E$6:$E$1740,E1542,$A$6:$A$1740,A1542,$C$6:$C$1740,C1542,$M$6:$M$1740,M1542)&lt;P1542,"STATUT DIFFÉRENT","VRAI DOUBLON")))</f>
        <v/>
      </c>
    </row>
    <row r="1543" spans="1:18" ht="22.95" customHeight="1">
      <c r="A1543" t="s">
        <v>4217</v>
      </c>
      <c r="B1543" t="s">
        <v>20</v>
      </c>
      <c r="C1543" t="s">
        <v>65</v>
      </c>
      <c r="D1543" t="s">
        <v>66</v>
      </c>
      <c r="E1543" t="s">
        <v>4227</v>
      </c>
      <c r="F1543">
        <v>1</v>
      </c>
      <c r="I1543" t="s">
        <v>4221</v>
      </c>
      <c r="J1543" t="s">
        <v>245</v>
      </c>
      <c r="L1543" t="s">
        <v>4222</v>
      </c>
      <c r="M1543" t="s">
        <v>73</v>
      </c>
      <c r="P1543">
        <f t="shared" si="48"/>
        <v>1</v>
      </c>
      <c r="Q1543" t="str">
        <f>IF(AND(P1543&gt;1,COUNTIF($E$6:E1543,E1543)=1),MAX($Q$5:Q1542)+1,"")</f>
        <v/>
      </c>
      <c r="R1543" t="str">
        <f t="shared" si="49"/>
        <v/>
      </c>
    </row>
    <row r="1544" spans="1:18" ht="22.95" customHeight="1">
      <c r="A1544" t="s">
        <v>4217</v>
      </c>
      <c r="B1544" t="s">
        <v>20</v>
      </c>
      <c r="C1544" t="s">
        <v>65</v>
      </c>
      <c r="D1544" t="s">
        <v>66</v>
      </c>
      <c r="E1544" t="s">
        <v>4228</v>
      </c>
      <c r="F1544">
        <v>1</v>
      </c>
      <c r="I1544" t="s">
        <v>4221</v>
      </c>
      <c r="J1544" t="s">
        <v>245</v>
      </c>
      <c r="L1544" t="s">
        <v>4222</v>
      </c>
      <c r="M1544" t="s">
        <v>73</v>
      </c>
      <c r="P1544">
        <f t="shared" si="48"/>
        <v>1</v>
      </c>
      <c r="Q1544" t="str">
        <f>IF(AND(P1544&gt;1,COUNTIF($E$6:E1544,E1544)=1),MAX($Q$5:Q1543)+1,"")</f>
        <v/>
      </c>
      <c r="R1544" t="str">
        <f t="shared" si="49"/>
        <v/>
      </c>
    </row>
    <row r="1545" spans="1:18" ht="22.95" customHeight="1">
      <c r="A1545" t="s">
        <v>4217</v>
      </c>
      <c r="B1545" t="s">
        <v>22</v>
      </c>
      <c r="C1545" t="s">
        <v>370</v>
      </c>
      <c r="D1545" t="s">
        <v>371</v>
      </c>
      <c r="E1545" t="s">
        <v>4229</v>
      </c>
      <c r="F1545">
        <v>1</v>
      </c>
      <c r="G1545" t="s">
        <v>92</v>
      </c>
      <c r="I1545" t="s">
        <v>4230</v>
      </c>
      <c r="L1545" t="s">
        <v>4231</v>
      </c>
      <c r="M1545" t="s">
        <v>102</v>
      </c>
      <c r="P1545">
        <f t="shared" si="48"/>
        <v>1</v>
      </c>
      <c r="Q1545" t="str">
        <f>IF(AND(P1545&gt;1,COUNTIF($E$6:E1545,E1545)=1),MAX($Q$5:Q1544)+1,"")</f>
        <v/>
      </c>
      <c r="R1545" t="str">
        <f t="shared" si="49"/>
        <v/>
      </c>
    </row>
    <row r="1546" spans="1:18" ht="22.95" customHeight="1">
      <c r="A1546" t="s">
        <v>4217</v>
      </c>
      <c r="B1546" t="s">
        <v>22</v>
      </c>
      <c r="C1546" t="s">
        <v>370</v>
      </c>
      <c r="D1546" t="s">
        <v>371</v>
      </c>
      <c r="E1546" t="s">
        <v>4232</v>
      </c>
      <c r="F1546">
        <v>1</v>
      </c>
      <c r="G1546" t="s">
        <v>92</v>
      </c>
      <c r="I1546" t="s">
        <v>4230</v>
      </c>
      <c r="L1546" t="s">
        <v>4233</v>
      </c>
      <c r="M1546" t="s">
        <v>102</v>
      </c>
      <c r="P1546">
        <f t="shared" si="48"/>
        <v>1</v>
      </c>
      <c r="Q1546" t="str">
        <f>IF(AND(P1546&gt;1,COUNTIF($E$6:E1546,E1546)=1),MAX($Q$5:Q1545)+1,"")</f>
        <v/>
      </c>
      <c r="R1546" t="str">
        <f t="shared" si="49"/>
        <v/>
      </c>
    </row>
    <row r="1547" spans="1:18" ht="22.95" customHeight="1">
      <c r="A1547" t="s">
        <v>4217</v>
      </c>
      <c r="B1547" t="s">
        <v>22</v>
      </c>
      <c r="C1547" t="s">
        <v>370</v>
      </c>
      <c r="D1547" t="s">
        <v>371</v>
      </c>
      <c r="E1547" t="s">
        <v>4234</v>
      </c>
      <c r="F1547">
        <v>1</v>
      </c>
      <c r="G1547" t="s">
        <v>92</v>
      </c>
      <c r="I1547" t="s">
        <v>733</v>
      </c>
      <c r="L1547" t="s">
        <v>4235</v>
      </c>
      <c r="M1547" t="s">
        <v>102</v>
      </c>
      <c r="P1547">
        <f t="shared" si="48"/>
        <v>1</v>
      </c>
      <c r="Q1547" t="str">
        <f>IF(AND(P1547&gt;1,COUNTIF($E$6:E1547,E1547)=1),MAX($Q$5:Q1546)+1,"")</f>
        <v/>
      </c>
      <c r="R1547" t="str">
        <f t="shared" si="49"/>
        <v/>
      </c>
    </row>
    <row r="1548" spans="1:18" ht="22.95" customHeight="1">
      <c r="A1548" t="s">
        <v>4217</v>
      </c>
      <c r="B1548" t="s">
        <v>23</v>
      </c>
      <c r="C1548" t="s">
        <v>103</v>
      </c>
      <c r="D1548" t="s">
        <v>104</v>
      </c>
      <c r="E1548" t="s">
        <v>4236</v>
      </c>
      <c r="F1548">
        <v>1</v>
      </c>
      <c r="G1548" t="s">
        <v>4237</v>
      </c>
      <c r="H1548" t="s">
        <v>4238</v>
      </c>
      <c r="I1548" t="s">
        <v>406</v>
      </c>
      <c r="K1548" t="s">
        <v>406</v>
      </c>
      <c r="L1548" t="s">
        <v>4239</v>
      </c>
      <c r="M1548" t="s">
        <v>62</v>
      </c>
      <c r="N1548" t="s">
        <v>712</v>
      </c>
      <c r="P1548">
        <f t="shared" si="48"/>
        <v>1</v>
      </c>
      <c r="Q1548" t="str">
        <f>IF(AND(P1548&gt;1,COUNTIF($E$6:E1548,E1548)=1),MAX($Q$5:Q1547)+1,"")</f>
        <v/>
      </c>
      <c r="R1548" t="str">
        <f t="shared" si="49"/>
        <v/>
      </c>
    </row>
    <row r="1549" spans="1:18" ht="22.95" customHeight="1">
      <c r="A1549" t="s">
        <v>4217</v>
      </c>
      <c r="B1549" t="s">
        <v>23</v>
      </c>
      <c r="C1549" t="s">
        <v>103</v>
      </c>
      <c r="D1549" t="s">
        <v>104</v>
      </c>
      <c r="E1549" t="s">
        <v>4240</v>
      </c>
      <c r="F1549">
        <v>1</v>
      </c>
      <c r="G1549" t="s">
        <v>1592</v>
      </c>
      <c r="H1549" t="s">
        <v>4241</v>
      </c>
      <c r="I1549" t="s">
        <v>406</v>
      </c>
      <c r="K1549" t="s">
        <v>406</v>
      </c>
      <c r="L1549" t="s">
        <v>4242</v>
      </c>
      <c r="M1549" t="s">
        <v>73</v>
      </c>
      <c r="P1549">
        <f t="shared" si="48"/>
        <v>1</v>
      </c>
      <c r="Q1549" t="str">
        <f>IF(AND(P1549&gt;1,COUNTIF($E$6:E1549,E1549)=1),MAX($Q$5:Q1548)+1,"")</f>
        <v/>
      </c>
      <c r="R1549" t="str">
        <f t="shared" si="49"/>
        <v/>
      </c>
    </row>
    <row r="1550" spans="1:18" ht="22.95" customHeight="1">
      <c r="A1550" t="s">
        <v>4217</v>
      </c>
      <c r="B1550" t="s">
        <v>23</v>
      </c>
      <c r="C1550" t="s">
        <v>103</v>
      </c>
      <c r="D1550" t="s">
        <v>104</v>
      </c>
      <c r="E1550" t="s">
        <v>4243</v>
      </c>
      <c r="F1550">
        <v>1</v>
      </c>
      <c r="G1550" t="s">
        <v>1592</v>
      </c>
      <c r="H1550" t="s">
        <v>4241</v>
      </c>
      <c r="I1550" t="s">
        <v>406</v>
      </c>
      <c r="K1550" t="s">
        <v>406</v>
      </c>
      <c r="L1550" t="s">
        <v>4242</v>
      </c>
      <c r="M1550" t="s">
        <v>73</v>
      </c>
      <c r="P1550">
        <f t="shared" si="48"/>
        <v>1</v>
      </c>
      <c r="Q1550" t="str">
        <f>IF(AND(P1550&gt;1,COUNTIF($E$6:E1550,E1550)=1),MAX($Q$5:Q1549)+1,"")</f>
        <v/>
      </c>
      <c r="R1550" t="str">
        <f t="shared" si="49"/>
        <v/>
      </c>
    </row>
    <row r="1551" spans="1:18" ht="22.95" customHeight="1">
      <c r="A1551" t="s">
        <v>4217</v>
      </c>
      <c r="B1551" t="s">
        <v>25</v>
      </c>
      <c r="C1551" t="s">
        <v>115</v>
      </c>
      <c r="D1551" t="s">
        <v>116</v>
      </c>
      <c r="E1551" t="s">
        <v>4244</v>
      </c>
      <c r="F1551">
        <v>1</v>
      </c>
      <c r="G1551" t="s">
        <v>411</v>
      </c>
      <c r="H1551" t="s">
        <v>409</v>
      </c>
      <c r="I1551" t="s">
        <v>415</v>
      </c>
      <c r="K1551" t="s">
        <v>109</v>
      </c>
      <c r="L1551" t="s">
        <v>4245</v>
      </c>
      <c r="M1551" t="s">
        <v>73</v>
      </c>
      <c r="P1551">
        <f t="shared" si="48"/>
        <v>1</v>
      </c>
      <c r="Q1551" t="str">
        <f>IF(AND(P1551&gt;1,COUNTIF($E$6:E1551,E1551)=1),MAX($Q$5:Q1550)+1,"")</f>
        <v/>
      </c>
      <c r="R1551" t="str">
        <f t="shared" si="49"/>
        <v/>
      </c>
    </row>
    <row r="1552" spans="1:18" ht="22.95" customHeight="1">
      <c r="A1552" t="s">
        <v>4217</v>
      </c>
      <c r="B1552" t="s">
        <v>24</v>
      </c>
      <c r="C1552" t="s">
        <v>426</v>
      </c>
      <c r="D1552" t="s">
        <v>427</v>
      </c>
      <c r="E1552" t="s">
        <v>4246</v>
      </c>
      <c r="F1552">
        <v>1</v>
      </c>
      <c r="G1552" t="s">
        <v>92</v>
      </c>
      <c r="I1552" t="s">
        <v>2240</v>
      </c>
      <c r="K1552" t="s">
        <v>109</v>
      </c>
      <c r="L1552" t="s">
        <v>4247</v>
      </c>
      <c r="M1552" t="s">
        <v>62</v>
      </c>
      <c r="N1552" t="s">
        <v>63</v>
      </c>
      <c r="P1552">
        <f t="shared" si="48"/>
        <v>1</v>
      </c>
      <c r="Q1552" t="str">
        <f>IF(AND(P1552&gt;1,COUNTIF($E$6:E1552,E1552)=1),MAX($Q$5:Q1551)+1,"")</f>
        <v/>
      </c>
      <c r="R1552" t="str">
        <f t="shared" si="49"/>
        <v/>
      </c>
    </row>
    <row r="1553" spans="1:18" ht="22.95" customHeight="1">
      <c r="A1553" t="s">
        <v>4217</v>
      </c>
      <c r="B1553" t="s">
        <v>24</v>
      </c>
      <c r="C1553" t="s">
        <v>426</v>
      </c>
      <c r="D1553" t="s">
        <v>427</v>
      </c>
      <c r="E1553" t="s">
        <v>4248</v>
      </c>
      <c r="F1553">
        <v>1</v>
      </c>
      <c r="G1553" t="s">
        <v>92</v>
      </c>
      <c r="I1553" t="s">
        <v>2240</v>
      </c>
      <c r="K1553" t="s">
        <v>109</v>
      </c>
      <c r="L1553" t="s">
        <v>4249</v>
      </c>
      <c r="M1553" t="s">
        <v>62</v>
      </c>
      <c r="N1553" t="s">
        <v>63</v>
      </c>
      <c r="P1553">
        <f t="shared" si="48"/>
        <v>1</v>
      </c>
      <c r="Q1553" t="str">
        <f>IF(AND(P1553&gt;1,COUNTIF($E$6:E1553,E1553)=1),MAX($Q$5:Q1552)+1,"")</f>
        <v/>
      </c>
      <c r="R1553" t="str">
        <f t="shared" si="49"/>
        <v/>
      </c>
    </row>
    <row r="1554" spans="1:18" ht="22.95" customHeight="1">
      <c r="A1554" t="s">
        <v>4217</v>
      </c>
      <c r="B1554" t="s">
        <v>24</v>
      </c>
      <c r="C1554" t="s">
        <v>436</v>
      </c>
      <c r="D1554" t="s">
        <v>437</v>
      </c>
      <c r="E1554" t="s">
        <v>4250</v>
      </c>
      <c r="F1554">
        <v>1</v>
      </c>
      <c r="G1554" t="s">
        <v>92</v>
      </c>
      <c r="I1554" t="s">
        <v>4251</v>
      </c>
      <c r="K1554" t="s">
        <v>1371</v>
      </c>
      <c r="L1554" t="s">
        <v>4252</v>
      </c>
      <c r="M1554" t="s">
        <v>62</v>
      </c>
      <c r="N1554" t="s">
        <v>624</v>
      </c>
      <c r="P1554">
        <f t="shared" si="48"/>
        <v>1</v>
      </c>
      <c r="Q1554" t="str">
        <f>IF(AND(P1554&gt;1,COUNTIF($E$6:E1554,E1554)=1),MAX($Q$5:Q1553)+1,"")</f>
        <v/>
      </c>
      <c r="R1554" t="str">
        <f t="shared" si="49"/>
        <v/>
      </c>
    </row>
    <row r="1555" spans="1:18" ht="22.95" customHeight="1">
      <c r="A1555" t="s">
        <v>4217</v>
      </c>
      <c r="B1555" t="s">
        <v>24</v>
      </c>
      <c r="C1555" t="s">
        <v>436</v>
      </c>
      <c r="D1555" t="s">
        <v>437</v>
      </c>
      <c r="E1555" t="s">
        <v>4253</v>
      </c>
      <c r="F1555">
        <v>1</v>
      </c>
      <c r="G1555" t="s">
        <v>92</v>
      </c>
      <c r="I1555" t="s">
        <v>4254</v>
      </c>
      <c r="K1555" t="s">
        <v>1371</v>
      </c>
      <c r="L1555" t="s">
        <v>4255</v>
      </c>
      <c r="M1555" t="s">
        <v>62</v>
      </c>
      <c r="N1555" t="s">
        <v>63</v>
      </c>
      <c r="P1555">
        <f t="shared" si="48"/>
        <v>1</v>
      </c>
      <c r="Q1555" t="str">
        <f>IF(AND(P1555&gt;1,COUNTIF($E$6:E1555,E1555)=1),MAX($Q$5:Q1554)+1,"")</f>
        <v/>
      </c>
      <c r="R1555" t="str">
        <f t="shared" si="49"/>
        <v/>
      </c>
    </row>
    <row r="1556" spans="1:18" ht="22.95" customHeight="1">
      <c r="A1556" t="s">
        <v>4217</v>
      </c>
      <c r="B1556" t="s">
        <v>24</v>
      </c>
      <c r="C1556" t="s">
        <v>436</v>
      </c>
      <c r="D1556" t="s">
        <v>437</v>
      </c>
      <c r="E1556" t="s">
        <v>4256</v>
      </c>
      <c r="F1556">
        <v>1</v>
      </c>
      <c r="G1556" t="s">
        <v>92</v>
      </c>
      <c r="I1556" t="s">
        <v>141</v>
      </c>
      <c r="K1556" t="s">
        <v>406</v>
      </c>
      <c r="L1556" t="s">
        <v>4257</v>
      </c>
      <c r="M1556" t="s">
        <v>102</v>
      </c>
      <c r="P1556">
        <f t="shared" si="48"/>
        <v>1</v>
      </c>
      <c r="Q1556" t="str">
        <f>IF(AND(P1556&gt;1,COUNTIF($E$6:E1556,E1556)=1),MAX($Q$5:Q1555)+1,"")</f>
        <v/>
      </c>
      <c r="R1556" t="str">
        <f t="shared" si="49"/>
        <v/>
      </c>
    </row>
    <row r="1557" spans="1:18" ht="22.95" customHeight="1">
      <c r="A1557" t="s">
        <v>4217</v>
      </c>
      <c r="B1557" t="s">
        <v>24</v>
      </c>
      <c r="C1557" t="s">
        <v>443</v>
      </c>
      <c r="D1557" t="s">
        <v>444</v>
      </c>
      <c r="E1557" t="s">
        <v>4258</v>
      </c>
      <c r="F1557">
        <v>1</v>
      </c>
      <c r="L1557" t="s">
        <v>4259</v>
      </c>
      <c r="M1557" t="s">
        <v>102</v>
      </c>
      <c r="P1557">
        <f t="shared" si="48"/>
        <v>1</v>
      </c>
      <c r="Q1557" t="str">
        <f>IF(AND(P1557&gt;1,COUNTIF($E$6:E1557,E1557)=1),MAX($Q$5:Q1556)+1,"")</f>
        <v/>
      </c>
      <c r="R1557" t="str">
        <f t="shared" si="49"/>
        <v/>
      </c>
    </row>
    <row r="1558" spans="1:18" ht="22.95" customHeight="1">
      <c r="A1558" t="s">
        <v>4217</v>
      </c>
      <c r="B1558" t="s">
        <v>28</v>
      </c>
      <c r="C1558" t="s">
        <v>146</v>
      </c>
      <c r="D1558" t="s">
        <v>147</v>
      </c>
      <c r="E1558" t="s">
        <v>4260</v>
      </c>
      <c r="F1558">
        <v>1</v>
      </c>
      <c r="G1558" t="s">
        <v>4261</v>
      </c>
      <c r="H1558" t="s">
        <v>753</v>
      </c>
      <c r="I1558" t="s">
        <v>141</v>
      </c>
      <c r="K1558" t="s">
        <v>78</v>
      </c>
      <c r="L1558" t="s">
        <v>4262</v>
      </c>
      <c r="M1558" t="s">
        <v>73</v>
      </c>
      <c r="P1558">
        <f t="shared" si="48"/>
        <v>1</v>
      </c>
      <c r="Q1558" t="str">
        <f>IF(AND(P1558&gt;1,COUNTIF($E$6:E1558,E1558)=1),MAX($Q$5:Q1557)+1,"")</f>
        <v/>
      </c>
      <c r="R1558" t="str">
        <f t="shared" si="49"/>
        <v/>
      </c>
    </row>
    <row r="1559" spans="1:18" ht="22.95" customHeight="1">
      <c r="A1559" t="s">
        <v>4217</v>
      </c>
      <c r="B1559" t="s">
        <v>28</v>
      </c>
      <c r="C1559" t="s">
        <v>146</v>
      </c>
      <c r="D1559" t="s">
        <v>147</v>
      </c>
      <c r="E1559" t="s">
        <v>4263</v>
      </c>
      <c r="F1559">
        <v>1</v>
      </c>
      <c r="G1559" t="s">
        <v>4264</v>
      </c>
      <c r="H1559" t="s">
        <v>4265</v>
      </c>
      <c r="I1559" t="s">
        <v>4266</v>
      </c>
      <c r="K1559" t="s">
        <v>4137</v>
      </c>
      <c r="L1559" t="s">
        <v>4267</v>
      </c>
      <c r="M1559" t="s">
        <v>73</v>
      </c>
      <c r="P1559">
        <f t="shared" si="48"/>
        <v>1</v>
      </c>
      <c r="Q1559" t="str">
        <f>IF(AND(P1559&gt;1,COUNTIF($E$6:E1559,E1559)=1),MAX($Q$5:Q1558)+1,"")</f>
        <v/>
      </c>
      <c r="R1559" t="str">
        <f t="shared" si="49"/>
        <v/>
      </c>
    </row>
    <row r="1560" spans="1:18" ht="22.95" customHeight="1">
      <c r="A1560" t="s">
        <v>4217</v>
      </c>
      <c r="B1560" t="s">
        <v>28</v>
      </c>
      <c r="C1560" t="s">
        <v>146</v>
      </c>
      <c r="D1560" t="s">
        <v>147</v>
      </c>
      <c r="E1560" t="s">
        <v>4268</v>
      </c>
      <c r="F1560">
        <v>1</v>
      </c>
      <c r="G1560" t="s">
        <v>527</v>
      </c>
      <c r="H1560" t="s">
        <v>1217</v>
      </c>
      <c r="I1560" t="s">
        <v>4269</v>
      </c>
      <c r="K1560" t="s">
        <v>960</v>
      </c>
      <c r="L1560" t="s">
        <v>4270</v>
      </c>
      <c r="M1560" t="s">
        <v>62</v>
      </c>
      <c r="N1560" t="s">
        <v>811</v>
      </c>
      <c r="P1560">
        <f t="shared" si="48"/>
        <v>1</v>
      </c>
      <c r="Q1560" t="str">
        <f>IF(AND(P1560&gt;1,COUNTIF($E$6:E1560,E1560)=1),MAX($Q$5:Q1559)+1,"")</f>
        <v/>
      </c>
      <c r="R1560" t="str">
        <f t="shared" si="49"/>
        <v/>
      </c>
    </row>
    <row r="1561" spans="1:18" ht="22.95" customHeight="1">
      <c r="A1561" t="s">
        <v>4217</v>
      </c>
      <c r="B1561" t="s">
        <v>28</v>
      </c>
      <c r="C1561" t="s">
        <v>146</v>
      </c>
      <c r="D1561" t="s">
        <v>147</v>
      </c>
      <c r="E1561" t="s">
        <v>4271</v>
      </c>
      <c r="F1561">
        <v>1</v>
      </c>
      <c r="G1561" t="s">
        <v>527</v>
      </c>
      <c r="H1561" t="s">
        <v>1217</v>
      </c>
      <c r="I1561" t="s">
        <v>4269</v>
      </c>
      <c r="K1561" t="s">
        <v>960</v>
      </c>
      <c r="L1561" t="s">
        <v>4270</v>
      </c>
      <c r="M1561" t="s">
        <v>62</v>
      </c>
      <c r="N1561" t="s">
        <v>811</v>
      </c>
      <c r="P1561">
        <f t="shared" si="48"/>
        <v>1</v>
      </c>
      <c r="Q1561" t="str">
        <f>IF(AND(P1561&gt;1,COUNTIF($E$6:E1561,E1561)=1),MAX($Q$5:Q1560)+1,"")</f>
        <v/>
      </c>
      <c r="R1561" t="str">
        <f t="shared" si="49"/>
        <v/>
      </c>
    </row>
    <row r="1562" spans="1:18" ht="22.95" customHeight="1">
      <c r="A1562" t="s">
        <v>4217</v>
      </c>
      <c r="B1562" t="s">
        <v>28</v>
      </c>
      <c r="C1562" t="s">
        <v>146</v>
      </c>
      <c r="D1562" t="s">
        <v>147</v>
      </c>
      <c r="E1562" t="s">
        <v>4272</v>
      </c>
      <c r="F1562">
        <v>1</v>
      </c>
      <c r="G1562" t="s">
        <v>4273</v>
      </c>
      <c r="H1562" t="s">
        <v>4274</v>
      </c>
      <c r="I1562" t="s">
        <v>4269</v>
      </c>
      <c r="K1562" t="s">
        <v>960</v>
      </c>
      <c r="L1562" t="s">
        <v>4275</v>
      </c>
      <c r="M1562" t="s">
        <v>62</v>
      </c>
      <c r="N1562" t="s">
        <v>811</v>
      </c>
      <c r="P1562">
        <f t="shared" si="48"/>
        <v>1</v>
      </c>
      <c r="Q1562" t="str">
        <f>IF(AND(P1562&gt;1,COUNTIF($E$6:E1562,E1562)=1),MAX($Q$5:Q1561)+1,"")</f>
        <v/>
      </c>
      <c r="R1562" t="str">
        <f t="shared" si="49"/>
        <v/>
      </c>
    </row>
    <row r="1563" spans="1:18" ht="22.95" customHeight="1">
      <c r="A1563" t="s">
        <v>4217</v>
      </c>
      <c r="B1563" t="s">
        <v>28</v>
      </c>
      <c r="C1563" t="s">
        <v>146</v>
      </c>
      <c r="D1563" t="s">
        <v>147</v>
      </c>
      <c r="E1563" t="s">
        <v>4276</v>
      </c>
      <c r="F1563">
        <v>1</v>
      </c>
      <c r="G1563" t="s">
        <v>4273</v>
      </c>
      <c r="H1563" t="s">
        <v>4274</v>
      </c>
      <c r="I1563" t="s">
        <v>4269</v>
      </c>
      <c r="K1563" t="s">
        <v>960</v>
      </c>
      <c r="L1563" t="s">
        <v>4275</v>
      </c>
      <c r="M1563" t="s">
        <v>62</v>
      </c>
      <c r="N1563" t="s">
        <v>811</v>
      </c>
      <c r="P1563">
        <f t="shared" si="48"/>
        <v>1</v>
      </c>
      <c r="Q1563" t="str">
        <f>IF(AND(P1563&gt;1,COUNTIF($E$6:E1563,E1563)=1),MAX($Q$5:Q1562)+1,"")</f>
        <v/>
      </c>
      <c r="R1563" t="str">
        <f t="shared" si="49"/>
        <v/>
      </c>
    </row>
    <row r="1564" spans="1:18" ht="22.95" customHeight="1">
      <c r="A1564" t="s">
        <v>4217</v>
      </c>
      <c r="B1564" t="s">
        <v>28</v>
      </c>
      <c r="C1564" t="s">
        <v>167</v>
      </c>
      <c r="D1564" t="s">
        <v>147</v>
      </c>
      <c r="E1564" t="s">
        <v>4277</v>
      </c>
      <c r="F1564">
        <v>1</v>
      </c>
      <c r="G1564" t="s">
        <v>4278</v>
      </c>
      <c r="H1564" t="s">
        <v>4279</v>
      </c>
      <c r="I1564" t="s">
        <v>4280</v>
      </c>
      <c r="L1564" t="s">
        <v>4281</v>
      </c>
      <c r="M1564" t="s">
        <v>73</v>
      </c>
      <c r="P1564">
        <f t="shared" si="48"/>
        <v>1</v>
      </c>
      <c r="Q1564" t="str">
        <f>IF(AND(P1564&gt;1,COUNTIF($E$6:E1564,E1564)=1),MAX($Q$5:Q1563)+1,"")</f>
        <v/>
      </c>
      <c r="R1564" t="str">
        <f t="shared" si="49"/>
        <v/>
      </c>
    </row>
    <row r="1565" spans="1:18" ht="22.95" customHeight="1">
      <c r="A1565" t="s">
        <v>4217</v>
      </c>
      <c r="B1565" t="s">
        <v>27</v>
      </c>
      <c r="C1565" t="s">
        <v>1069</v>
      </c>
      <c r="D1565" t="s">
        <v>104</v>
      </c>
      <c r="E1565" t="s">
        <v>4282</v>
      </c>
      <c r="F1565">
        <v>1</v>
      </c>
      <c r="G1565" t="s">
        <v>139</v>
      </c>
      <c r="I1565" t="s">
        <v>406</v>
      </c>
      <c r="K1565" t="s">
        <v>406</v>
      </c>
      <c r="L1565" t="s">
        <v>4283</v>
      </c>
      <c r="M1565" t="s">
        <v>102</v>
      </c>
      <c r="P1565">
        <f t="shared" si="48"/>
        <v>1</v>
      </c>
      <c r="Q1565" t="str">
        <f>IF(AND(P1565&gt;1,COUNTIF($E$6:E1565,E1565)=1),MAX($Q$5:Q1564)+1,"")</f>
        <v/>
      </c>
      <c r="R1565" t="str">
        <f t="shared" si="49"/>
        <v/>
      </c>
    </row>
    <row r="1566" spans="1:18" ht="22.95" customHeight="1">
      <c r="A1566" t="s">
        <v>4217</v>
      </c>
      <c r="B1566" t="s">
        <v>30</v>
      </c>
      <c r="C1566" t="s">
        <v>180</v>
      </c>
      <c r="D1566" t="s">
        <v>181</v>
      </c>
      <c r="E1566" t="s">
        <v>4284</v>
      </c>
      <c r="F1566">
        <v>1</v>
      </c>
      <c r="G1566" t="s">
        <v>4285</v>
      </c>
      <c r="H1566" t="s">
        <v>1675</v>
      </c>
      <c r="I1566" t="s">
        <v>1302</v>
      </c>
      <c r="K1566" t="s">
        <v>960</v>
      </c>
      <c r="L1566" t="s">
        <v>4286</v>
      </c>
      <c r="M1566" t="s">
        <v>62</v>
      </c>
      <c r="N1566" t="s">
        <v>811</v>
      </c>
      <c r="P1566">
        <f t="shared" si="48"/>
        <v>1</v>
      </c>
      <c r="Q1566" t="str">
        <f>IF(AND(P1566&gt;1,COUNTIF($E$6:E1566,E1566)=1),MAX($Q$5:Q1565)+1,"")</f>
        <v/>
      </c>
      <c r="R1566" t="str">
        <f t="shared" si="49"/>
        <v/>
      </c>
    </row>
    <row r="1567" spans="1:18" ht="22.95" customHeight="1">
      <c r="A1567" t="s">
        <v>4217</v>
      </c>
      <c r="B1567" t="s">
        <v>30</v>
      </c>
      <c r="C1567" t="s">
        <v>180</v>
      </c>
      <c r="D1567" t="s">
        <v>181</v>
      </c>
      <c r="E1567" t="s">
        <v>4287</v>
      </c>
      <c r="F1567">
        <v>1</v>
      </c>
      <c r="G1567" t="s">
        <v>4285</v>
      </c>
      <c r="H1567" t="s">
        <v>1675</v>
      </c>
      <c r="I1567" t="s">
        <v>1302</v>
      </c>
      <c r="K1567" t="s">
        <v>960</v>
      </c>
      <c r="L1567" t="s">
        <v>4288</v>
      </c>
      <c r="M1567" t="s">
        <v>62</v>
      </c>
      <c r="N1567" t="s">
        <v>811</v>
      </c>
      <c r="P1567">
        <f t="shared" si="48"/>
        <v>1</v>
      </c>
      <c r="Q1567" t="str">
        <f>IF(AND(P1567&gt;1,COUNTIF($E$6:E1567,E1567)=1),MAX($Q$5:Q1566)+1,"")</f>
        <v/>
      </c>
      <c r="R1567" t="str">
        <f t="shared" si="49"/>
        <v/>
      </c>
    </row>
    <row r="1568" spans="1:18" ht="22.95" customHeight="1">
      <c r="A1568" t="s">
        <v>4217</v>
      </c>
      <c r="B1568" t="s">
        <v>26</v>
      </c>
      <c r="C1568" t="s">
        <v>196</v>
      </c>
      <c r="D1568" t="s">
        <v>197</v>
      </c>
      <c r="E1568" t="s">
        <v>4289</v>
      </c>
      <c r="F1568">
        <v>1</v>
      </c>
      <c r="G1568" t="s">
        <v>2470</v>
      </c>
      <c r="H1568" t="s">
        <v>3733</v>
      </c>
      <c r="I1568" t="s">
        <v>4290</v>
      </c>
      <c r="K1568" t="s">
        <v>849</v>
      </c>
      <c r="L1568" t="s">
        <v>4291</v>
      </c>
      <c r="M1568" t="s">
        <v>62</v>
      </c>
      <c r="N1568" t="s">
        <v>130</v>
      </c>
      <c r="P1568">
        <f t="shared" si="48"/>
        <v>1</v>
      </c>
      <c r="Q1568" t="str">
        <f>IF(AND(P1568&gt;1,COUNTIF($E$6:E1568,E1568)=1),MAX($Q$5:Q1567)+1,"")</f>
        <v/>
      </c>
      <c r="R1568" t="str">
        <f t="shared" si="49"/>
        <v/>
      </c>
    </row>
    <row r="1569" spans="1:18" ht="22.95" customHeight="1">
      <c r="A1569" t="s">
        <v>4217</v>
      </c>
      <c r="B1569" t="s">
        <v>26</v>
      </c>
      <c r="C1569" t="s">
        <v>196</v>
      </c>
      <c r="D1569" t="s">
        <v>197</v>
      </c>
      <c r="E1569" t="s">
        <v>4292</v>
      </c>
      <c r="F1569">
        <v>1</v>
      </c>
      <c r="G1569" t="s">
        <v>4293</v>
      </c>
      <c r="H1569" t="s">
        <v>4294</v>
      </c>
      <c r="I1569" t="s">
        <v>4295</v>
      </c>
      <c r="K1569" t="s">
        <v>1371</v>
      </c>
      <c r="L1569" t="s">
        <v>4296</v>
      </c>
      <c r="M1569" t="s">
        <v>73</v>
      </c>
      <c r="P1569">
        <f t="shared" si="48"/>
        <v>1</v>
      </c>
      <c r="Q1569" t="str">
        <f>IF(AND(P1569&gt;1,COUNTIF($E$6:E1569,E1569)=1),MAX($Q$5:Q1568)+1,"")</f>
        <v/>
      </c>
      <c r="R1569" t="str">
        <f t="shared" si="49"/>
        <v/>
      </c>
    </row>
    <row r="1570" spans="1:18" ht="22.95" customHeight="1">
      <c r="A1570" t="s">
        <v>4217</v>
      </c>
      <c r="B1570" t="s">
        <v>26</v>
      </c>
      <c r="C1570" t="s">
        <v>196</v>
      </c>
      <c r="D1570" t="s">
        <v>197</v>
      </c>
      <c r="E1570" t="s">
        <v>4297</v>
      </c>
      <c r="F1570">
        <v>1</v>
      </c>
      <c r="G1570" t="s">
        <v>494</v>
      </c>
      <c r="H1570" t="s">
        <v>225</v>
      </c>
      <c r="I1570" t="s">
        <v>4298</v>
      </c>
      <c r="J1570" t="s">
        <v>245</v>
      </c>
      <c r="K1570" t="s">
        <v>4299</v>
      </c>
      <c r="L1570" t="s">
        <v>4300</v>
      </c>
      <c r="M1570" t="s">
        <v>62</v>
      </c>
      <c r="N1570" t="s">
        <v>1435</v>
      </c>
      <c r="P1570">
        <f t="shared" si="48"/>
        <v>1</v>
      </c>
      <c r="Q1570" t="str">
        <f>IF(AND(P1570&gt;1,COUNTIF($E$6:E1570,E1570)=1),MAX($Q$5:Q1569)+1,"")</f>
        <v/>
      </c>
      <c r="R1570" t="str">
        <f t="shared" si="49"/>
        <v/>
      </c>
    </row>
    <row r="1571" spans="1:18" ht="22.95" customHeight="1">
      <c r="A1571" t="s">
        <v>4217</v>
      </c>
      <c r="B1571" t="s">
        <v>26</v>
      </c>
      <c r="C1571" t="s">
        <v>196</v>
      </c>
      <c r="D1571" t="s">
        <v>197</v>
      </c>
      <c r="E1571" t="s">
        <v>4301</v>
      </c>
      <c r="F1571">
        <v>1</v>
      </c>
      <c r="G1571" t="s">
        <v>494</v>
      </c>
      <c r="H1571" t="s">
        <v>225</v>
      </c>
      <c r="I1571" t="s">
        <v>4302</v>
      </c>
      <c r="J1571" t="s">
        <v>245</v>
      </c>
      <c r="K1571" t="s">
        <v>4299</v>
      </c>
      <c r="L1571" t="s">
        <v>4303</v>
      </c>
      <c r="M1571" t="s">
        <v>62</v>
      </c>
      <c r="N1571" t="s">
        <v>1435</v>
      </c>
      <c r="P1571">
        <f t="shared" si="48"/>
        <v>1</v>
      </c>
      <c r="Q1571" t="str">
        <f>IF(AND(P1571&gt;1,COUNTIF($E$6:E1571,E1571)=1),MAX($Q$5:Q1570)+1,"")</f>
        <v/>
      </c>
      <c r="R1571" t="str">
        <f t="shared" si="49"/>
        <v/>
      </c>
    </row>
    <row r="1572" spans="1:18" ht="22.95" customHeight="1">
      <c r="A1572" t="s">
        <v>4217</v>
      </c>
      <c r="B1572" t="s">
        <v>33</v>
      </c>
      <c r="C1572" t="s">
        <v>2314</v>
      </c>
      <c r="D1572" t="s">
        <v>2315</v>
      </c>
      <c r="E1572" t="s">
        <v>4304</v>
      </c>
      <c r="F1572">
        <v>1</v>
      </c>
      <c r="G1572" t="s">
        <v>92</v>
      </c>
      <c r="I1572" t="s">
        <v>4305</v>
      </c>
      <c r="K1572" t="s">
        <v>109</v>
      </c>
      <c r="L1572" t="s">
        <v>4306</v>
      </c>
      <c r="M1572" t="s">
        <v>102</v>
      </c>
      <c r="P1572">
        <f t="shared" si="48"/>
        <v>1</v>
      </c>
      <c r="Q1572" t="str">
        <f>IF(AND(P1572&gt;1,COUNTIF($E$6:E1572,E1572)=1),MAX($Q$5:Q1571)+1,"")</f>
        <v/>
      </c>
      <c r="R1572" t="str">
        <f t="shared" si="49"/>
        <v/>
      </c>
    </row>
    <row r="1573" spans="1:18" ht="22.95" customHeight="1">
      <c r="A1573" t="s">
        <v>4217</v>
      </c>
      <c r="B1573" t="s">
        <v>33</v>
      </c>
      <c r="C1573" t="s">
        <v>2314</v>
      </c>
      <c r="D1573" t="s">
        <v>2315</v>
      </c>
      <c r="E1573" t="s">
        <v>4307</v>
      </c>
      <c r="F1573">
        <v>1</v>
      </c>
      <c r="G1573" t="s">
        <v>296</v>
      </c>
      <c r="H1573" t="s">
        <v>1397</v>
      </c>
      <c r="I1573" t="s">
        <v>3687</v>
      </c>
      <c r="K1573" t="s">
        <v>109</v>
      </c>
      <c r="L1573" t="s">
        <v>4308</v>
      </c>
      <c r="M1573" t="s">
        <v>102</v>
      </c>
      <c r="P1573">
        <f t="shared" si="48"/>
        <v>1</v>
      </c>
      <c r="Q1573" t="str">
        <f>IF(AND(P1573&gt;1,COUNTIF($E$6:E1573,E1573)=1),MAX($Q$5:Q1572)+1,"")</f>
        <v/>
      </c>
      <c r="R1573" t="str">
        <f t="shared" si="49"/>
        <v/>
      </c>
    </row>
    <row r="1574" spans="1:18" ht="22.95" customHeight="1">
      <c r="A1574" t="s">
        <v>4217</v>
      </c>
      <c r="B1574" t="s">
        <v>31</v>
      </c>
      <c r="C1574" t="s">
        <v>491</v>
      </c>
      <c r="D1574" t="s">
        <v>492</v>
      </c>
      <c r="E1574" t="s">
        <v>4309</v>
      </c>
      <c r="F1574">
        <v>1</v>
      </c>
      <c r="G1574" t="s">
        <v>2192</v>
      </c>
      <c r="H1574" t="s">
        <v>4310</v>
      </c>
      <c r="I1574" t="s">
        <v>4311</v>
      </c>
      <c r="K1574" t="s">
        <v>109</v>
      </c>
      <c r="L1574" t="s">
        <v>4312</v>
      </c>
      <c r="M1574" t="s">
        <v>62</v>
      </c>
      <c r="N1574" t="s">
        <v>130</v>
      </c>
      <c r="P1574">
        <f t="shared" si="48"/>
        <v>1</v>
      </c>
      <c r="Q1574" t="str">
        <f>IF(AND(P1574&gt;1,COUNTIF($E$6:E1574,E1574)=1),MAX($Q$5:Q1573)+1,"")</f>
        <v/>
      </c>
      <c r="R1574" t="str">
        <f t="shared" si="49"/>
        <v/>
      </c>
    </row>
    <row r="1575" spans="1:18" ht="22.95" customHeight="1">
      <c r="A1575" t="s">
        <v>4313</v>
      </c>
      <c r="B1575" t="s">
        <v>20</v>
      </c>
      <c r="C1575" t="s">
        <v>65</v>
      </c>
      <c r="D1575" t="s">
        <v>66</v>
      </c>
      <c r="E1575" t="s">
        <v>4314</v>
      </c>
      <c r="F1575">
        <v>1</v>
      </c>
      <c r="G1575" t="s">
        <v>58</v>
      </c>
      <c r="H1575" t="s">
        <v>1555</v>
      </c>
      <c r="I1575" t="s">
        <v>140</v>
      </c>
      <c r="L1575" t="s">
        <v>4315</v>
      </c>
      <c r="M1575" t="s">
        <v>62</v>
      </c>
      <c r="N1575" t="s">
        <v>63</v>
      </c>
      <c r="P1575">
        <f t="shared" si="48"/>
        <v>1</v>
      </c>
      <c r="Q1575" t="str">
        <f>IF(AND(P1575&gt;1,COUNTIF($E$6:E1575,E1575)=1),MAX($Q$5:Q1574)+1,"")</f>
        <v/>
      </c>
      <c r="R1575" t="str">
        <f t="shared" si="49"/>
        <v/>
      </c>
    </row>
    <row r="1576" spans="1:18" ht="22.95" customHeight="1">
      <c r="A1576" t="s">
        <v>4313</v>
      </c>
      <c r="B1576" t="s">
        <v>20</v>
      </c>
      <c r="C1576" t="s">
        <v>65</v>
      </c>
      <c r="D1576" t="s">
        <v>66</v>
      </c>
      <c r="E1576" t="s">
        <v>4316</v>
      </c>
      <c r="F1576">
        <v>1</v>
      </c>
      <c r="G1576" t="s">
        <v>92</v>
      </c>
      <c r="I1576" t="s">
        <v>4317</v>
      </c>
      <c r="K1576" t="s">
        <v>4318</v>
      </c>
      <c r="L1576" t="s">
        <v>4319</v>
      </c>
      <c r="M1576" t="s">
        <v>73</v>
      </c>
      <c r="P1576">
        <f t="shared" si="48"/>
        <v>1</v>
      </c>
      <c r="Q1576" t="str">
        <f>IF(AND(P1576&gt;1,COUNTIF($E$6:E1576,E1576)=1),MAX($Q$5:Q1575)+1,"")</f>
        <v/>
      </c>
      <c r="R1576" t="str">
        <f t="shared" si="49"/>
        <v/>
      </c>
    </row>
    <row r="1577" spans="1:18" ht="22.95" customHeight="1">
      <c r="A1577" t="s">
        <v>4313</v>
      </c>
      <c r="B1577" t="s">
        <v>20</v>
      </c>
      <c r="C1577" t="s">
        <v>65</v>
      </c>
      <c r="D1577" t="s">
        <v>66</v>
      </c>
      <c r="E1577" t="s">
        <v>4320</v>
      </c>
      <c r="F1577">
        <v>1</v>
      </c>
      <c r="G1577" t="s">
        <v>92</v>
      </c>
      <c r="I1577" t="s">
        <v>4321</v>
      </c>
      <c r="K1577" t="s">
        <v>4322</v>
      </c>
      <c r="L1577" t="s">
        <v>4323</v>
      </c>
      <c r="M1577" t="s">
        <v>73</v>
      </c>
      <c r="P1577">
        <f t="shared" si="48"/>
        <v>1</v>
      </c>
      <c r="Q1577" t="str">
        <f>IF(AND(P1577&gt;1,COUNTIF($E$6:E1577,E1577)=1),MAX($Q$5:Q1576)+1,"")</f>
        <v/>
      </c>
      <c r="R1577" t="str">
        <f t="shared" si="49"/>
        <v/>
      </c>
    </row>
    <row r="1578" spans="1:18" ht="22.95" customHeight="1">
      <c r="A1578" t="s">
        <v>4313</v>
      </c>
      <c r="B1578" t="s">
        <v>20</v>
      </c>
      <c r="C1578" t="s">
        <v>65</v>
      </c>
      <c r="D1578" t="s">
        <v>66</v>
      </c>
      <c r="E1578" t="s">
        <v>4324</v>
      </c>
      <c r="F1578">
        <v>1</v>
      </c>
      <c r="G1578" t="s">
        <v>92</v>
      </c>
      <c r="I1578" t="s">
        <v>4325</v>
      </c>
      <c r="K1578" t="s">
        <v>4322</v>
      </c>
      <c r="L1578" t="s">
        <v>4323</v>
      </c>
      <c r="M1578" t="s">
        <v>73</v>
      </c>
      <c r="P1578">
        <f t="shared" si="48"/>
        <v>1</v>
      </c>
      <c r="Q1578" t="str">
        <f>IF(AND(P1578&gt;1,COUNTIF($E$6:E1578,E1578)=1),MAX($Q$5:Q1577)+1,"")</f>
        <v/>
      </c>
      <c r="R1578" t="str">
        <f t="shared" si="49"/>
        <v/>
      </c>
    </row>
    <row r="1579" spans="1:18" ht="22.95" customHeight="1">
      <c r="A1579" t="s">
        <v>4313</v>
      </c>
      <c r="B1579" t="s">
        <v>20</v>
      </c>
      <c r="C1579" t="s">
        <v>65</v>
      </c>
      <c r="D1579" t="s">
        <v>66</v>
      </c>
      <c r="E1579" t="s">
        <v>4326</v>
      </c>
      <c r="F1579">
        <v>1</v>
      </c>
      <c r="G1579" t="s">
        <v>92</v>
      </c>
      <c r="I1579" t="s">
        <v>4327</v>
      </c>
      <c r="K1579" t="s">
        <v>4322</v>
      </c>
      <c r="L1579" t="s">
        <v>4323</v>
      </c>
      <c r="M1579" t="s">
        <v>73</v>
      </c>
      <c r="P1579">
        <f t="shared" si="48"/>
        <v>1</v>
      </c>
      <c r="Q1579" t="str">
        <f>IF(AND(P1579&gt;1,COUNTIF($E$6:E1579,E1579)=1),MAX($Q$5:Q1578)+1,"")</f>
        <v/>
      </c>
      <c r="R1579" t="str">
        <f t="shared" si="49"/>
        <v/>
      </c>
    </row>
    <row r="1580" spans="1:18" ht="22.95" customHeight="1">
      <c r="A1580" t="s">
        <v>4313</v>
      </c>
      <c r="B1580" t="s">
        <v>20</v>
      </c>
      <c r="C1580" t="s">
        <v>65</v>
      </c>
      <c r="D1580" t="s">
        <v>66</v>
      </c>
      <c r="E1580" t="s">
        <v>4328</v>
      </c>
      <c r="F1580">
        <v>1</v>
      </c>
      <c r="G1580" t="s">
        <v>92</v>
      </c>
      <c r="I1580" t="s">
        <v>4329</v>
      </c>
      <c r="K1580" t="s">
        <v>4322</v>
      </c>
      <c r="L1580" t="s">
        <v>4323</v>
      </c>
      <c r="M1580" t="s">
        <v>73</v>
      </c>
      <c r="P1580">
        <f t="shared" si="48"/>
        <v>1</v>
      </c>
      <c r="Q1580" t="str">
        <f>IF(AND(P1580&gt;1,COUNTIF($E$6:E1580,E1580)=1),MAX($Q$5:Q1579)+1,"")</f>
        <v/>
      </c>
      <c r="R1580" t="str">
        <f t="shared" si="49"/>
        <v/>
      </c>
    </row>
    <row r="1581" spans="1:18" ht="22.95" customHeight="1">
      <c r="A1581" t="s">
        <v>4313</v>
      </c>
      <c r="B1581" t="s">
        <v>20</v>
      </c>
      <c r="C1581" t="s">
        <v>65</v>
      </c>
      <c r="D1581" t="s">
        <v>66</v>
      </c>
      <c r="E1581" t="s">
        <v>4330</v>
      </c>
      <c r="F1581">
        <v>1</v>
      </c>
      <c r="G1581" t="s">
        <v>92</v>
      </c>
      <c r="I1581" t="s">
        <v>4331</v>
      </c>
      <c r="K1581" t="s">
        <v>4322</v>
      </c>
      <c r="L1581" t="s">
        <v>4323</v>
      </c>
      <c r="M1581" t="s">
        <v>73</v>
      </c>
      <c r="P1581">
        <f t="shared" si="48"/>
        <v>1</v>
      </c>
      <c r="Q1581" t="str">
        <f>IF(AND(P1581&gt;1,COUNTIF($E$6:E1581,E1581)=1),MAX($Q$5:Q1580)+1,"")</f>
        <v/>
      </c>
      <c r="R1581" t="str">
        <f t="shared" si="49"/>
        <v/>
      </c>
    </row>
    <row r="1582" spans="1:18" ht="22.95" customHeight="1">
      <c r="A1582" t="s">
        <v>4313</v>
      </c>
      <c r="B1582" t="s">
        <v>20</v>
      </c>
      <c r="C1582" t="s">
        <v>65</v>
      </c>
      <c r="D1582" t="s">
        <v>66</v>
      </c>
      <c r="E1582" t="s">
        <v>4332</v>
      </c>
      <c r="F1582">
        <v>1</v>
      </c>
      <c r="G1582" t="s">
        <v>92</v>
      </c>
      <c r="I1582" t="s">
        <v>4333</v>
      </c>
      <c r="K1582" t="s">
        <v>4334</v>
      </c>
      <c r="L1582" t="s">
        <v>4323</v>
      </c>
      <c r="M1582" t="s">
        <v>73</v>
      </c>
      <c r="P1582">
        <f t="shared" si="48"/>
        <v>1</v>
      </c>
      <c r="Q1582" t="str">
        <f>IF(AND(P1582&gt;1,COUNTIF($E$6:E1582,E1582)=1),MAX($Q$5:Q1581)+1,"")</f>
        <v/>
      </c>
      <c r="R1582" t="str">
        <f t="shared" si="49"/>
        <v/>
      </c>
    </row>
    <row r="1583" spans="1:18" ht="22.95" customHeight="1">
      <c r="A1583" t="s">
        <v>4313</v>
      </c>
      <c r="B1583" t="s">
        <v>22</v>
      </c>
      <c r="C1583" t="s">
        <v>779</v>
      </c>
      <c r="D1583" t="s">
        <v>780</v>
      </c>
      <c r="E1583" t="s">
        <v>4335</v>
      </c>
      <c r="F1583">
        <v>1</v>
      </c>
      <c r="G1583" t="s">
        <v>4336</v>
      </c>
      <c r="H1583" t="s">
        <v>4337</v>
      </c>
      <c r="I1583" t="s">
        <v>4338</v>
      </c>
      <c r="J1583" t="s">
        <v>245</v>
      </c>
      <c r="K1583" t="s">
        <v>4339</v>
      </c>
      <c r="L1583" t="s">
        <v>4340</v>
      </c>
      <c r="M1583" t="s">
        <v>73</v>
      </c>
      <c r="P1583">
        <f t="shared" si="48"/>
        <v>1</v>
      </c>
      <c r="Q1583" t="str">
        <f>IF(AND(P1583&gt;1,COUNTIF($E$6:E1583,E1583)=1),MAX($Q$5:Q1582)+1,"")</f>
        <v/>
      </c>
      <c r="R1583" t="str">
        <f t="shared" si="49"/>
        <v/>
      </c>
    </row>
    <row r="1584" spans="1:18" ht="22.95" customHeight="1">
      <c r="A1584" t="s">
        <v>4313</v>
      </c>
      <c r="B1584" t="s">
        <v>22</v>
      </c>
      <c r="C1584" t="s">
        <v>779</v>
      </c>
      <c r="D1584" t="s">
        <v>780</v>
      </c>
      <c r="E1584" t="s">
        <v>4341</v>
      </c>
      <c r="F1584">
        <v>1</v>
      </c>
      <c r="G1584" t="s">
        <v>92</v>
      </c>
      <c r="I1584" t="s">
        <v>4342</v>
      </c>
      <c r="K1584" t="s">
        <v>4343</v>
      </c>
      <c r="L1584" t="s">
        <v>4344</v>
      </c>
      <c r="M1584" t="s">
        <v>73</v>
      </c>
      <c r="P1584">
        <f t="shared" si="48"/>
        <v>1</v>
      </c>
      <c r="Q1584" t="str">
        <f>IF(AND(P1584&gt;1,COUNTIF($E$6:E1584,E1584)=1),MAX($Q$5:Q1583)+1,"")</f>
        <v/>
      </c>
      <c r="R1584" t="str">
        <f t="shared" si="49"/>
        <v/>
      </c>
    </row>
    <row r="1585" spans="1:18" ht="22.95" customHeight="1">
      <c r="A1585" t="s">
        <v>4313</v>
      </c>
      <c r="B1585" t="s">
        <v>22</v>
      </c>
      <c r="C1585" t="s">
        <v>779</v>
      </c>
      <c r="D1585" t="s">
        <v>780</v>
      </c>
      <c r="E1585" t="s">
        <v>4345</v>
      </c>
      <c r="F1585">
        <v>1</v>
      </c>
      <c r="G1585" t="s">
        <v>92</v>
      </c>
      <c r="I1585" t="s">
        <v>4346</v>
      </c>
      <c r="K1585" t="s">
        <v>4343</v>
      </c>
      <c r="L1585" t="s">
        <v>4344</v>
      </c>
      <c r="M1585" t="s">
        <v>73</v>
      </c>
      <c r="P1585">
        <f t="shared" si="48"/>
        <v>1</v>
      </c>
      <c r="Q1585" t="str">
        <f>IF(AND(P1585&gt;1,COUNTIF($E$6:E1585,E1585)=1),MAX($Q$5:Q1584)+1,"")</f>
        <v/>
      </c>
      <c r="R1585" t="str">
        <f t="shared" si="49"/>
        <v/>
      </c>
    </row>
    <row r="1586" spans="1:18" ht="22.95" customHeight="1">
      <c r="A1586" t="s">
        <v>4313</v>
      </c>
      <c r="B1586" t="s">
        <v>22</v>
      </c>
      <c r="C1586" t="s">
        <v>779</v>
      </c>
      <c r="D1586" t="s">
        <v>780</v>
      </c>
      <c r="E1586" t="s">
        <v>4347</v>
      </c>
      <c r="F1586">
        <v>1</v>
      </c>
      <c r="G1586" t="s">
        <v>92</v>
      </c>
      <c r="I1586" t="s">
        <v>4346</v>
      </c>
      <c r="K1586" t="s">
        <v>4343</v>
      </c>
      <c r="L1586" t="s">
        <v>4344</v>
      </c>
      <c r="M1586" t="s">
        <v>73</v>
      </c>
      <c r="P1586">
        <f t="shared" si="48"/>
        <v>1</v>
      </c>
      <c r="Q1586" t="str">
        <f>IF(AND(P1586&gt;1,COUNTIF($E$6:E1586,E1586)=1),MAX($Q$5:Q1585)+1,"")</f>
        <v/>
      </c>
      <c r="R1586" t="str">
        <f t="shared" si="49"/>
        <v/>
      </c>
    </row>
    <row r="1587" spans="1:18" ht="22.95" customHeight="1">
      <c r="A1587" t="s">
        <v>4313</v>
      </c>
      <c r="B1587" t="s">
        <v>22</v>
      </c>
      <c r="C1587" t="s">
        <v>779</v>
      </c>
      <c r="D1587" t="s">
        <v>780</v>
      </c>
      <c r="E1587" t="s">
        <v>4348</v>
      </c>
      <c r="F1587">
        <v>1</v>
      </c>
      <c r="G1587" t="s">
        <v>4349</v>
      </c>
      <c r="H1587" t="s">
        <v>4350</v>
      </c>
      <c r="I1587" t="s">
        <v>4351</v>
      </c>
      <c r="K1587" t="s">
        <v>4352</v>
      </c>
      <c r="L1587" t="s">
        <v>4353</v>
      </c>
      <c r="M1587" t="s">
        <v>62</v>
      </c>
      <c r="N1587" t="s">
        <v>811</v>
      </c>
      <c r="P1587">
        <f t="shared" si="48"/>
        <v>1</v>
      </c>
      <c r="Q1587" t="str">
        <f>IF(AND(P1587&gt;1,COUNTIF($E$6:E1587,E1587)=1),MAX($Q$5:Q1586)+1,"")</f>
        <v/>
      </c>
      <c r="R1587" t="str">
        <f t="shared" si="49"/>
        <v/>
      </c>
    </row>
    <row r="1588" spans="1:18" ht="22.95" customHeight="1">
      <c r="A1588" t="s">
        <v>4313</v>
      </c>
      <c r="B1588" t="s">
        <v>22</v>
      </c>
      <c r="C1588" t="s">
        <v>89</v>
      </c>
      <c r="D1588" t="s">
        <v>2504</v>
      </c>
      <c r="E1588" t="s">
        <v>4354</v>
      </c>
      <c r="F1588">
        <v>1</v>
      </c>
      <c r="G1588" t="s">
        <v>1465</v>
      </c>
      <c r="H1588" t="s">
        <v>4355</v>
      </c>
      <c r="I1588" t="s">
        <v>154</v>
      </c>
      <c r="K1588" t="s">
        <v>109</v>
      </c>
      <c r="L1588" t="s">
        <v>4356</v>
      </c>
      <c r="M1588" t="s">
        <v>73</v>
      </c>
      <c r="P1588">
        <f t="shared" si="48"/>
        <v>1</v>
      </c>
      <c r="Q1588" t="str">
        <f>IF(AND(P1588&gt;1,COUNTIF($E$6:E1588,E1588)=1),MAX($Q$5:Q1587)+1,"")</f>
        <v/>
      </c>
      <c r="R1588" t="str">
        <f t="shared" si="49"/>
        <v/>
      </c>
    </row>
    <row r="1589" spans="1:18" ht="22.95" customHeight="1">
      <c r="A1589" t="s">
        <v>4313</v>
      </c>
      <c r="B1589" t="s">
        <v>22</v>
      </c>
      <c r="C1589" t="s">
        <v>89</v>
      </c>
      <c r="D1589" t="s">
        <v>2504</v>
      </c>
      <c r="E1589" t="s">
        <v>4357</v>
      </c>
      <c r="F1589">
        <v>1</v>
      </c>
      <c r="G1589" t="s">
        <v>1465</v>
      </c>
      <c r="H1589" t="s">
        <v>4355</v>
      </c>
      <c r="I1589" t="s">
        <v>154</v>
      </c>
      <c r="K1589" t="s">
        <v>109</v>
      </c>
      <c r="L1589" t="s">
        <v>4356</v>
      </c>
      <c r="M1589" t="s">
        <v>73</v>
      </c>
      <c r="P1589">
        <f t="shared" si="48"/>
        <v>1</v>
      </c>
      <c r="Q1589" t="str">
        <f>IF(AND(P1589&gt;1,COUNTIF($E$6:E1589,E1589)=1),MAX($Q$5:Q1588)+1,"")</f>
        <v/>
      </c>
      <c r="R1589" t="str">
        <f t="shared" si="49"/>
        <v/>
      </c>
    </row>
    <row r="1590" spans="1:18" ht="22.95" customHeight="1">
      <c r="A1590" t="s">
        <v>4313</v>
      </c>
      <c r="B1590" t="s">
        <v>22</v>
      </c>
      <c r="C1590" t="s">
        <v>89</v>
      </c>
      <c r="D1590" t="s">
        <v>2504</v>
      </c>
      <c r="E1590" t="s">
        <v>4358</v>
      </c>
      <c r="F1590">
        <v>1</v>
      </c>
      <c r="G1590" t="s">
        <v>1465</v>
      </c>
      <c r="H1590" t="s">
        <v>4355</v>
      </c>
      <c r="I1590" t="s">
        <v>154</v>
      </c>
      <c r="K1590" t="s">
        <v>109</v>
      </c>
      <c r="L1590" t="s">
        <v>4356</v>
      </c>
      <c r="M1590" t="s">
        <v>73</v>
      </c>
      <c r="P1590">
        <f t="shared" si="48"/>
        <v>1</v>
      </c>
      <c r="Q1590" t="str">
        <f>IF(AND(P1590&gt;1,COUNTIF($E$6:E1590,E1590)=1),MAX($Q$5:Q1589)+1,"")</f>
        <v/>
      </c>
      <c r="R1590" t="str">
        <f t="shared" si="49"/>
        <v/>
      </c>
    </row>
    <row r="1591" spans="1:18" ht="22.95" customHeight="1">
      <c r="A1591" t="s">
        <v>4313</v>
      </c>
      <c r="B1591" t="s">
        <v>22</v>
      </c>
      <c r="C1591" t="s">
        <v>89</v>
      </c>
      <c r="D1591" t="s">
        <v>2504</v>
      </c>
      <c r="E1591" t="s">
        <v>4359</v>
      </c>
      <c r="F1591">
        <v>1</v>
      </c>
      <c r="G1591" t="s">
        <v>1465</v>
      </c>
      <c r="H1591" t="s">
        <v>4355</v>
      </c>
      <c r="I1591" t="s">
        <v>154</v>
      </c>
      <c r="K1591" t="s">
        <v>109</v>
      </c>
      <c r="L1591" t="s">
        <v>4356</v>
      </c>
      <c r="M1591" t="s">
        <v>73</v>
      </c>
      <c r="P1591">
        <f t="shared" si="48"/>
        <v>1</v>
      </c>
      <c r="Q1591" t="str">
        <f>IF(AND(P1591&gt;1,COUNTIF($E$6:E1591,E1591)=1),MAX($Q$5:Q1590)+1,"")</f>
        <v/>
      </c>
      <c r="R1591" t="str">
        <f t="shared" si="49"/>
        <v/>
      </c>
    </row>
    <row r="1592" spans="1:18" ht="22.95" customHeight="1">
      <c r="A1592" t="s">
        <v>4313</v>
      </c>
      <c r="B1592" t="s">
        <v>22</v>
      </c>
      <c r="C1592" t="s">
        <v>370</v>
      </c>
      <c r="D1592" t="s">
        <v>371</v>
      </c>
      <c r="E1592" t="s">
        <v>4360</v>
      </c>
      <c r="F1592">
        <v>1</v>
      </c>
      <c r="G1592" t="s">
        <v>1345</v>
      </c>
      <c r="H1592" t="s">
        <v>4361</v>
      </c>
      <c r="I1592" t="s">
        <v>4362</v>
      </c>
      <c r="K1592" t="s">
        <v>4363</v>
      </c>
      <c r="L1592" t="s">
        <v>4364</v>
      </c>
      <c r="M1592" t="s">
        <v>73</v>
      </c>
      <c r="P1592">
        <f t="shared" si="48"/>
        <v>1</v>
      </c>
      <c r="Q1592" t="str">
        <f>IF(AND(P1592&gt;1,COUNTIF($E$6:E1592,E1592)=1),MAX($Q$5:Q1591)+1,"")</f>
        <v/>
      </c>
      <c r="R1592" t="str">
        <f t="shared" si="49"/>
        <v/>
      </c>
    </row>
    <row r="1593" spans="1:18" ht="22.95" customHeight="1">
      <c r="A1593" t="s">
        <v>4313</v>
      </c>
      <c r="B1593" t="s">
        <v>22</v>
      </c>
      <c r="C1593" t="s">
        <v>370</v>
      </c>
      <c r="D1593" t="s">
        <v>371</v>
      </c>
      <c r="E1593" t="s">
        <v>4365</v>
      </c>
      <c r="F1593">
        <v>1</v>
      </c>
      <c r="G1593" t="s">
        <v>92</v>
      </c>
      <c r="I1593" t="s">
        <v>4366</v>
      </c>
      <c r="K1593" t="s">
        <v>866</v>
      </c>
      <c r="L1593" t="s">
        <v>4367</v>
      </c>
      <c r="M1593" t="s">
        <v>73</v>
      </c>
      <c r="P1593">
        <f t="shared" si="48"/>
        <v>1</v>
      </c>
      <c r="Q1593" t="str">
        <f>IF(AND(P1593&gt;1,COUNTIF($E$6:E1593,E1593)=1),MAX($Q$5:Q1592)+1,"")</f>
        <v/>
      </c>
      <c r="R1593" t="str">
        <f t="shared" si="49"/>
        <v/>
      </c>
    </row>
    <row r="1594" spans="1:18" ht="22.95" customHeight="1">
      <c r="A1594" t="s">
        <v>4313</v>
      </c>
      <c r="B1594" t="s">
        <v>23</v>
      </c>
      <c r="C1594" t="s">
        <v>103</v>
      </c>
      <c r="D1594" t="s">
        <v>104</v>
      </c>
      <c r="E1594" t="s">
        <v>4368</v>
      </c>
      <c r="F1594">
        <v>1</v>
      </c>
      <c r="G1594" t="s">
        <v>4369</v>
      </c>
      <c r="I1594" t="s">
        <v>4370</v>
      </c>
      <c r="K1594" t="s">
        <v>4371</v>
      </c>
      <c r="L1594" t="s">
        <v>4372</v>
      </c>
      <c r="M1594" t="s">
        <v>102</v>
      </c>
      <c r="P1594">
        <f t="shared" si="48"/>
        <v>1</v>
      </c>
      <c r="Q1594" t="str">
        <f>IF(AND(P1594&gt;1,COUNTIF($E$6:E1594,E1594)=1),MAX($Q$5:Q1593)+1,"")</f>
        <v/>
      </c>
      <c r="R1594" t="str">
        <f t="shared" si="49"/>
        <v/>
      </c>
    </row>
    <row r="1595" spans="1:18" ht="22.95" customHeight="1">
      <c r="A1595" t="s">
        <v>4313</v>
      </c>
      <c r="B1595" t="s">
        <v>23</v>
      </c>
      <c r="C1595" t="s">
        <v>103</v>
      </c>
      <c r="D1595" t="s">
        <v>104</v>
      </c>
      <c r="E1595" t="s">
        <v>4373</v>
      </c>
      <c r="F1595">
        <v>1</v>
      </c>
      <c r="G1595" t="s">
        <v>139</v>
      </c>
      <c r="I1595" t="s">
        <v>4374</v>
      </c>
      <c r="K1595" t="s">
        <v>4371</v>
      </c>
      <c r="L1595" t="s">
        <v>4375</v>
      </c>
      <c r="M1595" t="s">
        <v>102</v>
      </c>
      <c r="P1595">
        <f t="shared" si="48"/>
        <v>1</v>
      </c>
      <c r="Q1595" t="str">
        <f>IF(AND(P1595&gt;1,COUNTIF($E$6:E1595,E1595)=1),MAX($Q$5:Q1594)+1,"")</f>
        <v/>
      </c>
      <c r="R1595" t="str">
        <f t="shared" si="49"/>
        <v/>
      </c>
    </row>
    <row r="1596" spans="1:18" ht="22.95" customHeight="1">
      <c r="A1596" t="s">
        <v>4313</v>
      </c>
      <c r="B1596" t="s">
        <v>25</v>
      </c>
      <c r="C1596" t="s">
        <v>4376</v>
      </c>
      <c r="D1596" t="s">
        <v>698</v>
      </c>
      <c r="E1596" t="s">
        <v>4377</v>
      </c>
      <c r="F1596">
        <v>1</v>
      </c>
      <c r="G1596" t="s">
        <v>92</v>
      </c>
      <c r="I1596" t="s">
        <v>733</v>
      </c>
      <c r="K1596" t="s">
        <v>1324</v>
      </c>
      <c r="L1596" t="s">
        <v>4378</v>
      </c>
      <c r="M1596" t="s">
        <v>62</v>
      </c>
      <c r="N1596" t="s">
        <v>624</v>
      </c>
      <c r="P1596">
        <f t="shared" si="48"/>
        <v>1</v>
      </c>
      <c r="Q1596" t="str">
        <f>IF(AND(P1596&gt;1,COUNTIF($E$6:E1596,E1596)=1),MAX($Q$5:Q1595)+1,"")</f>
        <v/>
      </c>
      <c r="R1596" t="str">
        <f t="shared" si="49"/>
        <v/>
      </c>
    </row>
    <row r="1597" spans="1:18" ht="22.95" customHeight="1">
      <c r="A1597" t="s">
        <v>4313</v>
      </c>
      <c r="B1597" t="s">
        <v>25</v>
      </c>
      <c r="C1597" t="s">
        <v>115</v>
      </c>
      <c r="D1597" t="s">
        <v>116</v>
      </c>
      <c r="E1597" t="s">
        <v>4379</v>
      </c>
      <c r="F1597">
        <v>1</v>
      </c>
      <c r="G1597" t="s">
        <v>92</v>
      </c>
      <c r="I1597" t="s">
        <v>406</v>
      </c>
      <c r="K1597" t="s">
        <v>406</v>
      </c>
      <c r="L1597" t="s">
        <v>4380</v>
      </c>
      <c r="M1597" t="s">
        <v>102</v>
      </c>
      <c r="P1597">
        <f t="shared" si="48"/>
        <v>1</v>
      </c>
      <c r="Q1597" t="str">
        <f>IF(AND(P1597&gt;1,COUNTIF($E$6:E1597,E1597)=1),MAX($Q$5:Q1596)+1,"")</f>
        <v/>
      </c>
      <c r="R1597" t="str">
        <f t="shared" si="49"/>
        <v/>
      </c>
    </row>
    <row r="1598" spans="1:18" ht="22.95" customHeight="1">
      <c r="A1598" t="s">
        <v>4313</v>
      </c>
      <c r="B1598" t="s">
        <v>25</v>
      </c>
      <c r="C1598" t="s">
        <v>131</v>
      </c>
      <c r="D1598" t="s">
        <v>132</v>
      </c>
      <c r="E1598" t="s">
        <v>4381</v>
      </c>
      <c r="F1598">
        <v>1</v>
      </c>
      <c r="G1598" t="s">
        <v>422</v>
      </c>
      <c r="H1598" t="s">
        <v>2033</v>
      </c>
      <c r="I1598" t="s">
        <v>164</v>
      </c>
      <c r="K1598" t="s">
        <v>109</v>
      </c>
      <c r="L1598" t="s">
        <v>4382</v>
      </c>
      <c r="M1598" t="s">
        <v>73</v>
      </c>
      <c r="P1598">
        <f t="shared" si="48"/>
        <v>1</v>
      </c>
      <c r="Q1598" t="str">
        <f>IF(AND(P1598&gt;1,COUNTIF($E$6:E1598,E1598)=1),MAX($Q$5:Q1597)+1,"")</f>
        <v/>
      </c>
      <c r="R1598" t="str">
        <f t="shared" si="49"/>
        <v/>
      </c>
    </row>
    <row r="1599" spans="1:18" ht="22.95" customHeight="1">
      <c r="A1599" t="s">
        <v>4313</v>
      </c>
      <c r="B1599" t="s">
        <v>25</v>
      </c>
      <c r="C1599" t="s">
        <v>131</v>
      </c>
      <c r="D1599" t="s">
        <v>4383</v>
      </c>
      <c r="E1599" t="s">
        <v>4384</v>
      </c>
      <c r="F1599">
        <v>1</v>
      </c>
      <c r="G1599" t="s">
        <v>92</v>
      </c>
      <c r="I1599" t="s">
        <v>406</v>
      </c>
      <c r="K1599" t="s">
        <v>141</v>
      </c>
      <c r="L1599" t="s">
        <v>4385</v>
      </c>
      <c r="M1599" t="s">
        <v>73</v>
      </c>
      <c r="P1599">
        <f t="shared" si="48"/>
        <v>1</v>
      </c>
      <c r="Q1599" t="str">
        <f>IF(AND(P1599&gt;1,COUNTIF($E$6:E1599,E1599)=1),MAX($Q$5:Q1598)+1,"")</f>
        <v/>
      </c>
      <c r="R1599" t="str">
        <f t="shared" si="49"/>
        <v/>
      </c>
    </row>
    <row r="1600" spans="1:18" ht="22.95" customHeight="1">
      <c r="A1600" t="s">
        <v>4313</v>
      </c>
      <c r="B1600" t="s">
        <v>24</v>
      </c>
      <c r="C1600" t="s">
        <v>426</v>
      </c>
      <c r="D1600" t="s">
        <v>427</v>
      </c>
      <c r="E1600" t="s">
        <v>4386</v>
      </c>
      <c r="F1600">
        <v>1</v>
      </c>
      <c r="G1600" t="s">
        <v>2233</v>
      </c>
      <c r="H1600" t="s">
        <v>780</v>
      </c>
      <c r="I1600" t="s">
        <v>4387</v>
      </c>
      <c r="K1600" t="s">
        <v>4388</v>
      </c>
      <c r="L1600" t="s">
        <v>4389</v>
      </c>
      <c r="M1600" t="s">
        <v>62</v>
      </c>
      <c r="N1600" t="s">
        <v>130</v>
      </c>
      <c r="P1600">
        <f t="shared" si="48"/>
        <v>1</v>
      </c>
      <c r="Q1600" t="str">
        <f>IF(AND(P1600&gt;1,COUNTIF($E$6:E1600,E1600)=1),MAX($Q$5:Q1599)+1,"")</f>
        <v/>
      </c>
      <c r="R1600" t="str">
        <f t="shared" si="49"/>
        <v/>
      </c>
    </row>
    <row r="1601" spans="1:18" ht="22.95" customHeight="1">
      <c r="A1601" t="s">
        <v>4313</v>
      </c>
      <c r="B1601" t="s">
        <v>24</v>
      </c>
      <c r="C1601" t="s">
        <v>426</v>
      </c>
      <c r="D1601" t="s">
        <v>427</v>
      </c>
      <c r="E1601" t="s">
        <v>4390</v>
      </c>
      <c r="F1601">
        <v>1</v>
      </c>
      <c r="G1601" t="s">
        <v>92</v>
      </c>
      <c r="I1601" t="s">
        <v>4391</v>
      </c>
      <c r="K1601" t="s">
        <v>4392</v>
      </c>
      <c r="L1601" t="s">
        <v>4393</v>
      </c>
      <c r="M1601" t="s">
        <v>62</v>
      </c>
      <c r="N1601" t="s">
        <v>161</v>
      </c>
      <c r="P1601">
        <f t="shared" si="48"/>
        <v>1</v>
      </c>
      <c r="Q1601" t="str">
        <f>IF(AND(P1601&gt;1,COUNTIF($E$6:E1601,E1601)=1),MAX($Q$5:Q1600)+1,"")</f>
        <v/>
      </c>
      <c r="R1601" t="str">
        <f t="shared" si="49"/>
        <v/>
      </c>
    </row>
    <row r="1602" spans="1:18" ht="22.95" customHeight="1">
      <c r="A1602" t="s">
        <v>4313</v>
      </c>
      <c r="B1602" t="s">
        <v>24</v>
      </c>
      <c r="C1602" t="s">
        <v>426</v>
      </c>
      <c r="D1602" t="s">
        <v>427</v>
      </c>
      <c r="E1602" t="s">
        <v>4394</v>
      </c>
      <c r="F1602">
        <v>1</v>
      </c>
      <c r="G1602" t="s">
        <v>92</v>
      </c>
      <c r="I1602" t="s">
        <v>4395</v>
      </c>
      <c r="K1602" t="s">
        <v>406</v>
      </c>
      <c r="L1602" t="s">
        <v>4396</v>
      </c>
      <c r="M1602" t="s">
        <v>102</v>
      </c>
      <c r="P1602">
        <f t="shared" si="48"/>
        <v>1</v>
      </c>
      <c r="Q1602" t="str">
        <f>IF(AND(P1602&gt;1,COUNTIF($E$6:E1602,E1602)=1),MAX($Q$5:Q1601)+1,"")</f>
        <v/>
      </c>
      <c r="R1602" t="str">
        <f t="shared" si="49"/>
        <v/>
      </c>
    </row>
    <row r="1603" spans="1:18" ht="22.95" customHeight="1">
      <c r="A1603" t="s">
        <v>4313</v>
      </c>
      <c r="B1603" t="s">
        <v>24</v>
      </c>
      <c r="C1603" t="s">
        <v>431</v>
      </c>
      <c r="D1603" t="s">
        <v>216</v>
      </c>
      <c r="E1603" t="s">
        <v>4397</v>
      </c>
      <c r="F1603">
        <v>1</v>
      </c>
      <c r="G1603" t="s">
        <v>92</v>
      </c>
      <c r="I1603" t="s">
        <v>4398</v>
      </c>
      <c r="K1603" t="s">
        <v>4399</v>
      </c>
      <c r="L1603" t="s">
        <v>4400</v>
      </c>
      <c r="M1603" t="s">
        <v>62</v>
      </c>
      <c r="N1603" t="s">
        <v>520</v>
      </c>
      <c r="P1603">
        <f t="shared" si="48"/>
        <v>1</v>
      </c>
      <c r="Q1603" t="str">
        <f>IF(AND(P1603&gt;1,COUNTIF($E$6:E1603,E1603)=1),MAX($Q$5:Q1602)+1,"")</f>
        <v/>
      </c>
      <c r="R1603" t="str">
        <f t="shared" si="49"/>
        <v/>
      </c>
    </row>
    <row r="1604" spans="1:18" ht="22.95" customHeight="1">
      <c r="A1604" t="s">
        <v>4313</v>
      </c>
      <c r="B1604" t="s">
        <v>24</v>
      </c>
      <c r="C1604" t="s">
        <v>436</v>
      </c>
      <c r="D1604" t="s">
        <v>437</v>
      </c>
      <c r="E1604" t="s">
        <v>4401</v>
      </c>
      <c r="F1604">
        <v>1</v>
      </c>
      <c r="G1604" t="s">
        <v>92</v>
      </c>
      <c r="I1604" t="s">
        <v>4402</v>
      </c>
      <c r="K1604" t="s">
        <v>109</v>
      </c>
      <c r="L1604" t="s">
        <v>4403</v>
      </c>
      <c r="M1604" t="s">
        <v>102</v>
      </c>
      <c r="P1604">
        <f t="shared" si="48"/>
        <v>1</v>
      </c>
      <c r="Q1604" t="str">
        <f>IF(AND(P1604&gt;1,COUNTIF($E$6:E1604,E1604)=1),MAX($Q$5:Q1603)+1,"")</f>
        <v/>
      </c>
      <c r="R1604" t="str">
        <f t="shared" si="49"/>
        <v/>
      </c>
    </row>
    <row r="1605" spans="1:18" ht="22.95" customHeight="1">
      <c r="A1605" t="s">
        <v>4313</v>
      </c>
      <c r="B1605" t="s">
        <v>24</v>
      </c>
      <c r="C1605" t="s">
        <v>436</v>
      </c>
      <c r="D1605" t="s">
        <v>437</v>
      </c>
      <c r="E1605" t="s">
        <v>4404</v>
      </c>
      <c r="F1605">
        <v>1</v>
      </c>
      <c r="G1605" t="s">
        <v>92</v>
      </c>
      <c r="I1605" t="s">
        <v>4402</v>
      </c>
      <c r="K1605" t="s">
        <v>109</v>
      </c>
      <c r="L1605" t="s">
        <v>4403</v>
      </c>
      <c r="M1605" t="s">
        <v>102</v>
      </c>
      <c r="P1605">
        <f t="shared" si="48"/>
        <v>1</v>
      </c>
      <c r="Q1605" t="str">
        <f>IF(AND(P1605&gt;1,COUNTIF($E$6:E1605,E1605)=1),MAX($Q$5:Q1604)+1,"")</f>
        <v/>
      </c>
      <c r="R1605" t="str">
        <f t="shared" si="49"/>
        <v/>
      </c>
    </row>
    <row r="1606" spans="1:18" ht="22.95" customHeight="1">
      <c r="A1606" t="s">
        <v>4313</v>
      </c>
      <c r="B1606" t="s">
        <v>24</v>
      </c>
      <c r="C1606" t="s">
        <v>436</v>
      </c>
      <c r="D1606" t="s">
        <v>437</v>
      </c>
      <c r="E1606" t="s">
        <v>4405</v>
      </c>
      <c r="F1606">
        <v>1</v>
      </c>
      <c r="G1606" t="s">
        <v>92</v>
      </c>
      <c r="I1606" t="s">
        <v>4406</v>
      </c>
      <c r="K1606" t="s">
        <v>109</v>
      </c>
      <c r="L1606" t="s">
        <v>4407</v>
      </c>
      <c r="M1606" t="s">
        <v>102</v>
      </c>
      <c r="P1606">
        <f t="shared" ref="P1606:P1669" si="50">COUNTIF($E$6:$E$1740,E1606)</f>
        <v>1</v>
      </c>
      <c r="Q1606" t="str">
        <f>IF(AND(P1606&gt;1,COUNTIF($E$6:E1606,E1606)=1),MAX($Q$5:Q1605)+1,"")</f>
        <v/>
      </c>
      <c r="R1606" t="str">
        <f t="shared" ref="R1606:R1669" si="51">IF(Q1606="","",IF(COUNTIFS($E$6:$E$1740,E1606,$A$6:$A$1740,A1606,$C$6:$C$1740,C1606)&lt;P1606,"LÉGITIME",IF(COUNTIFS($E$6:$E$1740,E1606,$A$6:$A$1740,A1606,$C$6:$C$1740,C1606,$M$6:$M$1740,M1606)&lt;P1606,"STATUT DIFFÉRENT","VRAI DOUBLON")))</f>
        <v/>
      </c>
    </row>
    <row r="1607" spans="1:18" ht="22.95" customHeight="1">
      <c r="A1607" t="s">
        <v>4313</v>
      </c>
      <c r="B1607" t="s">
        <v>24</v>
      </c>
      <c r="C1607" t="s">
        <v>136</v>
      </c>
      <c r="D1607" t="s">
        <v>674</v>
      </c>
      <c r="E1607" t="s">
        <v>4408</v>
      </c>
      <c r="F1607">
        <v>1</v>
      </c>
      <c r="G1607" t="s">
        <v>92</v>
      </c>
      <c r="I1607" t="s">
        <v>4409</v>
      </c>
      <c r="J1607" t="s">
        <v>582</v>
      </c>
      <c r="K1607" t="s">
        <v>4410</v>
      </c>
      <c r="L1607" t="s">
        <v>4411</v>
      </c>
      <c r="M1607" t="s">
        <v>62</v>
      </c>
      <c r="N1607" t="s">
        <v>520</v>
      </c>
      <c r="P1607">
        <f t="shared" si="50"/>
        <v>1</v>
      </c>
      <c r="Q1607" t="str">
        <f>IF(AND(P1607&gt;1,COUNTIF($E$6:E1607,E1607)=1),MAX($Q$5:Q1606)+1,"")</f>
        <v/>
      </c>
      <c r="R1607" t="str">
        <f t="shared" si="51"/>
        <v/>
      </c>
    </row>
    <row r="1608" spans="1:18" ht="22.95" customHeight="1">
      <c r="A1608" t="s">
        <v>4313</v>
      </c>
      <c r="B1608" t="s">
        <v>28</v>
      </c>
      <c r="C1608" t="s">
        <v>167</v>
      </c>
      <c r="D1608" t="s">
        <v>168</v>
      </c>
      <c r="E1608" t="s">
        <v>4412</v>
      </c>
      <c r="F1608">
        <v>1</v>
      </c>
      <c r="G1608" t="s">
        <v>4413</v>
      </c>
      <c r="H1608" t="s">
        <v>437</v>
      </c>
      <c r="I1608" t="s">
        <v>4414</v>
      </c>
      <c r="K1608" t="s">
        <v>4415</v>
      </c>
      <c r="L1608" t="s">
        <v>4416</v>
      </c>
      <c r="M1608" t="s">
        <v>73</v>
      </c>
      <c r="P1608">
        <f t="shared" si="50"/>
        <v>1</v>
      </c>
      <c r="Q1608" t="str">
        <f>IF(AND(P1608&gt;1,COUNTIF($E$6:E1608,E1608)=1),MAX($Q$5:Q1607)+1,"")</f>
        <v/>
      </c>
      <c r="R1608" t="str">
        <f t="shared" si="51"/>
        <v/>
      </c>
    </row>
    <row r="1609" spans="1:18" ht="22.95" customHeight="1">
      <c r="A1609" t="s">
        <v>4313</v>
      </c>
      <c r="B1609" t="s">
        <v>28</v>
      </c>
      <c r="C1609" t="s">
        <v>167</v>
      </c>
      <c r="D1609" t="s">
        <v>168</v>
      </c>
      <c r="E1609" t="s">
        <v>4417</v>
      </c>
      <c r="F1609">
        <v>1</v>
      </c>
      <c r="G1609" t="s">
        <v>92</v>
      </c>
      <c r="I1609" t="s">
        <v>4418</v>
      </c>
      <c r="K1609" t="s">
        <v>4419</v>
      </c>
      <c r="L1609" t="s">
        <v>4420</v>
      </c>
      <c r="M1609" t="s">
        <v>62</v>
      </c>
      <c r="N1609" t="s">
        <v>624</v>
      </c>
      <c r="P1609">
        <f t="shared" si="50"/>
        <v>1</v>
      </c>
      <c r="Q1609" t="str">
        <f>IF(AND(P1609&gt;1,COUNTIF($E$6:E1609,E1609)=1),MAX($Q$5:Q1608)+1,"")</f>
        <v/>
      </c>
      <c r="R1609" t="str">
        <f t="shared" si="51"/>
        <v/>
      </c>
    </row>
    <row r="1610" spans="1:18" ht="22.95" customHeight="1">
      <c r="A1610" t="s">
        <v>4313</v>
      </c>
      <c r="B1610" t="s">
        <v>30</v>
      </c>
      <c r="C1610" t="s">
        <v>180</v>
      </c>
      <c r="D1610" t="s">
        <v>181</v>
      </c>
      <c r="E1610" t="s">
        <v>4421</v>
      </c>
      <c r="F1610">
        <v>1</v>
      </c>
      <c r="G1610" t="s">
        <v>4422</v>
      </c>
      <c r="H1610" t="s">
        <v>4423</v>
      </c>
      <c r="I1610" t="s">
        <v>4424</v>
      </c>
      <c r="K1610" t="s">
        <v>4425</v>
      </c>
      <c r="L1610" t="s">
        <v>4426</v>
      </c>
      <c r="M1610" t="s">
        <v>73</v>
      </c>
      <c r="P1610">
        <f t="shared" si="50"/>
        <v>1</v>
      </c>
      <c r="Q1610" t="str">
        <f>IF(AND(P1610&gt;1,COUNTIF($E$6:E1610,E1610)=1),MAX($Q$5:Q1609)+1,"")</f>
        <v/>
      </c>
      <c r="R1610" t="str">
        <f t="shared" si="51"/>
        <v/>
      </c>
    </row>
    <row r="1611" spans="1:18" ht="22.95" customHeight="1">
      <c r="A1611" t="s">
        <v>4313</v>
      </c>
      <c r="B1611" t="s">
        <v>30</v>
      </c>
      <c r="C1611" t="s">
        <v>180</v>
      </c>
      <c r="D1611" t="s">
        <v>181</v>
      </c>
      <c r="E1611" t="s">
        <v>4427</v>
      </c>
      <c r="F1611">
        <v>1</v>
      </c>
      <c r="G1611" t="s">
        <v>4428</v>
      </c>
      <c r="H1611" t="s">
        <v>4429</v>
      </c>
      <c r="I1611" t="s">
        <v>4430</v>
      </c>
      <c r="K1611" t="s">
        <v>4431</v>
      </c>
      <c r="L1611" t="s">
        <v>4432</v>
      </c>
      <c r="M1611" t="s">
        <v>102</v>
      </c>
      <c r="P1611">
        <f t="shared" si="50"/>
        <v>1</v>
      </c>
      <c r="Q1611" t="str">
        <f>IF(AND(P1611&gt;1,COUNTIF($E$6:E1611,E1611)=1),MAX($Q$5:Q1610)+1,"")</f>
        <v/>
      </c>
      <c r="R1611" t="str">
        <f t="shared" si="51"/>
        <v/>
      </c>
    </row>
    <row r="1612" spans="1:18" ht="22.95" customHeight="1">
      <c r="A1612" t="s">
        <v>4313</v>
      </c>
      <c r="B1612" t="s">
        <v>30</v>
      </c>
      <c r="C1612" t="s">
        <v>188</v>
      </c>
      <c r="D1612" t="s">
        <v>189</v>
      </c>
      <c r="E1612" t="s">
        <v>4433</v>
      </c>
      <c r="F1612">
        <v>1</v>
      </c>
      <c r="H1612" t="s">
        <v>4434</v>
      </c>
      <c r="I1612" t="s">
        <v>3247</v>
      </c>
      <c r="J1612" t="s">
        <v>245</v>
      </c>
      <c r="K1612" t="s">
        <v>4435</v>
      </c>
      <c r="L1612" t="s">
        <v>4436</v>
      </c>
      <c r="M1612" t="s">
        <v>73</v>
      </c>
      <c r="P1612">
        <f t="shared" si="50"/>
        <v>1</v>
      </c>
      <c r="Q1612" t="str">
        <f>IF(AND(P1612&gt;1,COUNTIF($E$6:E1612,E1612)=1),MAX($Q$5:Q1611)+1,"")</f>
        <v/>
      </c>
      <c r="R1612" t="str">
        <f t="shared" si="51"/>
        <v/>
      </c>
    </row>
    <row r="1613" spans="1:18" ht="22.95" customHeight="1">
      <c r="A1613" t="s">
        <v>4313</v>
      </c>
      <c r="B1613" t="s">
        <v>30</v>
      </c>
      <c r="C1613" t="s">
        <v>188</v>
      </c>
      <c r="D1613" t="s">
        <v>189</v>
      </c>
      <c r="E1613" t="s">
        <v>4437</v>
      </c>
      <c r="F1613">
        <v>1</v>
      </c>
      <c r="G1613" t="s">
        <v>481</v>
      </c>
      <c r="H1613" t="s">
        <v>4434</v>
      </c>
      <c r="I1613" t="s">
        <v>4438</v>
      </c>
      <c r="K1613" t="s">
        <v>78</v>
      </c>
      <c r="L1613" t="s">
        <v>4439</v>
      </c>
      <c r="M1613" t="s">
        <v>73</v>
      </c>
      <c r="P1613">
        <f t="shared" si="50"/>
        <v>1</v>
      </c>
      <c r="Q1613" t="str">
        <f>IF(AND(P1613&gt;1,COUNTIF($E$6:E1613,E1613)=1),MAX($Q$5:Q1612)+1,"")</f>
        <v/>
      </c>
      <c r="R1613" t="str">
        <f t="shared" si="51"/>
        <v/>
      </c>
    </row>
    <row r="1614" spans="1:18" ht="22.95" customHeight="1">
      <c r="A1614" t="s">
        <v>4313</v>
      </c>
      <c r="B1614" t="s">
        <v>30</v>
      </c>
      <c r="C1614" t="s">
        <v>188</v>
      </c>
      <c r="D1614" t="s">
        <v>189</v>
      </c>
      <c r="E1614" t="s">
        <v>4440</v>
      </c>
      <c r="F1614">
        <v>1</v>
      </c>
      <c r="G1614" t="s">
        <v>481</v>
      </c>
      <c r="H1614" t="s">
        <v>4434</v>
      </c>
      <c r="I1614" t="s">
        <v>4441</v>
      </c>
      <c r="K1614" t="s">
        <v>78</v>
      </c>
      <c r="L1614" t="s">
        <v>4439</v>
      </c>
      <c r="M1614" t="s">
        <v>73</v>
      </c>
      <c r="P1614">
        <f t="shared" si="50"/>
        <v>1</v>
      </c>
      <c r="Q1614" t="str">
        <f>IF(AND(P1614&gt;1,COUNTIF($E$6:E1614,E1614)=1),MAX($Q$5:Q1613)+1,"")</f>
        <v/>
      </c>
      <c r="R1614" t="str">
        <f t="shared" si="51"/>
        <v/>
      </c>
    </row>
    <row r="1615" spans="1:18" ht="22.95" customHeight="1">
      <c r="A1615" t="s">
        <v>4313</v>
      </c>
      <c r="B1615" t="s">
        <v>26</v>
      </c>
      <c r="C1615" t="s">
        <v>196</v>
      </c>
      <c r="D1615" t="s">
        <v>197</v>
      </c>
      <c r="E1615" t="s">
        <v>4442</v>
      </c>
      <c r="F1615">
        <v>1</v>
      </c>
      <c r="G1615" t="s">
        <v>2297</v>
      </c>
      <c r="H1615" t="s">
        <v>509</v>
      </c>
      <c r="I1615" t="s">
        <v>406</v>
      </c>
      <c r="K1615" t="s">
        <v>406</v>
      </c>
      <c r="L1615" t="s">
        <v>4443</v>
      </c>
      <c r="M1615" t="s">
        <v>102</v>
      </c>
      <c r="P1615">
        <f t="shared" si="50"/>
        <v>1</v>
      </c>
      <c r="Q1615" t="str">
        <f>IF(AND(P1615&gt;1,COUNTIF($E$6:E1615,E1615)=1),MAX($Q$5:Q1614)+1,"")</f>
        <v/>
      </c>
      <c r="R1615" t="str">
        <f t="shared" si="51"/>
        <v/>
      </c>
    </row>
    <row r="1616" spans="1:18" ht="22.95" customHeight="1">
      <c r="A1616" t="s">
        <v>4313</v>
      </c>
      <c r="B1616" t="s">
        <v>33</v>
      </c>
      <c r="C1616" t="s">
        <v>2103</v>
      </c>
      <c r="D1616" t="s">
        <v>2104</v>
      </c>
      <c r="E1616" t="s">
        <v>4444</v>
      </c>
      <c r="F1616">
        <v>1</v>
      </c>
      <c r="G1616" t="s">
        <v>92</v>
      </c>
      <c r="I1616" t="s">
        <v>2327</v>
      </c>
      <c r="K1616" t="s">
        <v>109</v>
      </c>
      <c r="L1616" t="s">
        <v>4445</v>
      </c>
      <c r="M1616" t="s">
        <v>73</v>
      </c>
      <c r="P1616">
        <f t="shared" si="50"/>
        <v>1</v>
      </c>
      <c r="Q1616" t="str">
        <f>IF(AND(P1616&gt;1,COUNTIF($E$6:E1616,E1616)=1),MAX($Q$5:Q1615)+1,"")</f>
        <v/>
      </c>
      <c r="R1616" t="str">
        <f t="shared" si="51"/>
        <v/>
      </c>
    </row>
    <row r="1617" spans="1:18" ht="22.95" customHeight="1">
      <c r="A1617" t="s">
        <v>4313</v>
      </c>
      <c r="B1617" t="s">
        <v>32</v>
      </c>
      <c r="C1617" t="s">
        <v>200</v>
      </c>
      <c r="D1617" t="s">
        <v>201</v>
      </c>
      <c r="E1617" t="s">
        <v>4446</v>
      </c>
      <c r="F1617">
        <v>1</v>
      </c>
      <c r="G1617" t="s">
        <v>92</v>
      </c>
      <c r="I1617" t="s">
        <v>4447</v>
      </c>
      <c r="L1617" t="s">
        <v>4448</v>
      </c>
      <c r="M1617" t="s">
        <v>73</v>
      </c>
      <c r="P1617">
        <f t="shared" si="50"/>
        <v>1</v>
      </c>
      <c r="Q1617" t="str">
        <f>IF(AND(P1617&gt;1,COUNTIF($E$6:E1617,E1617)=1),MAX($Q$5:Q1616)+1,"")</f>
        <v/>
      </c>
      <c r="R1617" t="str">
        <f t="shared" si="51"/>
        <v/>
      </c>
    </row>
    <row r="1618" spans="1:18" ht="22.95" customHeight="1">
      <c r="A1618" t="s">
        <v>4313</v>
      </c>
      <c r="B1618" t="s">
        <v>32</v>
      </c>
      <c r="C1618" t="s">
        <v>200</v>
      </c>
      <c r="D1618" t="s">
        <v>201</v>
      </c>
      <c r="E1618" t="s">
        <v>4449</v>
      </c>
      <c r="F1618">
        <v>1</v>
      </c>
      <c r="G1618" t="s">
        <v>92</v>
      </c>
      <c r="I1618" t="s">
        <v>4311</v>
      </c>
      <c r="L1618" t="s">
        <v>4448</v>
      </c>
      <c r="M1618" t="s">
        <v>73</v>
      </c>
      <c r="P1618">
        <f t="shared" si="50"/>
        <v>1</v>
      </c>
      <c r="Q1618" t="str">
        <f>IF(AND(P1618&gt;1,COUNTIF($E$6:E1618,E1618)=1),MAX($Q$5:Q1617)+1,"")</f>
        <v/>
      </c>
      <c r="R1618" t="str">
        <f t="shared" si="51"/>
        <v/>
      </c>
    </row>
    <row r="1619" spans="1:18" ht="22.95" customHeight="1">
      <c r="A1619" t="s">
        <v>4313</v>
      </c>
      <c r="B1619" t="s">
        <v>32</v>
      </c>
      <c r="C1619" t="s">
        <v>200</v>
      </c>
      <c r="D1619" t="s">
        <v>201</v>
      </c>
      <c r="E1619" t="s">
        <v>4450</v>
      </c>
      <c r="F1619">
        <v>1</v>
      </c>
      <c r="G1619" t="s">
        <v>92</v>
      </c>
      <c r="I1619" t="s">
        <v>4311</v>
      </c>
      <c r="L1619" t="s">
        <v>4448</v>
      </c>
      <c r="M1619" t="s">
        <v>73</v>
      </c>
      <c r="P1619">
        <f t="shared" si="50"/>
        <v>1</v>
      </c>
      <c r="Q1619" t="str">
        <f>IF(AND(P1619&gt;1,COUNTIF($E$6:E1619,E1619)=1),MAX($Q$5:Q1618)+1,"")</f>
        <v/>
      </c>
      <c r="R1619" t="str">
        <f t="shared" si="51"/>
        <v/>
      </c>
    </row>
    <row r="1620" spans="1:18" ht="22.95" customHeight="1">
      <c r="A1620" t="s">
        <v>4313</v>
      </c>
      <c r="B1620" t="s">
        <v>32</v>
      </c>
      <c r="C1620" t="s">
        <v>200</v>
      </c>
      <c r="D1620" t="s">
        <v>201</v>
      </c>
      <c r="E1620" t="s">
        <v>4451</v>
      </c>
      <c r="F1620">
        <v>1</v>
      </c>
      <c r="G1620" t="s">
        <v>92</v>
      </c>
      <c r="I1620" t="s">
        <v>3700</v>
      </c>
      <c r="L1620" t="s">
        <v>4452</v>
      </c>
      <c r="M1620" t="s">
        <v>73</v>
      </c>
      <c r="P1620">
        <f t="shared" si="50"/>
        <v>1</v>
      </c>
      <c r="Q1620" t="str">
        <f>IF(AND(P1620&gt;1,COUNTIF($E$6:E1620,E1620)=1),MAX($Q$5:Q1619)+1,"")</f>
        <v/>
      </c>
      <c r="R1620" t="str">
        <f t="shared" si="51"/>
        <v/>
      </c>
    </row>
    <row r="1621" spans="1:18" ht="22.95" customHeight="1">
      <c r="A1621" t="s">
        <v>4313</v>
      </c>
      <c r="B1621" t="s">
        <v>32</v>
      </c>
      <c r="C1621" t="s">
        <v>200</v>
      </c>
      <c r="D1621" t="s">
        <v>201</v>
      </c>
      <c r="E1621" t="s">
        <v>4453</v>
      </c>
      <c r="F1621">
        <v>1</v>
      </c>
      <c r="G1621" t="s">
        <v>92</v>
      </c>
      <c r="I1621" t="s">
        <v>406</v>
      </c>
      <c r="K1621" t="s">
        <v>406</v>
      </c>
      <c r="L1621" t="s">
        <v>4454</v>
      </c>
      <c r="M1621" t="s">
        <v>62</v>
      </c>
      <c r="N1621" t="s">
        <v>712</v>
      </c>
      <c r="P1621">
        <f t="shared" si="50"/>
        <v>1</v>
      </c>
      <c r="Q1621" t="str">
        <f>IF(AND(P1621&gt;1,COUNTIF($E$6:E1621,E1621)=1),MAX($Q$5:Q1620)+1,"")</f>
        <v/>
      </c>
      <c r="R1621" t="str">
        <f t="shared" si="51"/>
        <v/>
      </c>
    </row>
    <row r="1622" spans="1:18" ht="22.95" customHeight="1">
      <c r="A1622" t="s">
        <v>4313</v>
      </c>
      <c r="B1622" t="s">
        <v>32</v>
      </c>
      <c r="C1622" t="s">
        <v>200</v>
      </c>
      <c r="D1622" t="s">
        <v>201</v>
      </c>
      <c r="E1622" t="s">
        <v>4455</v>
      </c>
      <c r="F1622">
        <v>1</v>
      </c>
      <c r="G1622" t="s">
        <v>92</v>
      </c>
      <c r="I1622" t="s">
        <v>406</v>
      </c>
      <c r="K1622" t="s">
        <v>406</v>
      </c>
      <c r="L1622" t="s">
        <v>4456</v>
      </c>
      <c r="M1622" t="s">
        <v>62</v>
      </c>
      <c r="N1622" t="s">
        <v>712</v>
      </c>
      <c r="P1622">
        <f t="shared" si="50"/>
        <v>1</v>
      </c>
      <c r="Q1622" t="str">
        <f>IF(AND(P1622&gt;1,COUNTIF($E$6:E1622,E1622)=1),MAX($Q$5:Q1621)+1,"")</f>
        <v/>
      </c>
      <c r="R1622" t="str">
        <f t="shared" si="51"/>
        <v/>
      </c>
    </row>
    <row r="1623" spans="1:18" ht="22.95" customHeight="1">
      <c r="A1623" t="s">
        <v>4313</v>
      </c>
      <c r="B1623" t="s">
        <v>29</v>
      </c>
      <c r="C1623" t="s">
        <v>1084</v>
      </c>
      <c r="D1623" t="s">
        <v>1085</v>
      </c>
      <c r="E1623" t="s">
        <v>4457</v>
      </c>
      <c r="F1623">
        <v>1</v>
      </c>
      <c r="G1623" t="s">
        <v>752</v>
      </c>
      <c r="H1623" t="s">
        <v>1560</v>
      </c>
      <c r="I1623" t="s">
        <v>4458</v>
      </c>
      <c r="K1623" t="s">
        <v>4459</v>
      </c>
      <c r="L1623" t="s">
        <v>4460</v>
      </c>
      <c r="M1623" t="s">
        <v>73</v>
      </c>
      <c r="P1623">
        <f t="shared" si="50"/>
        <v>1</v>
      </c>
      <c r="Q1623" t="str">
        <f>IF(AND(P1623&gt;1,COUNTIF($E$6:E1623,E1623)=1),MAX($Q$5:Q1622)+1,"")</f>
        <v/>
      </c>
      <c r="R1623" t="str">
        <f t="shared" si="51"/>
        <v/>
      </c>
    </row>
    <row r="1624" spans="1:18" ht="22.95" customHeight="1">
      <c r="A1624" t="s">
        <v>4313</v>
      </c>
      <c r="B1624" t="s">
        <v>29</v>
      </c>
      <c r="C1624" t="s">
        <v>1084</v>
      </c>
      <c r="D1624" t="s">
        <v>1085</v>
      </c>
      <c r="E1624" t="s">
        <v>4461</v>
      </c>
      <c r="F1624">
        <v>1</v>
      </c>
      <c r="G1624" t="s">
        <v>752</v>
      </c>
      <c r="H1624" t="s">
        <v>1560</v>
      </c>
      <c r="I1624" t="s">
        <v>4458</v>
      </c>
      <c r="K1624" t="s">
        <v>4459</v>
      </c>
      <c r="L1624" t="s">
        <v>4460</v>
      </c>
      <c r="M1624" t="s">
        <v>73</v>
      </c>
      <c r="P1624">
        <f t="shared" si="50"/>
        <v>1</v>
      </c>
      <c r="Q1624" t="str">
        <f>IF(AND(P1624&gt;1,COUNTIF($E$6:E1624,E1624)=1),MAX($Q$5:Q1623)+1,"")</f>
        <v/>
      </c>
      <c r="R1624" t="str">
        <f t="shared" si="51"/>
        <v/>
      </c>
    </row>
    <row r="1625" spans="1:18" ht="22.95" customHeight="1">
      <c r="A1625" t="s">
        <v>4313</v>
      </c>
      <c r="B1625" t="s">
        <v>29</v>
      </c>
      <c r="C1625" t="s">
        <v>1084</v>
      </c>
      <c r="D1625" t="s">
        <v>1085</v>
      </c>
      <c r="E1625" t="s">
        <v>4462</v>
      </c>
      <c r="F1625">
        <v>1</v>
      </c>
      <c r="G1625" t="s">
        <v>92</v>
      </c>
      <c r="I1625" t="s">
        <v>4463</v>
      </c>
      <c r="K1625" t="s">
        <v>109</v>
      </c>
      <c r="L1625" t="s">
        <v>4464</v>
      </c>
      <c r="M1625" t="s">
        <v>73</v>
      </c>
      <c r="P1625">
        <f t="shared" si="50"/>
        <v>1</v>
      </c>
      <c r="Q1625" t="str">
        <f>IF(AND(P1625&gt;1,COUNTIF($E$6:E1625,E1625)=1),MAX($Q$5:Q1624)+1,"")</f>
        <v/>
      </c>
      <c r="R1625" t="str">
        <f t="shared" si="51"/>
        <v/>
      </c>
    </row>
    <row r="1626" spans="1:18" ht="22.95" customHeight="1">
      <c r="A1626" t="s">
        <v>4313</v>
      </c>
      <c r="B1626" t="s">
        <v>29</v>
      </c>
      <c r="C1626" t="s">
        <v>1084</v>
      </c>
      <c r="D1626" t="s">
        <v>1085</v>
      </c>
      <c r="E1626" t="s">
        <v>4465</v>
      </c>
      <c r="F1626">
        <v>1</v>
      </c>
      <c r="G1626" t="s">
        <v>92</v>
      </c>
      <c r="I1626" t="s">
        <v>4466</v>
      </c>
      <c r="K1626" t="s">
        <v>109</v>
      </c>
      <c r="L1626" t="s">
        <v>4467</v>
      </c>
      <c r="M1626" t="s">
        <v>102</v>
      </c>
      <c r="P1626">
        <f t="shared" si="50"/>
        <v>1</v>
      </c>
      <c r="Q1626" t="str">
        <f>IF(AND(P1626&gt;1,COUNTIF($E$6:E1626,E1626)=1),MAX($Q$5:Q1625)+1,"")</f>
        <v/>
      </c>
      <c r="R1626" t="str">
        <f t="shared" si="51"/>
        <v/>
      </c>
    </row>
    <row r="1627" spans="1:18" ht="22.95" customHeight="1">
      <c r="A1627" t="s">
        <v>4313</v>
      </c>
      <c r="B1627" t="s">
        <v>29</v>
      </c>
      <c r="C1627" t="s">
        <v>1084</v>
      </c>
      <c r="D1627" t="s">
        <v>1085</v>
      </c>
      <c r="E1627" t="s">
        <v>4468</v>
      </c>
      <c r="F1627">
        <v>1</v>
      </c>
      <c r="G1627" t="s">
        <v>92</v>
      </c>
      <c r="I1627" t="s">
        <v>4469</v>
      </c>
      <c r="K1627" t="s">
        <v>109</v>
      </c>
      <c r="L1627" t="s">
        <v>4470</v>
      </c>
      <c r="M1627" t="s">
        <v>73</v>
      </c>
      <c r="P1627">
        <f t="shared" si="50"/>
        <v>1</v>
      </c>
      <c r="Q1627" t="str">
        <f>IF(AND(P1627&gt;1,COUNTIF($E$6:E1627,E1627)=1),MAX($Q$5:Q1626)+1,"")</f>
        <v/>
      </c>
      <c r="R1627" t="str">
        <f t="shared" si="51"/>
        <v/>
      </c>
    </row>
    <row r="1628" spans="1:18" ht="22.95" customHeight="1">
      <c r="A1628" t="s">
        <v>4313</v>
      </c>
      <c r="B1628" t="s">
        <v>29</v>
      </c>
      <c r="C1628" t="s">
        <v>1084</v>
      </c>
      <c r="D1628" t="s">
        <v>1085</v>
      </c>
      <c r="E1628" t="s">
        <v>4471</v>
      </c>
      <c r="F1628">
        <v>1</v>
      </c>
      <c r="G1628" t="s">
        <v>752</v>
      </c>
      <c r="H1628" t="s">
        <v>1560</v>
      </c>
      <c r="I1628" t="s">
        <v>4472</v>
      </c>
      <c r="J1628" t="s">
        <v>245</v>
      </c>
      <c r="K1628" t="s">
        <v>4473</v>
      </c>
      <c r="L1628" t="s">
        <v>4474</v>
      </c>
      <c r="M1628" t="s">
        <v>73</v>
      </c>
      <c r="P1628">
        <f t="shared" si="50"/>
        <v>1</v>
      </c>
      <c r="Q1628" t="str">
        <f>IF(AND(P1628&gt;1,COUNTIF($E$6:E1628,E1628)=1),MAX($Q$5:Q1627)+1,"")</f>
        <v/>
      </c>
      <c r="R1628" t="str">
        <f t="shared" si="51"/>
        <v/>
      </c>
    </row>
    <row r="1629" spans="1:18" ht="22.95" customHeight="1">
      <c r="A1629" t="s">
        <v>4313</v>
      </c>
      <c r="B1629" t="s">
        <v>29</v>
      </c>
      <c r="C1629" t="s">
        <v>1084</v>
      </c>
      <c r="D1629" t="s">
        <v>1085</v>
      </c>
      <c r="E1629" t="s">
        <v>4475</v>
      </c>
      <c r="F1629">
        <v>1</v>
      </c>
      <c r="G1629" t="s">
        <v>752</v>
      </c>
      <c r="H1629" t="s">
        <v>1560</v>
      </c>
      <c r="I1629" t="s">
        <v>4476</v>
      </c>
      <c r="J1629" t="s">
        <v>245</v>
      </c>
      <c r="K1629" t="s">
        <v>4473</v>
      </c>
      <c r="L1629" t="s">
        <v>4474</v>
      </c>
      <c r="M1629" t="s">
        <v>73</v>
      </c>
      <c r="P1629">
        <f t="shared" si="50"/>
        <v>1</v>
      </c>
      <c r="Q1629" t="str">
        <f>IF(AND(P1629&gt;1,COUNTIF($E$6:E1629,E1629)=1),MAX($Q$5:Q1628)+1,"")</f>
        <v/>
      </c>
      <c r="R1629" t="str">
        <f t="shared" si="51"/>
        <v/>
      </c>
    </row>
    <row r="1630" spans="1:18" ht="22.95" customHeight="1">
      <c r="A1630" t="s">
        <v>4477</v>
      </c>
      <c r="B1630" t="s">
        <v>20</v>
      </c>
      <c r="C1630" t="s">
        <v>65</v>
      </c>
      <c r="D1630" t="s">
        <v>66</v>
      </c>
      <c r="E1630" t="s">
        <v>4478</v>
      </c>
      <c r="F1630">
        <v>1</v>
      </c>
      <c r="G1630" t="s">
        <v>311</v>
      </c>
      <c r="H1630" t="s">
        <v>2285</v>
      </c>
      <c r="I1630" t="s">
        <v>140</v>
      </c>
      <c r="K1630" t="s">
        <v>141</v>
      </c>
      <c r="L1630" t="s">
        <v>4479</v>
      </c>
      <c r="M1630" t="s">
        <v>62</v>
      </c>
      <c r="N1630" t="s">
        <v>63</v>
      </c>
      <c r="P1630">
        <f t="shared" si="50"/>
        <v>1</v>
      </c>
      <c r="Q1630" t="str">
        <f>IF(AND(P1630&gt;1,COUNTIF($E$6:E1630,E1630)=1),MAX($Q$5:Q1629)+1,"")</f>
        <v/>
      </c>
      <c r="R1630" t="str">
        <f t="shared" si="51"/>
        <v/>
      </c>
    </row>
    <row r="1631" spans="1:18" ht="22.95" customHeight="1">
      <c r="A1631" t="s">
        <v>4477</v>
      </c>
      <c r="B1631" t="s">
        <v>20</v>
      </c>
      <c r="C1631" t="s">
        <v>65</v>
      </c>
      <c r="D1631" t="s">
        <v>66</v>
      </c>
      <c r="E1631" t="s">
        <v>4480</v>
      </c>
      <c r="F1631">
        <v>1</v>
      </c>
      <c r="G1631" t="s">
        <v>311</v>
      </c>
      <c r="H1631" t="s">
        <v>2285</v>
      </c>
      <c r="I1631" t="s">
        <v>140</v>
      </c>
      <c r="K1631" t="s">
        <v>141</v>
      </c>
      <c r="L1631" t="s">
        <v>4479</v>
      </c>
      <c r="M1631" t="s">
        <v>62</v>
      </c>
      <c r="N1631" t="s">
        <v>63</v>
      </c>
      <c r="P1631">
        <f t="shared" si="50"/>
        <v>1</v>
      </c>
      <c r="Q1631" t="str">
        <f>IF(AND(P1631&gt;1,COUNTIF($E$6:E1631,E1631)=1),MAX($Q$5:Q1630)+1,"")</f>
        <v/>
      </c>
      <c r="R1631" t="str">
        <f t="shared" si="51"/>
        <v/>
      </c>
    </row>
    <row r="1632" spans="1:18" ht="22.95" customHeight="1">
      <c r="A1632" t="s">
        <v>4477</v>
      </c>
      <c r="B1632" t="s">
        <v>20</v>
      </c>
      <c r="C1632" t="s">
        <v>65</v>
      </c>
      <c r="D1632" t="s">
        <v>66</v>
      </c>
      <c r="E1632" t="s">
        <v>4481</v>
      </c>
      <c r="F1632">
        <v>1</v>
      </c>
      <c r="G1632" t="s">
        <v>4482</v>
      </c>
      <c r="H1632" t="s">
        <v>4483</v>
      </c>
      <c r="I1632" t="s">
        <v>4484</v>
      </c>
      <c r="J1632" t="s">
        <v>245</v>
      </c>
      <c r="K1632" t="s">
        <v>4485</v>
      </c>
      <c r="L1632" t="s">
        <v>4486</v>
      </c>
      <c r="M1632" t="s">
        <v>73</v>
      </c>
      <c r="P1632">
        <f t="shared" si="50"/>
        <v>1</v>
      </c>
      <c r="Q1632" t="str">
        <f>IF(AND(P1632&gt;1,COUNTIF($E$6:E1632,E1632)=1),MAX($Q$5:Q1631)+1,"")</f>
        <v/>
      </c>
      <c r="R1632" t="str">
        <f t="shared" si="51"/>
        <v/>
      </c>
    </row>
    <row r="1633" spans="1:18" ht="22.95" customHeight="1">
      <c r="A1633" t="s">
        <v>4477</v>
      </c>
      <c r="B1633" t="s">
        <v>20</v>
      </c>
      <c r="C1633" t="s">
        <v>65</v>
      </c>
      <c r="D1633" t="s">
        <v>66</v>
      </c>
      <c r="E1633" t="s">
        <v>4487</v>
      </c>
      <c r="F1633">
        <v>1</v>
      </c>
      <c r="G1633" t="s">
        <v>4482</v>
      </c>
      <c r="H1633" t="s">
        <v>4483</v>
      </c>
      <c r="I1633" t="s">
        <v>4488</v>
      </c>
      <c r="J1633" t="s">
        <v>245</v>
      </c>
      <c r="K1633" t="s">
        <v>4485</v>
      </c>
      <c r="L1633" t="s">
        <v>4486</v>
      </c>
      <c r="M1633" t="s">
        <v>73</v>
      </c>
      <c r="P1633">
        <f t="shared" si="50"/>
        <v>1</v>
      </c>
      <c r="Q1633" t="str">
        <f>IF(AND(P1633&gt;1,COUNTIF($E$6:E1633,E1633)=1),MAX($Q$5:Q1632)+1,"")</f>
        <v/>
      </c>
      <c r="R1633" t="str">
        <f t="shared" si="51"/>
        <v/>
      </c>
    </row>
    <row r="1634" spans="1:18" ht="22.95" customHeight="1">
      <c r="A1634" t="s">
        <v>4477</v>
      </c>
      <c r="B1634" t="s">
        <v>20</v>
      </c>
      <c r="C1634" t="s">
        <v>65</v>
      </c>
      <c r="D1634" t="s">
        <v>66</v>
      </c>
      <c r="E1634" t="s">
        <v>4489</v>
      </c>
      <c r="F1634">
        <v>1</v>
      </c>
      <c r="G1634" t="s">
        <v>4482</v>
      </c>
      <c r="H1634" t="s">
        <v>4483</v>
      </c>
      <c r="I1634" t="s">
        <v>4484</v>
      </c>
      <c r="J1634" t="s">
        <v>245</v>
      </c>
      <c r="K1634" t="s">
        <v>4485</v>
      </c>
      <c r="L1634" t="s">
        <v>4486</v>
      </c>
      <c r="M1634" t="s">
        <v>73</v>
      </c>
      <c r="P1634">
        <f t="shared" si="50"/>
        <v>1</v>
      </c>
      <c r="Q1634" t="str">
        <f>IF(AND(P1634&gt;1,COUNTIF($E$6:E1634,E1634)=1),MAX($Q$5:Q1633)+1,"")</f>
        <v/>
      </c>
      <c r="R1634" t="str">
        <f t="shared" si="51"/>
        <v/>
      </c>
    </row>
    <row r="1635" spans="1:18" ht="22.95" customHeight="1">
      <c r="A1635" t="s">
        <v>4477</v>
      </c>
      <c r="B1635" t="s">
        <v>20</v>
      </c>
      <c r="C1635" t="s">
        <v>65</v>
      </c>
      <c r="D1635" t="s">
        <v>66</v>
      </c>
      <c r="E1635" t="s">
        <v>4490</v>
      </c>
      <c r="F1635">
        <v>1</v>
      </c>
      <c r="G1635" t="s">
        <v>4482</v>
      </c>
      <c r="H1635" t="s">
        <v>4483</v>
      </c>
      <c r="I1635" t="s">
        <v>4491</v>
      </c>
      <c r="J1635" t="s">
        <v>245</v>
      </c>
      <c r="K1635" t="s">
        <v>4485</v>
      </c>
      <c r="L1635" t="s">
        <v>4486</v>
      </c>
      <c r="M1635" t="s">
        <v>73</v>
      </c>
      <c r="P1635">
        <f t="shared" si="50"/>
        <v>1</v>
      </c>
      <c r="Q1635" t="str">
        <f>IF(AND(P1635&gt;1,COUNTIF($E$6:E1635,E1635)=1),MAX($Q$5:Q1634)+1,"")</f>
        <v/>
      </c>
      <c r="R1635" t="str">
        <f t="shared" si="51"/>
        <v/>
      </c>
    </row>
    <row r="1636" spans="1:18" ht="22.95" customHeight="1">
      <c r="A1636" t="s">
        <v>4477</v>
      </c>
      <c r="B1636" t="s">
        <v>20</v>
      </c>
      <c r="C1636" t="s">
        <v>65</v>
      </c>
      <c r="D1636" t="s">
        <v>66</v>
      </c>
      <c r="E1636" t="s">
        <v>4492</v>
      </c>
      <c r="F1636">
        <v>1</v>
      </c>
      <c r="G1636" t="s">
        <v>4493</v>
      </c>
      <c r="H1636" t="s">
        <v>488</v>
      </c>
      <c r="I1636" t="s">
        <v>4494</v>
      </c>
      <c r="K1636" t="s">
        <v>4495</v>
      </c>
      <c r="L1636" t="s">
        <v>4496</v>
      </c>
      <c r="M1636" t="s">
        <v>73</v>
      </c>
      <c r="P1636">
        <f t="shared" si="50"/>
        <v>1</v>
      </c>
      <c r="Q1636" t="str">
        <f>IF(AND(P1636&gt;1,COUNTIF($E$6:E1636,E1636)=1),MAX($Q$5:Q1635)+1,"")</f>
        <v/>
      </c>
      <c r="R1636" t="str">
        <f t="shared" si="51"/>
        <v/>
      </c>
    </row>
    <row r="1637" spans="1:18" ht="22.95" customHeight="1">
      <c r="A1637" t="s">
        <v>4477</v>
      </c>
      <c r="B1637" t="s">
        <v>20</v>
      </c>
      <c r="C1637" t="s">
        <v>65</v>
      </c>
      <c r="D1637" t="s">
        <v>66</v>
      </c>
      <c r="E1637" t="s">
        <v>4497</v>
      </c>
      <c r="F1637">
        <v>1</v>
      </c>
      <c r="G1637" t="s">
        <v>4482</v>
      </c>
      <c r="H1637" t="s">
        <v>4483</v>
      </c>
      <c r="I1637" t="s">
        <v>4498</v>
      </c>
      <c r="J1637" t="s">
        <v>245</v>
      </c>
      <c r="K1637" t="s">
        <v>4485</v>
      </c>
      <c r="L1637" t="s">
        <v>4499</v>
      </c>
      <c r="M1637" t="s">
        <v>73</v>
      </c>
      <c r="P1637">
        <f t="shared" si="50"/>
        <v>1</v>
      </c>
      <c r="Q1637" t="str">
        <f>IF(AND(P1637&gt;1,COUNTIF($E$6:E1637,E1637)=1),MAX($Q$5:Q1636)+1,"")</f>
        <v/>
      </c>
      <c r="R1637" t="str">
        <f t="shared" si="51"/>
        <v/>
      </c>
    </row>
    <row r="1638" spans="1:18" ht="22.95" customHeight="1">
      <c r="A1638" t="s">
        <v>4477</v>
      </c>
      <c r="B1638" t="s">
        <v>20</v>
      </c>
      <c r="C1638" t="s">
        <v>65</v>
      </c>
      <c r="D1638" t="s">
        <v>66</v>
      </c>
      <c r="E1638" t="s">
        <v>4500</v>
      </c>
      <c r="F1638">
        <v>1</v>
      </c>
      <c r="G1638" t="s">
        <v>4482</v>
      </c>
      <c r="H1638" t="s">
        <v>4483</v>
      </c>
      <c r="I1638" t="s">
        <v>4501</v>
      </c>
      <c r="J1638" t="s">
        <v>245</v>
      </c>
      <c r="K1638" t="s">
        <v>4485</v>
      </c>
      <c r="L1638" t="s">
        <v>4499</v>
      </c>
      <c r="M1638" t="s">
        <v>73</v>
      </c>
      <c r="P1638">
        <f t="shared" si="50"/>
        <v>1</v>
      </c>
      <c r="Q1638" t="str">
        <f>IF(AND(P1638&gt;1,COUNTIF($E$6:E1638,E1638)=1),MAX($Q$5:Q1637)+1,"")</f>
        <v/>
      </c>
      <c r="R1638" t="str">
        <f t="shared" si="51"/>
        <v/>
      </c>
    </row>
    <row r="1639" spans="1:18" ht="22.95" customHeight="1">
      <c r="A1639" t="s">
        <v>4477</v>
      </c>
      <c r="B1639" t="s">
        <v>20</v>
      </c>
      <c r="C1639" t="s">
        <v>65</v>
      </c>
      <c r="D1639" t="s">
        <v>66</v>
      </c>
      <c r="E1639" t="s">
        <v>4502</v>
      </c>
      <c r="F1639">
        <v>1</v>
      </c>
      <c r="G1639" t="s">
        <v>4482</v>
      </c>
      <c r="H1639" t="s">
        <v>4483</v>
      </c>
      <c r="I1639" t="s">
        <v>4503</v>
      </c>
      <c r="J1639" t="s">
        <v>245</v>
      </c>
      <c r="K1639" t="s">
        <v>4485</v>
      </c>
      <c r="L1639" t="s">
        <v>4499</v>
      </c>
      <c r="M1639" t="s">
        <v>73</v>
      </c>
      <c r="P1639">
        <f t="shared" si="50"/>
        <v>1</v>
      </c>
      <c r="Q1639" t="str">
        <f>IF(AND(P1639&gt;1,COUNTIF($E$6:E1639,E1639)=1),MAX($Q$5:Q1638)+1,"")</f>
        <v/>
      </c>
      <c r="R1639" t="str">
        <f t="shared" si="51"/>
        <v/>
      </c>
    </row>
    <row r="1640" spans="1:18" ht="22.95" customHeight="1">
      <c r="A1640" t="s">
        <v>4477</v>
      </c>
      <c r="B1640" t="s">
        <v>20</v>
      </c>
      <c r="C1640" t="s">
        <v>65</v>
      </c>
      <c r="D1640" t="s">
        <v>66</v>
      </c>
      <c r="E1640" t="s">
        <v>4504</v>
      </c>
      <c r="F1640">
        <v>1</v>
      </c>
      <c r="G1640" t="s">
        <v>92</v>
      </c>
      <c r="I1640" t="s">
        <v>4505</v>
      </c>
      <c r="K1640" t="s">
        <v>4506</v>
      </c>
      <c r="L1640" t="s">
        <v>4507</v>
      </c>
      <c r="M1640" t="s">
        <v>73</v>
      </c>
      <c r="P1640">
        <f t="shared" si="50"/>
        <v>1</v>
      </c>
      <c r="Q1640" t="str">
        <f>IF(AND(P1640&gt;1,COUNTIF($E$6:E1640,E1640)=1),MAX($Q$5:Q1639)+1,"")</f>
        <v/>
      </c>
      <c r="R1640" t="str">
        <f t="shared" si="51"/>
        <v/>
      </c>
    </row>
    <row r="1641" spans="1:18" ht="22.95" customHeight="1">
      <c r="A1641" t="s">
        <v>4477</v>
      </c>
      <c r="B1641" t="s">
        <v>22</v>
      </c>
      <c r="C1641" t="s">
        <v>370</v>
      </c>
      <c r="D1641" t="s">
        <v>371</v>
      </c>
      <c r="E1641" t="s">
        <v>4508</v>
      </c>
      <c r="F1641">
        <v>1</v>
      </c>
      <c r="G1641" t="s">
        <v>139</v>
      </c>
      <c r="I1641" t="s">
        <v>4509</v>
      </c>
      <c r="K1641" t="s">
        <v>4510</v>
      </c>
      <c r="L1641" t="s">
        <v>4511</v>
      </c>
      <c r="M1641" t="s">
        <v>73</v>
      </c>
      <c r="P1641">
        <f t="shared" si="50"/>
        <v>1</v>
      </c>
      <c r="Q1641" t="str">
        <f>IF(AND(P1641&gt;1,COUNTIF($E$6:E1641,E1641)=1),MAX($Q$5:Q1640)+1,"")</f>
        <v/>
      </c>
      <c r="R1641" t="str">
        <f t="shared" si="51"/>
        <v/>
      </c>
    </row>
    <row r="1642" spans="1:18" ht="22.95" customHeight="1">
      <c r="A1642" t="s">
        <v>4477</v>
      </c>
      <c r="B1642" t="s">
        <v>23</v>
      </c>
      <c r="C1642" t="s">
        <v>103</v>
      </c>
      <c r="D1642" t="s">
        <v>104</v>
      </c>
      <c r="E1642" t="s">
        <v>4512</v>
      </c>
      <c r="F1642">
        <v>1</v>
      </c>
      <c r="G1642" t="s">
        <v>4513</v>
      </c>
      <c r="H1642" t="s">
        <v>4514</v>
      </c>
      <c r="I1642" t="s">
        <v>4515</v>
      </c>
      <c r="K1642" t="s">
        <v>4516</v>
      </c>
      <c r="L1642" t="s">
        <v>4517</v>
      </c>
      <c r="M1642" t="s">
        <v>73</v>
      </c>
      <c r="P1642">
        <f t="shared" si="50"/>
        <v>1</v>
      </c>
      <c r="Q1642" t="str">
        <f>IF(AND(P1642&gt;1,COUNTIF($E$6:E1642,E1642)=1),MAX($Q$5:Q1641)+1,"")</f>
        <v/>
      </c>
      <c r="R1642" t="str">
        <f t="shared" si="51"/>
        <v/>
      </c>
    </row>
    <row r="1643" spans="1:18" ht="22.95" customHeight="1">
      <c r="A1643" t="s">
        <v>4477</v>
      </c>
      <c r="B1643" t="s">
        <v>23</v>
      </c>
      <c r="C1643" t="s">
        <v>103</v>
      </c>
      <c r="D1643" t="s">
        <v>104</v>
      </c>
      <c r="E1643" t="s">
        <v>4518</v>
      </c>
      <c r="F1643">
        <v>1</v>
      </c>
      <c r="G1643" t="s">
        <v>4519</v>
      </c>
      <c r="H1643" t="s">
        <v>4520</v>
      </c>
      <c r="I1643" t="s">
        <v>4521</v>
      </c>
      <c r="L1643" t="s">
        <v>4522</v>
      </c>
      <c r="M1643" t="s">
        <v>62</v>
      </c>
      <c r="N1643" t="s">
        <v>299</v>
      </c>
      <c r="P1643">
        <f t="shared" si="50"/>
        <v>1</v>
      </c>
      <c r="Q1643" t="str">
        <f>IF(AND(P1643&gt;1,COUNTIF($E$6:E1643,E1643)=1),MAX($Q$5:Q1642)+1,"")</f>
        <v/>
      </c>
      <c r="R1643" t="str">
        <f t="shared" si="51"/>
        <v/>
      </c>
    </row>
    <row r="1644" spans="1:18" ht="22.95" customHeight="1">
      <c r="A1644" t="s">
        <v>4477</v>
      </c>
      <c r="B1644" t="s">
        <v>23</v>
      </c>
      <c r="C1644" t="s">
        <v>103</v>
      </c>
      <c r="D1644" t="s">
        <v>104</v>
      </c>
      <c r="E1644" t="s">
        <v>4523</v>
      </c>
      <c r="F1644">
        <v>1</v>
      </c>
      <c r="G1644" t="s">
        <v>92</v>
      </c>
      <c r="I1644" t="s">
        <v>2240</v>
      </c>
      <c r="K1644" t="s">
        <v>4524</v>
      </c>
      <c r="L1644" t="s">
        <v>4525</v>
      </c>
      <c r="M1644" t="s">
        <v>62</v>
      </c>
      <c r="N1644" t="s">
        <v>161</v>
      </c>
      <c r="P1644">
        <f t="shared" si="50"/>
        <v>1</v>
      </c>
      <c r="Q1644" t="str">
        <f>IF(AND(P1644&gt;1,COUNTIF($E$6:E1644,E1644)=1),MAX($Q$5:Q1643)+1,"")</f>
        <v/>
      </c>
      <c r="R1644" t="str">
        <f t="shared" si="51"/>
        <v/>
      </c>
    </row>
    <row r="1645" spans="1:18" ht="22.95" customHeight="1">
      <c r="A1645" t="s">
        <v>4477</v>
      </c>
      <c r="B1645" t="s">
        <v>23</v>
      </c>
      <c r="C1645" t="s">
        <v>103</v>
      </c>
      <c r="D1645" t="s">
        <v>104</v>
      </c>
      <c r="E1645" t="s">
        <v>4526</v>
      </c>
      <c r="F1645">
        <v>1</v>
      </c>
      <c r="G1645" t="s">
        <v>92</v>
      </c>
      <c r="I1645" t="s">
        <v>2240</v>
      </c>
      <c r="K1645" t="s">
        <v>4524</v>
      </c>
      <c r="L1645" t="s">
        <v>4527</v>
      </c>
      <c r="M1645" t="s">
        <v>62</v>
      </c>
      <c r="N1645" t="s">
        <v>161</v>
      </c>
      <c r="P1645">
        <f t="shared" si="50"/>
        <v>1</v>
      </c>
      <c r="Q1645" t="str">
        <f>IF(AND(P1645&gt;1,COUNTIF($E$6:E1645,E1645)=1),MAX($Q$5:Q1644)+1,"")</f>
        <v/>
      </c>
      <c r="R1645" t="str">
        <f t="shared" si="51"/>
        <v/>
      </c>
    </row>
    <row r="1646" spans="1:18" ht="22.95" customHeight="1">
      <c r="A1646" t="s">
        <v>4477</v>
      </c>
      <c r="B1646" t="s">
        <v>23</v>
      </c>
      <c r="C1646" t="s">
        <v>103</v>
      </c>
      <c r="D1646" t="s">
        <v>104</v>
      </c>
      <c r="E1646" t="s">
        <v>4528</v>
      </c>
      <c r="F1646">
        <v>1</v>
      </c>
      <c r="G1646" t="s">
        <v>92</v>
      </c>
      <c r="I1646" t="s">
        <v>2240</v>
      </c>
      <c r="K1646" t="s">
        <v>4524</v>
      </c>
      <c r="L1646" t="s">
        <v>4529</v>
      </c>
      <c r="M1646" t="s">
        <v>62</v>
      </c>
      <c r="N1646" t="s">
        <v>161</v>
      </c>
      <c r="P1646">
        <f t="shared" si="50"/>
        <v>1</v>
      </c>
      <c r="Q1646" t="str">
        <f>IF(AND(P1646&gt;1,COUNTIF($E$6:E1646,E1646)=1),MAX($Q$5:Q1645)+1,"")</f>
        <v/>
      </c>
      <c r="R1646" t="str">
        <f t="shared" si="51"/>
        <v/>
      </c>
    </row>
    <row r="1647" spans="1:18" ht="22.95" customHeight="1">
      <c r="A1647" t="s">
        <v>4477</v>
      </c>
      <c r="B1647" t="s">
        <v>23</v>
      </c>
      <c r="C1647" t="s">
        <v>103</v>
      </c>
      <c r="D1647" t="s">
        <v>104</v>
      </c>
      <c r="E1647" t="s">
        <v>4530</v>
      </c>
      <c r="F1647">
        <v>1</v>
      </c>
      <c r="G1647" t="s">
        <v>92</v>
      </c>
      <c r="I1647" t="s">
        <v>2240</v>
      </c>
      <c r="K1647" t="s">
        <v>4524</v>
      </c>
      <c r="L1647" t="s">
        <v>4531</v>
      </c>
      <c r="M1647" t="s">
        <v>62</v>
      </c>
      <c r="N1647" t="s">
        <v>161</v>
      </c>
      <c r="P1647">
        <f t="shared" si="50"/>
        <v>1</v>
      </c>
      <c r="Q1647" t="str">
        <f>IF(AND(P1647&gt;1,COUNTIF($E$6:E1647,E1647)=1),MAX($Q$5:Q1646)+1,"")</f>
        <v/>
      </c>
      <c r="R1647" t="str">
        <f t="shared" si="51"/>
        <v/>
      </c>
    </row>
    <row r="1648" spans="1:18" ht="22.95" customHeight="1">
      <c r="A1648" t="s">
        <v>4477</v>
      </c>
      <c r="B1648" t="s">
        <v>23</v>
      </c>
      <c r="C1648" t="s">
        <v>103</v>
      </c>
      <c r="D1648" t="s">
        <v>104</v>
      </c>
      <c r="E1648" t="s">
        <v>4532</v>
      </c>
      <c r="F1648">
        <v>1</v>
      </c>
      <c r="G1648" t="s">
        <v>92</v>
      </c>
      <c r="I1648" t="s">
        <v>2240</v>
      </c>
      <c r="K1648" t="s">
        <v>4524</v>
      </c>
      <c r="L1648" t="s">
        <v>4533</v>
      </c>
      <c r="M1648" t="s">
        <v>62</v>
      </c>
      <c r="N1648" t="s">
        <v>161</v>
      </c>
      <c r="P1648">
        <f t="shared" si="50"/>
        <v>1</v>
      </c>
      <c r="Q1648" t="str">
        <f>IF(AND(P1648&gt;1,COUNTIF($E$6:E1648,E1648)=1),MAX($Q$5:Q1647)+1,"")</f>
        <v/>
      </c>
      <c r="R1648" t="str">
        <f t="shared" si="51"/>
        <v/>
      </c>
    </row>
    <row r="1649" spans="1:18" ht="22.95" customHeight="1">
      <c r="A1649" t="s">
        <v>4477</v>
      </c>
      <c r="B1649" t="s">
        <v>25</v>
      </c>
      <c r="C1649" t="s">
        <v>3299</v>
      </c>
      <c r="D1649" t="s">
        <v>698</v>
      </c>
      <c r="E1649" t="s">
        <v>4534</v>
      </c>
      <c r="F1649">
        <v>1</v>
      </c>
      <c r="G1649" t="s">
        <v>4369</v>
      </c>
      <c r="I1649" t="s">
        <v>112</v>
      </c>
      <c r="K1649" t="s">
        <v>406</v>
      </c>
      <c r="L1649" t="s">
        <v>4535</v>
      </c>
      <c r="M1649" t="s">
        <v>102</v>
      </c>
      <c r="P1649">
        <f t="shared" si="50"/>
        <v>1</v>
      </c>
      <c r="Q1649" t="str">
        <f>IF(AND(P1649&gt;1,COUNTIF($E$6:E1649,E1649)=1),MAX($Q$5:Q1648)+1,"")</f>
        <v/>
      </c>
      <c r="R1649" t="str">
        <f t="shared" si="51"/>
        <v/>
      </c>
    </row>
    <row r="1650" spans="1:18" ht="22.95" customHeight="1">
      <c r="A1650" t="s">
        <v>4477</v>
      </c>
      <c r="B1650" t="s">
        <v>25</v>
      </c>
      <c r="C1650" t="s">
        <v>3299</v>
      </c>
      <c r="D1650" t="s">
        <v>698</v>
      </c>
      <c r="E1650" t="s">
        <v>4536</v>
      </c>
      <c r="F1650">
        <v>1</v>
      </c>
      <c r="G1650" t="s">
        <v>4369</v>
      </c>
      <c r="I1650" t="s">
        <v>134</v>
      </c>
      <c r="K1650" t="s">
        <v>109</v>
      </c>
      <c r="L1650" t="s">
        <v>4537</v>
      </c>
      <c r="M1650" t="s">
        <v>102</v>
      </c>
      <c r="P1650">
        <f t="shared" si="50"/>
        <v>1</v>
      </c>
      <c r="Q1650" t="str">
        <f>IF(AND(P1650&gt;1,COUNTIF($E$6:E1650,E1650)=1),MAX($Q$5:Q1649)+1,"")</f>
        <v/>
      </c>
      <c r="R1650" t="str">
        <f t="shared" si="51"/>
        <v/>
      </c>
    </row>
    <row r="1651" spans="1:18" ht="22.95" customHeight="1">
      <c r="A1651" t="s">
        <v>4477</v>
      </c>
      <c r="B1651" t="s">
        <v>25</v>
      </c>
      <c r="C1651" t="s">
        <v>3299</v>
      </c>
      <c r="D1651" t="s">
        <v>698</v>
      </c>
      <c r="E1651" t="s">
        <v>4538</v>
      </c>
      <c r="F1651">
        <v>1</v>
      </c>
      <c r="G1651" t="s">
        <v>4369</v>
      </c>
      <c r="I1651" t="s">
        <v>112</v>
      </c>
      <c r="K1651" t="s">
        <v>406</v>
      </c>
      <c r="L1651" t="s">
        <v>4535</v>
      </c>
      <c r="M1651" t="s">
        <v>102</v>
      </c>
      <c r="P1651">
        <f t="shared" si="50"/>
        <v>1</v>
      </c>
      <c r="Q1651" t="str">
        <f>IF(AND(P1651&gt;1,COUNTIF($E$6:E1651,E1651)=1),MAX($Q$5:Q1650)+1,"")</f>
        <v/>
      </c>
      <c r="R1651" t="str">
        <f t="shared" si="51"/>
        <v/>
      </c>
    </row>
    <row r="1652" spans="1:18" ht="22.95" customHeight="1">
      <c r="A1652" t="s">
        <v>4477</v>
      </c>
      <c r="B1652" t="s">
        <v>25</v>
      </c>
      <c r="C1652" t="s">
        <v>3299</v>
      </c>
      <c r="D1652" t="s">
        <v>698</v>
      </c>
      <c r="E1652" t="s">
        <v>4539</v>
      </c>
      <c r="F1652">
        <v>1</v>
      </c>
      <c r="G1652" t="s">
        <v>4369</v>
      </c>
      <c r="I1652" t="s">
        <v>112</v>
      </c>
      <c r="K1652" t="s">
        <v>406</v>
      </c>
      <c r="L1652" t="s">
        <v>4535</v>
      </c>
      <c r="M1652" t="s">
        <v>102</v>
      </c>
      <c r="P1652">
        <f t="shared" si="50"/>
        <v>1</v>
      </c>
      <c r="Q1652" t="str">
        <f>IF(AND(P1652&gt;1,COUNTIF($E$6:E1652,E1652)=1),MAX($Q$5:Q1651)+1,"")</f>
        <v/>
      </c>
      <c r="R1652" t="str">
        <f t="shared" si="51"/>
        <v/>
      </c>
    </row>
    <row r="1653" spans="1:18" ht="22.95" customHeight="1">
      <c r="A1653" t="s">
        <v>4477</v>
      </c>
      <c r="B1653" t="s">
        <v>25</v>
      </c>
      <c r="C1653" t="s">
        <v>3299</v>
      </c>
      <c r="D1653" t="s">
        <v>698</v>
      </c>
      <c r="E1653" t="s">
        <v>4540</v>
      </c>
      <c r="F1653">
        <v>1</v>
      </c>
      <c r="G1653" t="s">
        <v>4369</v>
      </c>
      <c r="I1653" t="s">
        <v>112</v>
      </c>
      <c r="K1653" t="s">
        <v>406</v>
      </c>
      <c r="L1653" t="s">
        <v>4535</v>
      </c>
      <c r="M1653" t="s">
        <v>102</v>
      </c>
      <c r="P1653">
        <f t="shared" si="50"/>
        <v>1</v>
      </c>
      <c r="Q1653" t="str">
        <f>IF(AND(P1653&gt;1,COUNTIF($E$6:E1653,E1653)=1),MAX($Q$5:Q1652)+1,"")</f>
        <v/>
      </c>
      <c r="R1653" t="str">
        <f t="shared" si="51"/>
        <v/>
      </c>
    </row>
    <row r="1654" spans="1:18" ht="22.95" customHeight="1">
      <c r="A1654" t="s">
        <v>4477</v>
      </c>
      <c r="B1654" t="s">
        <v>25</v>
      </c>
      <c r="C1654" t="s">
        <v>3299</v>
      </c>
      <c r="D1654" t="s">
        <v>698</v>
      </c>
      <c r="E1654" t="s">
        <v>4541</v>
      </c>
      <c r="F1654">
        <v>1</v>
      </c>
      <c r="G1654" t="s">
        <v>4369</v>
      </c>
      <c r="I1654" t="s">
        <v>112</v>
      </c>
      <c r="K1654" t="s">
        <v>406</v>
      </c>
      <c r="L1654" t="s">
        <v>4535</v>
      </c>
      <c r="M1654" t="s">
        <v>102</v>
      </c>
      <c r="P1654">
        <f t="shared" si="50"/>
        <v>1</v>
      </c>
      <c r="Q1654" t="str">
        <f>IF(AND(P1654&gt;1,COUNTIF($E$6:E1654,E1654)=1),MAX($Q$5:Q1653)+1,"")</f>
        <v/>
      </c>
      <c r="R1654" t="str">
        <f t="shared" si="51"/>
        <v/>
      </c>
    </row>
    <row r="1655" spans="1:18" ht="22.95" customHeight="1">
      <c r="A1655" t="s">
        <v>4477</v>
      </c>
      <c r="B1655" t="s">
        <v>25</v>
      </c>
      <c r="C1655" t="s">
        <v>3299</v>
      </c>
      <c r="D1655" t="s">
        <v>698</v>
      </c>
      <c r="E1655" t="s">
        <v>4542</v>
      </c>
      <c r="F1655">
        <v>1</v>
      </c>
      <c r="G1655" t="s">
        <v>4369</v>
      </c>
      <c r="I1655" t="s">
        <v>134</v>
      </c>
      <c r="K1655" t="s">
        <v>109</v>
      </c>
      <c r="L1655" t="s">
        <v>4535</v>
      </c>
      <c r="M1655" t="s">
        <v>102</v>
      </c>
      <c r="P1655">
        <f t="shared" si="50"/>
        <v>1</v>
      </c>
      <c r="Q1655" t="str">
        <f>IF(AND(P1655&gt;1,COUNTIF($E$6:E1655,E1655)=1),MAX($Q$5:Q1654)+1,"")</f>
        <v/>
      </c>
      <c r="R1655" t="str">
        <f t="shared" si="51"/>
        <v/>
      </c>
    </row>
    <row r="1656" spans="1:18" ht="22.95" customHeight="1">
      <c r="A1656" t="s">
        <v>4477</v>
      </c>
      <c r="B1656" t="s">
        <v>25</v>
      </c>
      <c r="C1656" t="s">
        <v>115</v>
      </c>
      <c r="D1656" t="s">
        <v>116</v>
      </c>
      <c r="E1656" t="s">
        <v>4543</v>
      </c>
      <c r="F1656">
        <v>1</v>
      </c>
      <c r="G1656" t="s">
        <v>92</v>
      </c>
      <c r="I1656" t="s">
        <v>4544</v>
      </c>
      <c r="K1656" t="s">
        <v>1324</v>
      </c>
      <c r="L1656" t="s">
        <v>4545</v>
      </c>
      <c r="M1656" t="s">
        <v>62</v>
      </c>
      <c r="N1656" t="s">
        <v>63</v>
      </c>
      <c r="P1656">
        <f t="shared" si="50"/>
        <v>1</v>
      </c>
      <c r="Q1656" t="str">
        <f>IF(AND(P1656&gt;1,COUNTIF($E$6:E1656,E1656)=1),MAX($Q$5:Q1655)+1,"")</f>
        <v/>
      </c>
      <c r="R1656" t="str">
        <f t="shared" si="51"/>
        <v/>
      </c>
    </row>
    <row r="1657" spans="1:18" ht="22.95" customHeight="1">
      <c r="A1657" t="s">
        <v>4477</v>
      </c>
      <c r="B1657" t="s">
        <v>24</v>
      </c>
      <c r="C1657" t="s">
        <v>426</v>
      </c>
      <c r="D1657" t="s">
        <v>427</v>
      </c>
      <c r="E1657" t="s">
        <v>4546</v>
      </c>
      <c r="F1657">
        <v>1</v>
      </c>
      <c r="G1657" t="s">
        <v>1863</v>
      </c>
      <c r="H1657" t="s">
        <v>4547</v>
      </c>
      <c r="I1657" t="s">
        <v>4548</v>
      </c>
      <c r="K1657" t="s">
        <v>4549</v>
      </c>
      <c r="L1657" t="s">
        <v>4550</v>
      </c>
      <c r="M1657" t="s">
        <v>62</v>
      </c>
      <c r="N1657" t="s">
        <v>1752</v>
      </c>
      <c r="P1657">
        <f t="shared" si="50"/>
        <v>1</v>
      </c>
      <c r="Q1657" t="str">
        <f>IF(AND(P1657&gt;1,COUNTIF($E$6:E1657,E1657)=1),MAX($Q$5:Q1656)+1,"")</f>
        <v/>
      </c>
      <c r="R1657" t="str">
        <f t="shared" si="51"/>
        <v/>
      </c>
    </row>
    <row r="1658" spans="1:18" ht="22.95" customHeight="1">
      <c r="A1658" t="s">
        <v>4477</v>
      </c>
      <c r="B1658" t="s">
        <v>24</v>
      </c>
      <c r="C1658" t="s">
        <v>426</v>
      </c>
      <c r="D1658" t="s">
        <v>427</v>
      </c>
      <c r="E1658" t="s">
        <v>4551</v>
      </c>
      <c r="F1658">
        <v>1</v>
      </c>
      <c r="G1658" t="s">
        <v>92</v>
      </c>
      <c r="I1658" t="s">
        <v>4552</v>
      </c>
      <c r="K1658" t="s">
        <v>4553</v>
      </c>
      <c r="L1658" t="s">
        <v>4554</v>
      </c>
      <c r="M1658" t="s">
        <v>62</v>
      </c>
      <c r="N1658" t="s">
        <v>957</v>
      </c>
      <c r="P1658">
        <f t="shared" si="50"/>
        <v>1</v>
      </c>
      <c r="Q1658" t="str">
        <f>IF(AND(P1658&gt;1,COUNTIF($E$6:E1658,E1658)=1),MAX($Q$5:Q1657)+1,"")</f>
        <v/>
      </c>
      <c r="R1658" t="str">
        <f t="shared" si="51"/>
        <v/>
      </c>
    </row>
    <row r="1659" spans="1:18" ht="22.95" customHeight="1">
      <c r="A1659" t="s">
        <v>4477</v>
      </c>
      <c r="B1659" t="s">
        <v>24</v>
      </c>
      <c r="C1659" t="s">
        <v>431</v>
      </c>
      <c r="D1659" t="s">
        <v>216</v>
      </c>
      <c r="E1659" t="s">
        <v>4555</v>
      </c>
      <c r="F1659">
        <v>1</v>
      </c>
      <c r="G1659" t="s">
        <v>4555</v>
      </c>
      <c r="H1659" t="s">
        <v>1686</v>
      </c>
      <c r="I1659" t="s">
        <v>4556</v>
      </c>
      <c r="K1659" t="s">
        <v>4549</v>
      </c>
      <c r="L1659" t="s">
        <v>4557</v>
      </c>
      <c r="M1659" t="s">
        <v>62</v>
      </c>
      <c r="N1659" t="s">
        <v>1752</v>
      </c>
      <c r="P1659">
        <f t="shared" si="50"/>
        <v>1</v>
      </c>
      <c r="Q1659" t="str">
        <f>IF(AND(P1659&gt;1,COUNTIF($E$6:E1659,E1659)=1),MAX($Q$5:Q1658)+1,"")</f>
        <v/>
      </c>
      <c r="R1659" t="str">
        <f t="shared" si="51"/>
        <v/>
      </c>
    </row>
    <row r="1660" spans="1:18" ht="22.95" customHeight="1">
      <c r="A1660" t="s">
        <v>4477</v>
      </c>
      <c r="B1660" t="s">
        <v>24</v>
      </c>
      <c r="C1660" t="s">
        <v>431</v>
      </c>
      <c r="D1660" t="s">
        <v>216</v>
      </c>
      <c r="E1660" t="s">
        <v>4558</v>
      </c>
      <c r="F1660">
        <v>1</v>
      </c>
      <c r="G1660" t="s">
        <v>92</v>
      </c>
      <c r="I1660" t="s">
        <v>4559</v>
      </c>
      <c r="K1660" t="s">
        <v>4560</v>
      </c>
      <c r="L1660" t="s">
        <v>4561</v>
      </c>
      <c r="M1660" t="s">
        <v>62</v>
      </c>
      <c r="N1660" t="s">
        <v>187</v>
      </c>
      <c r="P1660">
        <f t="shared" si="50"/>
        <v>1</v>
      </c>
      <c r="Q1660" t="str">
        <f>IF(AND(P1660&gt;1,COUNTIF($E$6:E1660,E1660)=1),MAX($Q$5:Q1659)+1,"")</f>
        <v/>
      </c>
      <c r="R1660" t="str">
        <f t="shared" si="51"/>
        <v/>
      </c>
    </row>
    <row r="1661" spans="1:18" ht="22.95" customHeight="1">
      <c r="A1661" t="s">
        <v>4477</v>
      </c>
      <c r="B1661" t="s">
        <v>24</v>
      </c>
      <c r="C1661" t="s">
        <v>436</v>
      </c>
      <c r="D1661" t="s">
        <v>437</v>
      </c>
      <c r="E1661" t="s">
        <v>4562</v>
      </c>
      <c r="F1661">
        <v>1</v>
      </c>
      <c r="G1661" t="s">
        <v>92</v>
      </c>
      <c r="I1661" t="s">
        <v>4563</v>
      </c>
      <c r="K1661" t="s">
        <v>1714</v>
      </c>
      <c r="L1661" t="s">
        <v>4564</v>
      </c>
      <c r="M1661" t="s">
        <v>102</v>
      </c>
      <c r="P1661">
        <f t="shared" si="50"/>
        <v>1</v>
      </c>
      <c r="Q1661" t="str">
        <f>IF(AND(P1661&gt;1,COUNTIF($E$6:E1661,E1661)=1),MAX($Q$5:Q1660)+1,"")</f>
        <v/>
      </c>
      <c r="R1661" t="str">
        <f t="shared" si="51"/>
        <v/>
      </c>
    </row>
    <row r="1662" spans="1:18" ht="22.95" customHeight="1">
      <c r="A1662" t="s">
        <v>4477</v>
      </c>
      <c r="B1662" t="s">
        <v>24</v>
      </c>
      <c r="C1662" t="s">
        <v>436</v>
      </c>
      <c r="D1662" t="s">
        <v>437</v>
      </c>
      <c r="E1662" t="s">
        <v>4565</v>
      </c>
      <c r="F1662">
        <v>1</v>
      </c>
      <c r="G1662" t="s">
        <v>92</v>
      </c>
      <c r="I1662" t="s">
        <v>4566</v>
      </c>
      <c r="J1662" t="s">
        <v>672</v>
      </c>
      <c r="L1662" t="s">
        <v>4567</v>
      </c>
      <c r="M1662" t="s">
        <v>102</v>
      </c>
      <c r="P1662">
        <f t="shared" si="50"/>
        <v>1</v>
      </c>
      <c r="Q1662" t="str">
        <f>IF(AND(P1662&gt;1,COUNTIF($E$6:E1662,E1662)=1),MAX($Q$5:Q1661)+1,"")</f>
        <v/>
      </c>
      <c r="R1662" t="str">
        <f t="shared" si="51"/>
        <v/>
      </c>
    </row>
    <row r="1663" spans="1:18" ht="22.95" customHeight="1">
      <c r="A1663" t="s">
        <v>4477</v>
      </c>
      <c r="B1663" t="s">
        <v>24</v>
      </c>
      <c r="C1663" t="s">
        <v>136</v>
      </c>
      <c r="D1663" t="s">
        <v>137</v>
      </c>
      <c r="E1663" t="s">
        <v>4568</v>
      </c>
      <c r="F1663">
        <v>1</v>
      </c>
      <c r="G1663" t="s">
        <v>139</v>
      </c>
      <c r="I1663" t="s">
        <v>4569</v>
      </c>
      <c r="K1663" t="s">
        <v>109</v>
      </c>
      <c r="L1663" t="s">
        <v>4570</v>
      </c>
      <c r="M1663" t="s">
        <v>62</v>
      </c>
      <c r="N1663" t="s">
        <v>63</v>
      </c>
      <c r="P1663">
        <f t="shared" si="50"/>
        <v>1</v>
      </c>
      <c r="Q1663" t="str">
        <f>IF(AND(P1663&gt;1,COUNTIF($E$6:E1663,E1663)=1),MAX($Q$5:Q1662)+1,"")</f>
        <v/>
      </c>
      <c r="R1663" t="str">
        <f t="shared" si="51"/>
        <v/>
      </c>
    </row>
    <row r="1664" spans="1:18" ht="22.95" customHeight="1">
      <c r="A1664" t="s">
        <v>4477</v>
      </c>
      <c r="B1664" t="s">
        <v>24</v>
      </c>
      <c r="C1664" t="s">
        <v>443</v>
      </c>
      <c r="D1664" t="s">
        <v>444</v>
      </c>
      <c r="E1664" t="s">
        <v>4571</v>
      </c>
      <c r="F1664">
        <v>1</v>
      </c>
      <c r="G1664" t="s">
        <v>92</v>
      </c>
      <c r="I1664" t="s">
        <v>140</v>
      </c>
      <c r="J1664" t="s">
        <v>99</v>
      </c>
      <c r="K1664" t="s">
        <v>141</v>
      </c>
      <c r="L1664" t="s">
        <v>4572</v>
      </c>
      <c r="M1664" t="s">
        <v>102</v>
      </c>
      <c r="P1664">
        <f t="shared" si="50"/>
        <v>1</v>
      </c>
      <c r="Q1664" t="str">
        <f>IF(AND(P1664&gt;1,COUNTIF($E$6:E1664,E1664)=1),MAX($Q$5:Q1663)+1,"")</f>
        <v/>
      </c>
      <c r="R1664" t="str">
        <f t="shared" si="51"/>
        <v/>
      </c>
    </row>
    <row r="1665" spans="1:18" ht="22.95" customHeight="1">
      <c r="A1665" t="s">
        <v>4477</v>
      </c>
      <c r="B1665" t="s">
        <v>28</v>
      </c>
      <c r="C1665" t="s">
        <v>146</v>
      </c>
      <c r="D1665" t="s">
        <v>147</v>
      </c>
      <c r="E1665" t="s">
        <v>4573</v>
      </c>
      <c r="F1665">
        <v>1</v>
      </c>
      <c r="G1665" t="s">
        <v>92</v>
      </c>
      <c r="I1665" t="s">
        <v>806</v>
      </c>
      <c r="K1665" t="s">
        <v>109</v>
      </c>
      <c r="L1665" t="s">
        <v>4574</v>
      </c>
      <c r="M1665" t="s">
        <v>73</v>
      </c>
      <c r="P1665">
        <f t="shared" si="50"/>
        <v>1</v>
      </c>
      <c r="Q1665" t="str">
        <f>IF(AND(P1665&gt;1,COUNTIF($E$6:E1665,E1665)=1),MAX($Q$5:Q1664)+1,"")</f>
        <v/>
      </c>
      <c r="R1665" t="str">
        <f t="shared" si="51"/>
        <v/>
      </c>
    </row>
    <row r="1666" spans="1:18" ht="22.95" customHeight="1">
      <c r="A1666" t="s">
        <v>4477</v>
      </c>
      <c r="B1666" t="s">
        <v>28</v>
      </c>
      <c r="C1666" t="s">
        <v>146</v>
      </c>
      <c r="D1666" t="s">
        <v>147</v>
      </c>
      <c r="E1666" t="s">
        <v>4575</v>
      </c>
      <c r="F1666">
        <v>1</v>
      </c>
      <c r="G1666" t="s">
        <v>92</v>
      </c>
      <c r="I1666" t="s">
        <v>806</v>
      </c>
      <c r="K1666" t="s">
        <v>109</v>
      </c>
      <c r="L1666" t="s">
        <v>4574</v>
      </c>
      <c r="M1666" t="s">
        <v>73</v>
      </c>
      <c r="P1666">
        <f t="shared" si="50"/>
        <v>1</v>
      </c>
      <c r="Q1666" t="str">
        <f>IF(AND(P1666&gt;1,COUNTIF($E$6:E1666,E1666)=1),MAX($Q$5:Q1665)+1,"")</f>
        <v/>
      </c>
      <c r="R1666" t="str">
        <f t="shared" si="51"/>
        <v/>
      </c>
    </row>
    <row r="1667" spans="1:18" ht="22.95" customHeight="1">
      <c r="A1667" t="s">
        <v>4477</v>
      </c>
      <c r="B1667" t="s">
        <v>28</v>
      </c>
      <c r="C1667" t="s">
        <v>167</v>
      </c>
      <c r="D1667" t="s">
        <v>168</v>
      </c>
      <c r="E1667" t="s">
        <v>4576</v>
      </c>
      <c r="F1667">
        <v>1</v>
      </c>
      <c r="G1667" t="s">
        <v>92</v>
      </c>
      <c r="I1667" t="s">
        <v>4577</v>
      </c>
      <c r="K1667" t="s">
        <v>4578</v>
      </c>
      <c r="L1667" t="s">
        <v>4579</v>
      </c>
      <c r="M1667" t="s">
        <v>73</v>
      </c>
      <c r="P1667">
        <f t="shared" si="50"/>
        <v>1</v>
      </c>
      <c r="Q1667" t="str">
        <f>IF(AND(P1667&gt;1,COUNTIF($E$6:E1667,E1667)=1),MAX($Q$5:Q1666)+1,"")</f>
        <v/>
      </c>
      <c r="R1667" t="str">
        <f t="shared" si="51"/>
        <v/>
      </c>
    </row>
    <row r="1668" spans="1:18" ht="22.95" customHeight="1">
      <c r="A1668" t="s">
        <v>4477</v>
      </c>
      <c r="B1668" t="s">
        <v>28</v>
      </c>
      <c r="C1668" t="s">
        <v>167</v>
      </c>
      <c r="D1668" t="s">
        <v>168</v>
      </c>
      <c r="E1668" t="s">
        <v>4580</v>
      </c>
      <c r="F1668">
        <v>1</v>
      </c>
      <c r="G1668" t="s">
        <v>92</v>
      </c>
      <c r="I1668" t="s">
        <v>4581</v>
      </c>
      <c r="K1668" t="s">
        <v>109</v>
      </c>
      <c r="L1668" t="s">
        <v>4582</v>
      </c>
      <c r="M1668" t="s">
        <v>102</v>
      </c>
      <c r="P1668">
        <f t="shared" si="50"/>
        <v>1</v>
      </c>
      <c r="Q1668" t="str">
        <f>IF(AND(P1668&gt;1,COUNTIF($E$6:E1668,E1668)=1),MAX($Q$5:Q1667)+1,"")</f>
        <v/>
      </c>
      <c r="R1668" t="str">
        <f t="shared" si="51"/>
        <v/>
      </c>
    </row>
    <row r="1669" spans="1:18" ht="22.95" customHeight="1">
      <c r="A1669" t="s">
        <v>4477</v>
      </c>
      <c r="B1669" t="s">
        <v>30</v>
      </c>
      <c r="C1669" t="s">
        <v>180</v>
      </c>
      <c r="D1669" t="s">
        <v>181</v>
      </c>
      <c r="E1669" t="s">
        <v>4583</v>
      </c>
      <c r="F1669">
        <v>1</v>
      </c>
      <c r="G1669" t="s">
        <v>139</v>
      </c>
      <c r="I1669" t="s">
        <v>4584</v>
      </c>
      <c r="K1669" t="s">
        <v>406</v>
      </c>
      <c r="L1669" t="s">
        <v>4585</v>
      </c>
      <c r="M1669" t="s">
        <v>62</v>
      </c>
      <c r="N1669" t="s">
        <v>63</v>
      </c>
      <c r="P1669">
        <f t="shared" si="50"/>
        <v>1</v>
      </c>
      <c r="Q1669" t="str">
        <f>IF(AND(P1669&gt;1,COUNTIF($E$6:E1669,E1669)=1),MAX($Q$5:Q1668)+1,"")</f>
        <v/>
      </c>
      <c r="R1669" t="str">
        <f t="shared" si="51"/>
        <v/>
      </c>
    </row>
    <row r="1670" spans="1:18" ht="22.95" customHeight="1">
      <c r="A1670" t="s">
        <v>4477</v>
      </c>
      <c r="B1670" t="s">
        <v>30</v>
      </c>
      <c r="C1670" t="s">
        <v>180</v>
      </c>
      <c r="D1670" t="s">
        <v>181</v>
      </c>
      <c r="E1670" t="s">
        <v>4586</v>
      </c>
      <c r="F1670">
        <v>1</v>
      </c>
      <c r="G1670" t="s">
        <v>4587</v>
      </c>
      <c r="H1670" t="s">
        <v>3599</v>
      </c>
      <c r="I1670" t="s">
        <v>4588</v>
      </c>
      <c r="K1670" t="s">
        <v>4516</v>
      </c>
      <c r="L1670" t="s">
        <v>4589</v>
      </c>
      <c r="M1670" t="s">
        <v>73</v>
      </c>
      <c r="P1670">
        <f t="shared" ref="P1670:P1733" si="52">COUNTIF($E$6:$E$1740,E1670)</f>
        <v>1</v>
      </c>
      <c r="Q1670" t="str">
        <f>IF(AND(P1670&gt;1,COUNTIF($E$6:E1670,E1670)=1),MAX($Q$5:Q1669)+1,"")</f>
        <v/>
      </c>
      <c r="R1670" t="str">
        <f t="shared" ref="R1670:R1733" si="53">IF(Q1670="","",IF(COUNTIFS($E$6:$E$1740,E1670,$A$6:$A$1740,A1670,$C$6:$C$1740,C1670)&lt;P1670,"LÉGITIME",IF(COUNTIFS($E$6:$E$1740,E1670,$A$6:$A$1740,A1670,$C$6:$C$1740,C1670,$M$6:$M$1740,M1670)&lt;P1670,"STATUT DIFFÉRENT","VRAI DOUBLON")))</f>
        <v/>
      </c>
    </row>
    <row r="1671" spans="1:18" ht="22.95" customHeight="1">
      <c r="A1671" t="s">
        <v>4477</v>
      </c>
      <c r="B1671" t="s">
        <v>30</v>
      </c>
      <c r="C1671" t="s">
        <v>180</v>
      </c>
      <c r="D1671" t="s">
        <v>181</v>
      </c>
      <c r="E1671" t="s">
        <v>4590</v>
      </c>
      <c r="F1671">
        <v>1</v>
      </c>
      <c r="G1671" t="s">
        <v>4587</v>
      </c>
      <c r="H1671" t="s">
        <v>3599</v>
      </c>
      <c r="I1671" t="s">
        <v>4591</v>
      </c>
      <c r="K1671" t="s">
        <v>406</v>
      </c>
      <c r="L1671" t="s">
        <v>4592</v>
      </c>
      <c r="M1671" t="s">
        <v>62</v>
      </c>
      <c r="N1671" t="s">
        <v>1752</v>
      </c>
      <c r="P1671">
        <f t="shared" si="52"/>
        <v>1</v>
      </c>
      <c r="Q1671" t="str">
        <f>IF(AND(P1671&gt;1,COUNTIF($E$6:E1671,E1671)=1),MAX($Q$5:Q1670)+1,"")</f>
        <v/>
      </c>
      <c r="R1671" t="str">
        <f t="shared" si="53"/>
        <v/>
      </c>
    </row>
    <row r="1672" spans="1:18" ht="22.95" customHeight="1">
      <c r="A1672" t="s">
        <v>4477</v>
      </c>
      <c r="B1672" t="s">
        <v>30</v>
      </c>
      <c r="C1672" t="s">
        <v>180</v>
      </c>
      <c r="D1672" t="s">
        <v>181</v>
      </c>
      <c r="E1672" t="s">
        <v>4593</v>
      </c>
      <c r="F1672">
        <v>1</v>
      </c>
      <c r="G1672" t="s">
        <v>3391</v>
      </c>
      <c r="H1672" t="s">
        <v>4594</v>
      </c>
      <c r="I1672" t="s">
        <v>4595</v>
      </c>
      <c r="K1672" t="s">
        <v>78</v>
      </c>
      <c r="L1672" t="s">
        <v>4596</v>
      </c>
      <c r="M1672" t="s">
        <v>102</v>
      </c>
      <c r="P1672">
        <f t="shared" si="52"/>
        <v>1</v>
      </c>
      <c r="Q1672" t="str">
        <f>IF(AND(P1672&gt;1,COUNTIF($E$6:E1672,E1672)=1),MAX($Q$5:Q1671)+1,"")</f>
        <v/>
      </c>
      <c r="R1672" t="str">
        <f t="shared" si="53"/>
        <v/>
      </c>
    </row>
    <row r="1673" spans="1:18" ht="22.95" customHeight="1">
      <c r="A1673" t="s">
        <v>4477</v>
      </c>
      <c r="B1673" t="s">
        <v>30</v>
      </c>
      <c r="C1673" t="s">
        <v>188</v>
      </c>
      <c r="D1673" t="s">
        <v>189</v>
      </c>
      <c r="E1673" t="s">
        <v>4597</v>
      </c>
      <c r="F1673">
        <v>1</v>
      </c>
      <c r="G1673" t="s">
        <v>4598</v>
      </c>
      <c r="H1673" t="s">
        <v>4599</v>
      </c>
      <c r="I1673" t="s">
        <v>4600</v>
      </c>
      <c r="J1673" t="s">
        <v>245</v>
      </c>
      <c r="L1673" t="s">
        <v>4601</v>
      </c>
      <c r="M1673" t="s">
        <v>73</v>
      </c>
      <c r="P1673">
        <f t="shared" si="52"/>
        <v>1</v>
      </c>
      <c r="Q1673" t="str">
        <f>IF(AND(P1673&gt;1,COUNTIF($E$6:E1673,E1673)=1),MAX($Q$5:Q1672)+1,"")</f>
        <v/>
      </c>
      <c r="R1673" t="str">
        <f t="shared" si="53"/>
        <v/>
      </c>
    </row>
    <row r="1674" spans="1:18" ht="22.95" customHeight="1">
      <c r="A1674" t="s">
        <v>4477</v>
      </c>
      <c r="B1674" t="s">
        <v>30</v>
      </c>
      <c r="C1674" t="s">
        <v>188</v>
      </c>
      <c r="D1674" t="s">
        <v>189</v>
      </c>
      <c r="E1674" t="s">
        <v>4602</v>
      </c>
      <c r="F1674">
        <v>1</v>
      </c>
      <c r="G1674" t="s">
        <v>139</v>
      </c>
      <c r="I1674" t="s">
        <v>140</v>
      </c>
      <c r="K1674" t="s">
        <v>141</v>
      </c>
      <c r="L1674" t="s">
        <v>4603</v>
      </c>
      <c r="M1674" t="s">
        <v>73</v>
      </c>
      <c r="P1674">
        <f t="shared" si="52"/>
        <v>1</v>
      </c>
      <c r="Q1674" t="str">
        <f>IF(AND(P1674&gt;1,COUNTIF($E$6:E1674,E1674)=1),MAX($Q$5:Q1673)+1,"")</f>
        <v/>
      </c>
      <c r="R1674" t="str">
        <f t="shared" si="53"/>
        <v/>
      </c>
    </row>
    <row r="1675" spans="1:18" ht="22.95" customHeight="1">
      <c r="A1675" t="s">
        <v>4477</v>
      </c>
      <c r="B1675" t="s">
        <v>26</v>
      </c>
      <c r="C1675" t="s">
        <v>196</v>
      </c>
      <c r="D1675" t="s">
        <v>197</v>
      </c>
      <c r="E1675" t="s">
        <v>4604</v>
      </c>
      <c r="F1675">
        <v>1</v>
      </c>
      <c r="G1675" t="s">
        <v>2470</v>
      </c>
      <c r="H1675" t="s">
        <v>4605</v>
      </c>
      <c r="I1675" t="s">
        <v>406</v>
      </c>
      <c r="L1675" t="s">
        <v>4606</v>
      </c>
      <c r="M1675" t="s">
        <v>102</v>
      </c>
      <c r="P1675">
        <f t="shared" si="52"/>
        <v>1</v>
      </c>
      <c r="Q1675" t="str">
        <f>IF(AND(P1675&gt;1,COUNTIF($E$6:E1675,E1675)=1),MAX($Q$5:Q1674)+1,"")</f>
        <v/>
      </c>
      <c r="R1675" t="str">
        <f t="shared" si="53"/>
        <v/>
      </c>
    </row>
    <row r="1676" spans="1:18" ht="22.95" customHeight="1">
      <c r="A1676" t="s">
        <v>4477</v>
      </c>
      <c r="B1676" t="s">
        <v>33</v>
      </c>
      <c r="C1676" t="s">
        <v>2103</v>
      </c>
      <c r="D1676" t="s">
        <v>2104</v>
      </c>
      <c r="E1676" t="s">
        <v>4607</v>
      </c>
      <c r="F1676">
        <v>1</v>
      </c>
      <c r="G1676" t="s">
        <v>92</v>
      </c>
      <c r="I1676" t="s">
        <v>4608</v>
      </c>
      <c r="K1676" t="s">
        <v>4609</v>
      </c>
      <c r="L1676" t="s">
        <v>4610</v>
      </c>
      <c r="M1676" t="s">
        <v>73</v>
      </c>
      <c r="P1676">
        <f t="shared" si="52"/>
        <v>1</v>
      </c>
      <c r="Q1676" t="str">
        <f>IF(AND(P1676&gt;1,COUNTIF($E$6:E1676,E1676)=1),MAX($Q$5:Q1675)+1,"")</f>
        <v/>
      </c>
      <c r="R1676" t="str">
        <f t="shared" si="53"/>
        <v/>
      </c>
    </row>
    <row r="1677" spans="1:18" ht="22.95" customHeight="1">
      <c r="A1677" t="s">
        <v>4477</v>
      </c>
      <c r="B1677" t="s">
        <v>33</v>
      </c>
      <c r="C1677" t="s">
        <v>2103</v>
      </c>
      <c r="D1677" t="s">
        <v>2104</v>
      </c>
      <c r="E1677" t="s">
        <v>4611</v>
      </c>
      <c r="F1677">
        <v>1</v>
      </c>
      <c r="G1677" t="s">
        <v>92</v>
      </c>
      <c r="I1677" t="s">
        <v>4612</v>
      </c>
      <c r="K1677" t="s">
        <v>4609</v>
      </c>
      <c r="L1677" t="s">
        <v>4610</v>
      </c>
      <c r="M1677" t="s">
        <v>73</v>
      </c>
      <c r="P1677">
        <f t="shared" si="52"/>
        <v>1</v>
      </c>
      <c r="Q1677" t="str">
        <f>IF(AND(P1677&gt;1,COUNTIF($E$6:E1677,E1677)=1),MAX($Q$5:Q1676)+1,"")</f>
        <v/>
      </c>
      <c r="R1677" t="str">
        <f t="shared" si="53"/>
        <v/>
      </c>
    </row>
    <row r="1678" spans="1:18" ht="22.95" customHeight="1">
      <c r="A1678" t="s">
        <v>4477</v>
      </c>
      <c r="B1678" t="s">
        <v>33</v>
      </c>
      <c r="C1678" t="s">
        <v>2103</v>
      </c>
      <c r="D1678" t="s">
        <v>2104</v>
      </c>
      <c r="E1678" t="s">
        <v>4613</v>
      </c>
      <c r="F1678">
        <v>1</v>
      </c>
      <c r="G1678" t="s">
        <v>92</v>
      </c>
      <c r="I1678" t="s">
        <v>4614</v>
      </c>
      <c r="K1678" t="s">
        <v>4609</v>
      </c>
      <c r="L1678" t="s">
        <v>4610</v>
      </c>
      <c r="M1678" t="s">
        <v>73</v>
      </c>
      <c r="P1678">
        <f t="shared" si="52"/>
        <v>1</v>
      </c>
      <c r="Q1678" t="str">
        <f>IF(AND(P1678&gt;1,COUNTIF($E$6:E1678,E1678)=1),MAX($Q$5:Q1677)+1,"")</f>
        <v/>
      </c>
      <c r="R1678" t="str">
        <f t="shared" si="53"/>
        <v/>
      </c>
    </row>
    <row r="1679" spans="1:18" ht="22.95" customHeight="1">
      <c r="A1679" t="s">
        <v>4477</v>
      </c>
      <c r="B1679" t="s">
        <v>31</v>
      </c>
      <c r="C1679" t="s">
        <v>491</v>
      </c>
      <c r="D1679" t="s">
        <v>492</v>
      </c>
      <c r="E1679" t="s">
        <v>4615</v>
      </c>
      <c r="F1679">
        <v>1</v>
      </c>
      <c r="G1679" t="s">
        <v>4616</v>
      </c>
      <c r="H1679" t="s">
        <v>3225</v>
      </c>
      <c r="K1679" t="s">
        <v>803</v>
      </c>
      <c r="L1679" t="s">
        <v>4617</v>
      </c>
      <c r="M1679" t="s">
        <v>73</v>
      </c>
      <c r="P1679">
        <f t="shared" si="52"/>
        <v>1</v>
      </c>
      <c r="Q1679" t="str">
        <f>IF(AND(P1679&gt;1,COUNTIF($E$6:E1679,E1679)=1),MAX($Q$5:Q1678)+1,"")</f>
        <v/>
      </c>
      <c r="R1679" t="str">
        <f t="shared" si="53"/>
        <v/>
      </c>
    </row>
    <row r="1680" spans="1:18" ht="22.95" customHeight="1">
      <c r="A1680" t="s">
        <v>4477</v>
      </c>
      <c r="B1680" t="s">
        <v>31</v>
      </c>
      <c r="C1680" t="s">
        <v>491</v>
      </c>
      <c r="D1680" t="s">
        <v>492</v>
      </c>
      <c r="E1680" t="s">
        <v>4618</v>
      </c>
      <c r="F1680">
        <v>1</v>
      </c>
      <c r="G1680" t="s">
        <v>4616</v>
      </c>
      <c r="H1680" t="s">
        <v>4619</v>
      </c>
      <c r="K1680" t="s">
        <v>803</v>
      </c>
      <c r="L1680" t="s">
        <v>4617</v>
      </c>
      <c r="M1680" t="s">
        <v>73</v>
      </c>
      <c r="P1680">
        <f t="shared" si="52"/>
        <v>1</v>
      </c>
      <c r="Q1680" t="str">
        <f>IF(AND(P1680&gt;1,COUNTIF($E$6:E1680,E1680)=1),MAX($Q$5:Q1679)+1,"")</f>
        <v/>
      </c>
      <c r="R1680" t="str">
        <f t="shared" si="53"/>
        <v/>
      </c>
    </row>
    <row r="1681" spans="1:18" ht="22.95" customHeight="1">
      <c r="A1681" t="s">
        <v>4477</v>
      </c>
      <c r="B1681" t="s">
        <v>31</v>
      </c>
      <c r="C1681" t="s">
        <v>491</v>
      </c>
      <c r="D1681" t="s">
        <v>492</v>
      </c>
      <c r="E1681" t="s">
        <v>4620</v>
      </c>
      <c r="F1681">
        <v>1</v>
      </c>
      <c r="G1681" t="s">
        <v>4616</v>
      </c>
      <c r="H1681" t="s">
        <v>4619</v>
      </c>
      <c r="K1681" t="s">
        <v>803</v>
      </c>
      <c r="L1681" t="s">
        <v>4617</v>
      </c>
      <c r="M1681" t="s">
        <v>73</v>
      </c>
      <c r="P1681">
        <f t="shared" si="52"/>
        <v>1</v>
      </c>
      <c r="Q1681" t="str">
        <f>IF(AND(P1681&gt;1,COUNTIF($E$6:E1681,E1681)=1),MAX($Q$5:Q1680)+1,"")</f>
        <v/>
      </c>
      <c r="R1681" t="str">
        <f t="shared" si="53"/>
        <v/>
      </c>
    </row>
    <row r="1682" spans="1:18" ht="22.95" customHeight="1">
      <c r="A1682" t="s">
        <v>4477</v>
      </c>
      <c r="B1682" t="s">
        <v>31</v>
      </c>
      <c r="C1682" t="s">
        <v>491</v>
      </c>
      <c r="D1682" t="s">
        <v>492</v>
      </c>
      <c r="E1682" t="s">
        <v>4621</v>
      </c>
      <c r="F1682">
        <v>1</v>
      </c>
      <c r="G1682" t="s">
        <v>4616</v>
      </c>
      <c r="H1682" t="s">
        <v>4619</v>
      </c>
      <c r="K1682" t="s">
        <v>803</v>
      </c>
      <c r="L1682" t="s">
        <v>4617</v>
      </c>
      <c r="M1682" t="s">
        <v>73</v>
      </c>
      <c r="P1682">
        <f t="shared" si="52"/>
        <v>1</v>
      </c>
      <c r="Q1682" t="str">
        <f>IF(AND(P1682&gt;1,COUNTIF($E$6:E1682,E1682)=1),MAX($Q$5:Q1681)+1,"")</f>
        <v/>
      </c>
      <c r="R1682" t="str">
        <f t="shared" si="53"/>
        <v/>
      </c>
    </row>
    <row r="1683" spans="1:18" ht="22.95" customHeight="1">
      <c r="A1683" t="s">
        <v>4477</v>
      </c>
      <c r="B1683" t="s">
        <v>31</v>
      </c>
      <c r="C1683" t="s">
        <v>491</v>
      </c>
      <c r="D1683" t="s">
        <v>492</v>
      </c>
      <c r="E1683" t="s">
        <v>4622</v>
      </c>
      <c r="F1683">
        <v>1</v>
      </c>
      <c r="G1683" t="s">
        <v>2192</v>
      </c>
      <c r="H1683" t="s">
        <v>1507</v>
      </c>
      <c r="K1683" t="s">
        <v>803</v>
      </c>
      <c r="L1683" t="s">
        <v>4617</v>
      </c>
      <c r="M1683" t="s">
        <v>73</v>
      </c>
      <c r="P1683">
        <f t="shared" si="52"/>
        <v>1</v>
      </c>
      <c r="Q1683" t="str">
        <f>IF(AND(P1683&gt;1,COUNTIF($E$6:E1683,E1683)=1),MAX($Q$5:Q1682)+1,"")</f>
        <v/>
      </c>
      <c r="R1683" t="str">
        <f t="shared" si="53"/>
        <v/>
      </c>
    </row>
    <row r="1684" spans="1:18" ht="22.95" customHeight="1">
      <c r="A1684" t="s">
        <v>4477</v>
      </c>
      <c r="B1684" t="s">
        <v>32</v>
      </c>
      <c r="C1684" t="s">
        <v>200</v>
      </c>
      <c r="D1684" t="s">
        <v>201</v>
      </c>
      <c r="E1684" t="s">
        <v>4623</v>
      </c>
      <c r="F1684">
        <v>1</v>
      </c>
      <c r="G1684" t="s">
        <v>4624</v>
      </c>
      <c r="H1684" t="s">
        <v>2590</v>
      </c>
      <c r="I1684" t="s">
        <v>4625</v>
      </c>
      <c r="K1684" t="s">
        <v>4626</v>
      </c>
      <c r="L1684" t="s">
        <v>4627</v>
      </c>
      <c r="M1684" t="s">
        <v>62</v>
      </c>
      <c r="N1684" t="s">
        <v>1490</v>
      </c>
      <c r="P1684">
        <f t="shared" si="52"/>
        <v>1</v>
      </c>
      <c r="Q1684" t="str">
        <f>IF(AND(P1684&gt;1,COUNTIF($E$6:E1684,E1684)=1),MAX($Q$5:Q1683)+1,"")</f>
        <v/>
      </c>
      <c r="R1684" t="str">
        <f t="shared" si="53"/>
        <v/>
      </c>
    </row>
    <row r="1685" spans="1:18" ht="22.95" customHeight="1">
      <c r="A1685" t="s">
        <v>4477</v>
      </c>
      <c r="B1685" t="s">
        <v>32</v>
      </c>
      <c r="C1685" t="s">
        <v>200</v>
      </c>
      <c r="D1685" t="s">
        <v>201</v>
      </c>
      <c r="E1685" t="s">
        <v>4628</v>
      </c>
      <c r="F1685">
        <v>1</v>
      </c>
      <c r="G1685" t="s">
        <v>4624</v>
      </c>
      <c r="H1685" t="s">
        <v>2590</v>
      </c>
      <c r="L1685" t="s">
        <v>4629</v>
      </c>
      <c r="M1685" t="s">
        <v>62</v>
      </c>
      <c r="N1685" t="s">
        <v>1752</v>
      </c>
      <c r="P1685">
        <f t="shared" si="52"/>
        <v>1</v>
      </c>
      <c r="Q1685" t="str">
        <f>IF(AND(P1685&gt;1,COUNTIF($E$6:E1685,E1685)=1),MAX($Q$5:Q1684)+1,"")</f>
        <v/>
      </c>
      <c r="R1685" t="str">
        <f t="shared" si="53"/>
        <v/>
      </c>
    </row>
    <row r="1686" spans="1:18" ht="22.95" customHeight="1">
      <c r="A1686" t="s">
        <v>4630</v>
      </c>
      <c r="B1686" t="s">
        <v>20</v>
      </c>
      <c r="C1686" t="s">
        <v>55</v>
      </c>
      <c r="D1686" t="s">
        <v>56</v>
      </c>
      <c r="E1686" t="s">
        <v>4631</v>
      </c>
      <c r="F1686">
        <v>1</v>
      </c>
      <c r="G1686" t="s">
        <v>296</v>
      </c>
      <c r="H1686" t="s">
        <v>1222</v>
      </c>
      <c r="I1686" t="s">
        <v>3672</v>
      </c>
      <c r="K1686" t="s">
        <v>4632</v>
      </c>
      <c r="L1686" t="s">
        <v>4633</v>
      </c>
      <c r="M1686" t="s">
        <v>73</v>
      </c>
      <c r="P1686">
        <f t="shared" si="52"/>
        <v>1</v>
      </c>
      <c r="Q1686" t="str">
        <f>IF(AND(P1686&gt;1,COUNTIF($E$6:E1686,E1686)=1),MAX($Q$5:Q1685)+1,"")</f>
        <v/>
      </c>
      <c r="R1686" t="str">
        <f t="shared" si="53"/>
        <v/>
      </c>
    </row>
    <row r="1687" spans="1:18" ht="22.95" customHeight="1">
      <c r="A1687" t="s">
        <v>4630</v>
      </c>
      <c r="B1687" t="s">
        <v>20</v>
      </c>
      <c r="C1687" t="s">
        <v>55</v>
      </c>
      <c r="D1687" t="s">
        <v>56</v>
      </c>
      <c r="E1687" t="s">
        <v>4634</v>
      </c>
      <c r="F1687">
        <v>1</v>
      </c>
      <c r="G1687" t="s">
        <v>4635</v>
      </c>
      <c r="H1687" t="s">
        <v>1222</v>
      </c>
      <c r="I1687" t="s">
        <v>3672</v>
      </c>
      <c r="K1687" t="s">
        <v>4632</v>
      </c>
      <c r="L1687" t="s">
        <v>4633</v>
      </c>
      <c r="M1687" t="s">
        <v>73</v>
      </c>
      <c r="P1687">
        <f t="shared" si="52"/>
        <v>1</v>
      </c>
      <c r="Q1687" t="str">
        <f>IF(AND(P1687&gt;1,COUNTIF($E$6:E1687,E1687)=1),MAX($Q$5:Q1686)+1,"")</f>
        <v/>
      </c>
      <c r="R1687" t="str">
        <f t="shared" si="53"/>
        <v/>
      </c>
    </row>
    <row r="1688" spans="1:18" ht="22.95" customHeight="1">
      <c r="A1688" t="s">
        <v>4630</v>
      </c>
      <c r="B1688" t="s">
        <v>20</v>
      </c>
      <c r="C1688" t="s">
        <v>55</v>
      </c>
      <c r="D1688" t="s">
        <v>56</v>
      </c>
      <c r="E1688" t="s">
        <v>4636</v>
      </c>
      <c r="F1688">
        <v>1</v>
      </c>
      <c r="G1688" t="s">
        <v>4637</v>
      </c>
      <c r="H1688" t="s">
        <v>1222</v>
      </c>
      <c r="I1688" t="s">
        <v>3672</v>
      </c>
      <c r="K1688" t="s">
        <v>4632</v>
      </c>
      <c r="L1688" t="s">
        <v>4633</v>
      </c>
      <c r="M1688" t="s">
        <v>73</v>
      </c>
      <c r="P1688">
        <f t="shared" si="52"/>
        <v>1</v>
      </c>
      <c r="Q1688" t="str">
        <f>IF(AND(P1688&gt;1,COUNTIF($E$6:E1688,E1688)=1),MAX($Q$5:Q1687)+1,"")</f>
        <v/>
      </c>
      <c r="R1688" t="str">
        <f t="shared" si="53"/>
        <v/>
      </c>
    </row>
    <row r="1689" spans="1:18" ht="22.95" customHeight="1">
      <c r="A1689" t="s">
        <v>4630</v>
      </c>
      <c r="B1689" t="s">
        <v>20</v>
      </c>
      <c r="C1689" t="s">
        <v>55</v>
      </c>
      <c r="D1689" t="s">
        <v>56</v>
      </c>
      <c r="E1689" t="s">
        <v>4638</v>
      </c>
      <c r="F1689">
        <v>1</v>
      </c>
      <c r="G1689" t="s">
        <v>4639</v>
      </c>
      <c r="H1689" t="s">
        <v>1222</v>
      </c>
      <c r="I1689" t="s">
        <v>3672</v>
      </c>
      <c r="K1689" t="s">
        <v>4632</v>
      </c>
      <c r="L1689" t="s">
        <v>4633</v>
      </c>
      <c r="M1689" t="s">
        <v>73</v>
      </c>
      <c r="P1689">
        <f t="shared" si="52"/>
        <v>1</v>
      </c>
      <c r="Q1689" t="str">
        <f>IF(AND(P1689&gt;1,COUNTIF($E$6:E1689,E1689)=1),MAX($Q$5:Q1688)+1,"")</f>
        <v/>
      </c>
      <c r="R1689" t="str">
        <f t="shared" si="53"/>
        <v/>
      </c>
    </row>
    <row r="1690" spans="1:18" ht="22.95" customHeight="1">
      <c r="A1690" t="s">
        <v>4630</v>
      </c>
      <c r="B1690" t="s">
        <v>20</v>
      </c>
      <c r="C1690" t="s">
        <v>55</v>
      </c>
      <c r="D1690" t="s">
        <v>56</v>
      </c>
      <c r="E1690" t="s">
        <v>4640</v>
      </c>
      <c r="F1690">
        <v>1</v>
      </c>
      <c r="G1690" t="s">
        <v>4641</v>
      </c>
      <c r="H1690" t="s">
        <v>1222</v>
      </c>
      <c r="I1690" t="s">
        <v>3672</v>
      </c>
      <c r="K1690" t="s">
        <v>4632</v>
      </c>
      <c r="L1690" t="s">
        <v>4633</v>
      </c>
      <c r="M1690" t="s">
        <v>73</v>
      </c>
      <c r="P1690">
        <f t="shared" si="52"/>
        <v>1</v>
      </c>
      <c r="Q1690" t="str">
        <f>IF(AND(P1690&gt;1,COUNTIF($E$6:E1690,E1690)=1),MAX($Q$5:Q1689)+1,"")</f>
        <v/>
      </c>
      <c r="R1690" t="str">
        <f t="shared" si="53"/>
        <v/>
      </c>
    </row>
    <row r="1691" spans="1:18" ht="22.95" customHeight="1">
      <c r="A1691" t="s">
        <v>4630</v>
      </c>
      <c r="B1691" t="s">
        <v>20</v>
      </c>
      <c r="C1691" t="s">
        <v>55</v>
      </c>
      <c r="D1691" t="s">
        <v>56</v>
      </c>
      <c r="E1691" t="s">
        <v>4642</v>
      </c>
      <c r="F1691">
        <v>1</v>
      </c>
      <c r="G1691" t="s">
        <v>4643</v>
      </c>
      <c r="H1691" t="s">
        <v>1222</v>
      </c>
      <c r="I1691" t="s">
        <v>3672</v>
      </c>
      <c r="K1691" t="s">
        <v>4632</v>
      </c>
      <c r="L1691" t="s">
        <v>4633</v>
      </c>
      <c r="M1691" t="s">
        <v>73</v>
      </c>
      <c r="P1691">
        <f t="shared" si="52"/>
        <v>1</v>
      </c>
      <c r="Q1691" t="str">
        <f>IF(AND(P1691&gt;1,COUNTIF($E$6:E1691,E1691)=1),MAX($Q$5:Q1690)+1,"")</f>
        <v/>
      </c>
      <c r="R1691" t="str">
        <f t="shared" si="53"/>
        <v/>
      </c>
    </row>
    <row r="1692" spans="1:18" ht="22.95" customHeight="1">
      <c r="A1692" t="s">
        <v>4630</v>
      </c>
      <c r="B1692" t="s">
        <v>20</v>
      </c>
      <c r="C1692" t="s">
        <v>55</v>
      </c>
      <c r="D1692" t="s">
        <v>56</v>
      </c>
      <c r="E1692" t="s">
        <v>4644</v>
      </c>
      <c r="F1692">
        <v>1</v>
      </c>
      <c r="G1692" t="s">
        <v>4645</v>
      </c>
      <c r="H1692" t="s">
        <v>1222</v>
      </c>
      <c r="I1692" t="s">
        <v>3672</v>
      </c>
      <c r="K1692" t="s">
        <v>4632</v>
      </c>
      <c r="L1692" t="s">
        <v>4633</v>
      </c>
      <c r="M1692" t="s">
        <v>73</v>
      </c>
      <c r="P1692">
        <f t="shared" si="52"/>
        <v>1</v>
      </c>
      <c r="Q1692" t="str">
        <f>IF(AND(P1692&gt;1,COUNTIF($E$6:E1692,E1692)=1),MAX($Q$5:Q1691)+1,"")</f>
        <v/>
      </c>
      <c r="R1692" t="str">
        <f t="shared" si="53"/>
        <v/>
      </c>
    </row>
    <row r="1693" spans="1:18" ht="22.95" customHeight="1">
      <c r="A1693" t="s">
        <v>4630</v>
      </c>
      <c r="B1693" t="s">
        <v>20</v>
      </c>
      <c r="C1693" t="s">
        <v>55</v>
      </c>
      <c r="D1693" t="s">
        <v>56</v>
      </c>
      <c r="E1693" t="s">
        <v>4646</v>
      </c>
      <c r="F1693">
        <v>1</v>
      </c>
      <c r="G1693" t="s">
        <v>4647</v>
      </c>
      <c r="H1693" t="s">
        <v>1222</v>
      </c>
      <c r="I1693" t="s">
        <v>3672</v>
      </c>
      <c r="K1693" t="s">
        <v>4632</v>
      </c>
      <c r="L1693" t="s">
        <v>4633</v>
      </c>
      <c r="M1693" t="s">
        <v>73</v>
      </c>
      <c r="P1693">
        <f t="shared" si="52"/>
        <v>1</v>
      </c>
      <c r="Q1693" t="str">
        <f>IF(AND(P1693&gt;1,COUNTIF($E$6:E1693,E1693)=1),MAX($Q$5:Q1692)+1,"")</f>
        <v/>
      </c>
      <c r="R1693" t="str">
        <f t="shared" si="53"/>
        <v/>
      </c>
    </row>
    <row r="1694" spans="1:18" ht="22.95" customHeight="1">
      <c r="A1694" t="s">
        <v>4630</v>
      </c>
      <c r="B1694" t="s">
        <v>20</v>
      </c>
      <c r="C1694" t="s">
        <v>65</v>
      </c>
      <c r="D1694" t="s">
        <v>66</v>
      </c>
      <c r="E1694" t="s">
        <v>4648</v>
      </c>
      <c r="F1694">
        <v>1</v>
      </c>
      <c r="G1694" t="s">
        <v>4649</v>
      </c>
      <c r="H1694" t="s">
        <v>4650</v>
      </c>
      <c r="I1694" t="s">
        <v>4651</v>
      </c>
      <c r="K1694" t="s">
        <v>1371</v>
      </c>
      <c r="L1694" t="s">
        <v>4652</v>
      </c>
      <c r="M1694" t="s">
        <v>73</v>
      </c>
      <c r="P1694">
        <f t="shared" si="52"/>
        <v>1</v>
      </c>
      <c r="Q1694" t="str">
        <f>IF(AND(P1694&gt;1,COUNTIF($E$6:E1694,E1694)=1),MAX($Q$5:Q1693)+1,"")</f>
        <v/>
      </c>
      <c r="R1694" t="str">
        <f t="shared" si="53"/>
        <v/>
      </c>
    </row>
    <row r="1695" spans="1:18" ht="22.95" customHeight="1">
      <c r="A1695" t="s">
        <v>4630</v>
      </c>
      <c r="B1695" t="s">
        <v>22</v>
      </c>
      <c r="C1695" t="s">
        <v>370</v>
      </c>
      <c r="D1695" t="s">
        <v>371</v>
      </c>
      <c r="E1695" t="s">
        <v>4653</v>
      </c>
      <c r="F1695">
        <v>1</v>
      </c>
      <c r="G1695" t="s">
        <v>92</v>
      </c>
      <c r="I1695" t="s">
        <v>2124</v>
      </c>
      <c r="K1695" t="s">
        <v>2475</v>
      </c>
      <c r="L1695" t="s">
        <v>4654</v>
      </c>
      <c r="M1695" t="s">
        <v>73</v>
      </c>
      <c r="P1695">
        <f t="shared" si="52"/>
        <v>1</v>
      </c>
      <c r="Q1695" t="str">
        <f>IF(AND(P1695&gt;1,COUNTIF($E$6:E1695,E1695)=1),MAX($Q$5:Q1694)+1,"")</f>
        <v/>
      </c>
      <c r="R1695" t="str">
        <f t="shared" si="53"/>
        <v/>
      </c>
    </row>
    <row r="1696" spans="1:18" ht="22.95" customHeight="1">
      <c r="A1696" t="s">
        <v>4630</v>
      </c>
      <c r="B1696" t="s">
        <v>22</v>
      </c>
      <c r="C1696" t="s">
        <v>370</v>
      </c>
      <c r="D1696" t="s">
        <v>371</v>
      </c>
      <c r="E1696" t="s">
        <v>4655</v>
      </c>
      <c r="F1696">
        <v>1</v>
      </c>
      <c r="G1696" t="s">
        <v>92</v>
      </c>
      <c r="I1696" t="s">
        <v>140</v>
      </c>
      <c r="J1696" t="s">
        <v>672</v>
      </c>
      <c r="K1696" t="s">
        <v>4656</v>
      </c>
      <c r="L1696" t="s">
        <v>4657</v>
      </c>
      <c r="M1696" t="s">
        <v>102</v>
      </c>
      <c r="P1696">
        <f t="shared" si="52"/>
        <v>1</v>
      </c>
      <c r="Q1696" t="str">
        <f>IF(AND(P1696&gt;1,COUNTIF($E$6:E1696,E1696)=1),MAX($Q$5:Q1695)+1,"")</f>
        <v/>
      </c>
      <c r="R1696" t="str">
        <f t="shared" si="53"/>
        <v/>
      </c>
    </row>
    <row r="1697" spans="1:18" ht="22.95" customHeight="1">
      <c r="A1697" t="s">
        <v>4630</v>
      </c>
      <c r="B1697" t="s">
        <v>23</v>
      </c>
      <c r="C1697" t="s">
        <v>103</v>
      </c>
      <c r="D1697" t="s">
        <v>104</v>
      </c>
      <c r="E1697" t="s">
        <v>4658</v>
      </c>
      <c r="F1697">
        <v>1</v>
      </c>
      <c r="G1697" t="s">
        <v>1592</v>
      </c>
      <c r="H1697" t="s">
        <v>4659</v>
      </c>
      <c r="I1697" t="s">
        <v>1749</v>
      </c>
      <c r="K1697" t="s">
        <v>4660</v>
      </c>
      <c r="L1697" t="s">
        <v>4661</v>
      </c>
      <c r="M1697" t="s">
        <v>73</v>
      </c>
      <c r="P1697">
        <f t="shared" si="52"/>
        <v>1</v>
      </c>
      <c r="Q1697" t="str">
        <f>IF(AND(P1697&gt;1,COUNTIF($E$6:E1697,E1697)=1),MAX($Q$5:Q1696)+1,"")</f>
        <v/>
      </c>
      <c r="R1697" t="str">
        <f t="shared" si="53"/>
        <v/>
      </c>
    </row>
    <row r="1698" spans="1:18" ht="22.95" customHeight="1">
      <c r="A1698" t="s">
        <v>4630</v>
      </c>
      <c r="B1698" t="s">
        <v>23</v>
      </c>
      <c r="C1698" t="s">
        <v>103</v>
      </c>
      <c r="D1698" t="s">
        <v>104</v>
      </c>
      <c r="E1698" t="s">
        <v>4662</v>
      </c>
      <c r="F1698">
        <v>1</v>
      </c>
      <c r="G1698" t="s">
        <v>2662</v>
      </c>
      <c r="H1698" t="s">
        <v>4663</v>
      </c>
      <c r="I1698" t="s">
        <v>4664</v>
      </c>
      <c r="K1698" t="s">
        <v>2556</v>
      </c>
      <c r="L1698" t="s">
        <v>4665</v>
      </c>
      <c r="M1698" t="s">
        <v>62</v>
      </c>
      <c r="N1698" t="s">
        <v>130</v>
      </c>
      <c r="P1698">
        <f t="shared" si="52"/>
        <v>1</v>
      </c>
      <c r="Q1698" t="str">
        <f>IF(AND(P1698&gt;1,COUNTIF($E$6:E1698,E1698)=1),MAX($Q$5:Q1697)+1,"")</f>
        <v/>
      </c>
      <c r="R1698" t="str">
        <f t="shared" si="53"/>
        <v/>
      </c>
    </row>
    <row r="1699" spans="1:18" ht="22.95" customHeight="1">
      <c r="A1699" t="s">
        <v>4630</v>
      </c>
      <c r="B1699" t="s">
        <v>23</v>
      </c>
      <c r="C1699" t="s">
        <v>103</v>
      </c>
      <c r="D1699" t="s">
        <v>104</v>
      </c>
      <c r="E1699" t="s">
        <v>4666</v>
      </c>
      <c r="F1699">
        <v>1</v>
      </c>
      <c r="G1699" t="s">
        <v>4039</v>
      </c>
      <c r="H1699" t="s">
        <v>4667</v>
      </c>
      <c r="I1699" t="s">
        <v>4664</v>
      </c>
      <c r="J1699" t="s">
        <v>99</v>
      </c>
      <c r="K1699" t="s">
        <v>2556</v>
      </c>
      <c r="L1699" t="s">
        <v>4668</v>
      </c>
      <c r="M1699" t="s">
        <v>102</v>
      </c>
      <c r="P1699">
        <f t="shared" si="52"/>
        <v>1</v>
      </c>
      <c r="Q1699" t="str">
        <f>IF(AND(P1699&gt;1,COUNTIF($E$6:E1699,E1699)=1),MAX($Q$5:Q1698)+1,"")</f>
        <v/>
      </c>
      <c r="R1699" t="str">
        <f t="shared" si="53"/>
        <v/>
      </c>
    </row>
    <row r="1700" spans="1:18" ht="22.95" customHeight="1">
      <c r="A1700" t="s">
        <v>4630</v>
      </c>
      <c r="B1700" t="s">
        <v>23</v>
      </c>
      <c r="C1700" t="s">
        <v>103</v>
      </c>
      <c r="D1700" t="s">
        <v>104</v>
      </c>
      <c r="E1700" t="s">
        <v>4669</v>
      </c>
      <c r="F1700">
        <v>1</v>
      </c>
      <c r="I1700" t="s">
        <v>4670</v>
      </c>
      <c r="K1700" t="s">
        <v>4671</v>
      </c>
      <c r="L1700" t="s">
        <v>4672</v>
      </c>
      <c r="M1700" t="s">
        <v>62</v>
      </c>
      <c r="N1700" t="s">
        <v>951</v>
      </c>
      <c r="P1700">
        <f t="shared" si="52"/>
        <v>1</v>
      </c>
      <c r="Q1700" t="str">
        <f>IF(AND(P1700&gt;1,COUNTIF($E$6:E1700,E1700)=1),MAX($Q$5:Q1699)+1,"")</f>
        <v/>
      </c>
      <c r="R1700" t="str">
        <f t="shared" si="53"/>
        <v/>
      </c>
    </row>
    <row r="1701" spans="1:18" ht="22.95" customHeight="1">
      <c r="A1701" t="s">
        <v>4630</v>
      </c>
      <c r="B1701" t="s">
        <v>23</v>
      </c>
      <c r="C1701" t="s">
        <v>103</v>
      </c>
      <c r="D1701" t="s">
        <v>104</v>
      </c>
      <c r="E1701" t="s">
        <v>4673</v>
      </c>
      <c r="F1701">
        <v>1</v>
      </c>
      <c r="I1701" t="s">
        <v>4674</v>
      </c>
      <c r="K1701" t="s">
        <v>4671</v>
      </c>
      <c r="L1701" t="s">
        <v>4672</v>
      </c>
      <c r="M1701" t="s">
        <v>62</v>
      </c>
      <c r="N1701" t="s">
        <v>951</v>
      </c>
      <c r="P1701">
        <f t="shared" si="52"/>
        <v>1</v>
      </c>
      <c r="Q1701" t="str">
        <f>IF(AND(P1701&gt;1,COUNTIF($E$6:E1701,E1701)=1),MAX($Q$5:Q1700)+1,"")</f>
        <v/>
      </c>
      <c r="R1701" t="str">
        <f t="shared" si="53"/>
        <v/>
      </c>
    </row>
    <row r="1702" spans="1:18" ht="22.95" customHeight="1">
      <c r="A1702" t="s">
        <v>4630</v>
      </c>
      <c r="B1702" t="s">
        <v>23</v>
      </c>
      <c r="C1702" t="s">
        <v>103</v>
      </c>
      <c r="D1702" t="s">
        <v>104</v>
      </c>
      <c r="E1702" t="s">
        <v>4675</v>
      </c>
      <c r="F1702">
        <v>1</v>
      </c>
      <c r="I1702" t="s">
        <v>4676</v>
      </c>
      <c r="K1702" t="s">
        <v>4671</v>
      </c>
      <c r="L1702" t="s">
        <v>4672</v>
      </c>
      <c r="M1702" t="s">
        <v>62</v>
      </c>
      <c r="N1702" t="s">
        <v>951</v>
      </c>
      <c r="P1702">
        <f t="shared" si="52"/>
        <v>1</v>
      </c>
      <c r="Q1702" t="str">
        <f>IF(AND(P1702&gt;1,COUNTIF($E$6:E1702,E1702)=1),MAX($Q$5:Q1701)+1,"")</f>
        <v/>
      </c>
      <c r="R1702" t="str">
        <f t="shared" si="53"/>
        <v/>
      </c>
    </row>
    <row r="1703" spans="1:18" ht="22.95" customHeight="1">
      <c r="A1703" t="s">
        <v>4630</v>
      </c>
      <c r="B1703" t="s">
        <v>23</v>
      </c>
      <c r="C1703" t="s">
        <v>103</v>
      </c>
      <c r="D1703" t="s">
        <v>104</v>
      </c>
      <c r="E1703" t="s">
        <v>4677</v>
      </c>
      <c r="F1703">
        <v>1</v>
      </c>
      <c r="G1703" t="s">
        <v>139</v>
      </c>
      <c r="I1703" t="s">
        <v>4678</v>
      </c>
      <c r="K1703" t="s">
        <v>4679</v>
      </c>
      <c r="L1703" t="s">
        <v>4680</v>
      </c>
      <c r="M1703" t="s">
        <v>73</v>
      </c>
      <c r="P1703">
        <f t="shared" si="52"/>
        <v>1</v>
      </c>
      <c r="Q1703" t="str">
        <f>IF(AND(P1703&gt;1,COUNTIF($E$6:E1703,E1703)=1),MAX($Q$5:Q1702)+1,"")</f>
        <v/>
      </c>
      <c r="R1703" t="str">
        <f t="shared" si="53"/>
        <v/>
      </c>
    </row>
    <row r="1704" spans="1:18" ht="22.95" customHeight="1">
      <c r="A1704" t="s">
        <v>4630</v>
      </c>
      <c r="B1704" t="s">
        <v>24</v>
      </c>
      <c r="C1704" t="s">
        <v>426</v>
      </c>
      <c r="D1704" t="s">
        <v>427</v>
      </c>
      <c r="E1704" t="s">
        <v>4681</v>
      </c>
      <c r="F1704">
        <v>1</v>
      </c>
      <c r="G1704" t="s">
        <v>3395</v>
      </c>
      <c r="H1704" t="s">
        <v>4682</v>
      </c>
      <c r="I1704" t="s">
        <v>4683</v>
      </c>
      <c r="K1704" t="s">
        <v>4684</v>
      </c>
      <c r="L1704" t="s">
        <v>4685</v>
      </c>
      <c r="M1704" t="s">
        <v>73</v>
      </c>
      <c r="P1704">
        <f t="shared" si="52"/>
        <v>1</v>
      </c>
      <c r="Q1704" t="str">
        <f>IF(AND(P1704&gt;1,COUNTIF($E$6:E1704,E1704)=1),MAX($Q$5:Q1703)+1,"")</f>
        <v/>
      </c>
      <c r="R1704" t="str">
        <f t="shared" si="53"/>
        <v/>
      </c>
    </row>
    <row r="1705" spans="1:18" ht="22.95" customHeight="1">
      <c r="A1705" t="s">
        <v>4630</v>
      </c>
      <c r="B1705" t="s">
        <v>24</v>
      </c>
      <c r="C1705" t="s">
        <v>426</v>
      </c>
      <c r="D1705" t="s">
        <v>427</v>
      </c>
      <c r="E1705" t="s">
        <v>4686</v>
      </c>
      <c r="F1705">
        <v>1</v>
      </c>
      <c r="G1705" t="s">
        <v>3395</v>
      </c>
      <c r="H1705" t="s">
        <v>4682</v>
      </c>
      <c r="I1705" t="s">
        <v>4683</v>
      </c>
      <c r="K1705" t="s">
        <v>4684</v>
      </c>
      <c r="L1705" t="s">
        <v>4685</v>
      </c>
      <c r="M1705" t="s">
        <v>73</v>
      </c>
      <c r="P1705">
        <f t="shared" si="52"/>
        <v>1</v>
      </c>
      <c r="Q1705" t="str">
        <f>IF(AND(P1705&gt;1,COUNTIF($E$6:E1705,E1705)=1),MAX($Q$5:Q1704)+1,"")</f>
        <v/>
      </c>
      <c r="R1705" t="str">
        <f t="shared" si="53"/>
        <v/>
      </c>
    </row>
    <row r="1706" spans="1:18" ht="22.95" customHeight="1">
      <c r="A1706" t="s">
        <v>4630</v>
      </c>
      <c r="B1706" t="s">
        <v>24</v>
      </c>
      <c r="C1706" t="s">
        <v>431</v>
      </c>
      <c r="D1706" t="s">
        <v>216</v>
      </c>
      <c r="E1706" t="s">
        <v>4687</v>
      </c>
      <c r="F1706">
        <v>1</v>
      </c>
      <c r="G1706" t="s">
        <v>92</v>
      </c>
      <c r="I1706" t="s">
        <v>1394</v>
      </c>
      <c r="K1706" t="s">
        <v>4688</v>
      </c>
      <c r="L1706" t="s">
        <v>4689</v>
      </c>
      <c r="M1706" t="s">
        <v>62</v>
      </c>
      <c r="N1706" t="s">
        <v>957</v>
      </c>
      <c r="P1706">
        <f t="shared" si="52"/>
        <v>1</v>
      </c>
      <c r="Q1706" t="str">
        <f>IF(AND(P1706&gt;1,COUNTIF($E$6:E1706,E1706)=1),MAX($Q$5:Q1705)+1,"")</f>
        <v/>
      </c>
      <c r="R1706" t="str">
        <f t="shared" si="53"/>
        <v/>
      </c>
    </row>
    <row r="1707" spans="1:18" ht="22.95" customHeight="1">
      <c r="A1707" t="s">
        <v>4630</v>
      </c>
      <c r="B1707" t="s">
        <v>24</v>
      </c>
      <c r="C1707" t="s">
        <v>431</v>
      </c>
      <c r="D1707" t="s">
        <v>216</v>
      </c>
      <c r="E1707" t="s">
        <v>4690</v>
      </c>
      <c r="F1707">
        <v>1</v>
      </c>
      <c r="G1707" t="s">
        <v>92</v>
      </c>
      <c r="I1707" t="s">
        <v>4691</v>
      </c>
      <c r="L1707" t="s">
        <v>4692</v>
      </c>
      <c r="M1707" t="s">
        <v>102</v>
      </c>
      <c r="P1707">
        <f t="shared" si="52"/>
        <v>1</v>
      </c>
      <c r="Q1707" t="str">
        <f>IF(AND(P1707&gt;1,COUNTIF($E$6:E1707,E1707)=1),MAX($Q$5:Q1706)+1,"")</f>
        <v/>
      </c>
      <c r="R1707" t="str">
        <f t="shared" si="53"/>
        <v/>
      </c>
    </row>
    <row r="1708" spans="1:18" ht="22.95" customHeight="1">
      <c r="A1708" t="s">
        <v>4630</v>
      </c>
      <c r="B1708" t="s">
        <v>24</v>
      </c>
      <c r="C1708" t="s">
        <v>136</v>
      </c>
      <c r="D1708" t="s">
        <v>674</v>
      </c>
      <c r="E1708" t="s">
        <v>4693</v>
      </c>
      <c r="F1708">
        <v>1</v>
      </c>
      <c r="G1708" t="s">
        <v>92</v>
      </c>
      <c r="I1708" t="s">
        <v>140</v>
      </c>
      <c r="J1708" t="s">
        <v>672</v>
      </c>
      <c r="K1708" t="s">
        <v>141</v>
      </c>
      <c r="L1708" t="s">
        <v>4694</v>
      </c>
      <c r="M1708" t="s">
        <v>102</v>
      </c>
      <c r="P1708">
        <f t="shared" si="52"/>
        <v>1</v>
      </c>
      <c r="Q1708" t="str">
        <f>IF(AND(P1708&gt;1,COUNTIF($E$6:E1708,E1708)=1),MAX($Q$5:Q1707)+1,"")</f>
        <v/>
      </c>
      <c r="R1708" t="str">
        <f t="shared" si="53"/>
        <v/>
      </c>
    </row>
    <row r="1709" spans="1:18" ht="22.95" customHeight="1">
      <c r="A1709" t="s">
        <v>4630</v>
      </c>
      <c r="B1709" t="s">
        <v>24</v>
      </c>
      <c r="C1709" t="s">
        <v>136</v>
      </c>
      <c r="D1709" t="s">
        <v>674</v>
      </c>
      <c r="E1709" t="s">
        <v>4695</v>
      </c>
      <c r="F1709">
        <v>1</v>
      </c>
      <c r="G1709" t="s">
        <v>92</v>
      </c>
      <c r="I1709" t="s">
        <v>140</v>
      </c>
      <c r="J1709" t="s">
        <v>672</v>
      </c>
      <c r="K1709" t="s">
        <v>141</v>
      </c>
      <c r="L1709" t="s">
        <v>4694</v>
      </c>
      <c r="M1709" t="s">
        <v>102</v>
      </c>
      <c r="P1709">
        <f t="shared" si="52"/>
        <v>1</v>
      </c>
      <c r="Q1709" t="str">
        <f>IF(AND(P1709&gt;1,COUNTIF($E$6:E1709,E1709)=1),MAX($Q$5:Q1708)+1,"")</f>
        <v/>
      </c>
      <c r="R1709" t="str">
        <f t="shared" si="53"/>
        <v/>
      </c>
    </row>
    <row r="1710" spans="1:18" ht="22.95" customHeight="1">
      <c r="A1710" t="s">
        <v>4630</v>
      </c>
      <c r="B1710" t="s">
        <v>24</v>
      </c>
      <c r="C1710" t="s">
        <v>443</v>
      </c>
      <c r="D1710" t="s">
        <v>444</v>
      </c>
      <c r="E1710" t="s">
        <v>4696</v>
      </c>
      <c r="F1710">
        <v>1</v>
      </c>
      <c r="G1710" t="s">
        <v>92</v>
      </c>
      <c r="I1710" t="s">
        <v>140</v>
      </c>
      <c r="J1710" t="s">
        <v>99</v>
      </c>
      <c r="K1710" t="s">
        <v>141</v>
      </c>
      <c r="L1710" t="s">
        <v>4697</v>
      </c>
      <c r="M1710" t="s">
        <v>102</v>
      </c>
      <c r="P1710">
        <f t="shared" si="52"/>
        <v>1</v>
      </c>
      <c r="Q1710" t="str">
        <f>IF(AND(P1710&gt;1,COUNTIF($E$6:E1710,E1710)=1),MAX($Q$5:Q1709)+1,"")</f>
        <v/>
      </c>
      <c r="R1710" t="str">
        <f t="shared" si="53"/>
        <v/>
      </c>
    </row>
    <row r="1711" spans="1:18" ht="22.95" customHeight="1">
      <c r="A1711" t="s">
        <v>4630</v>
      </c>
      <c r="B1711" t="s">
        <v>24</v>
      </c>
      <c r="C1711" t="s">
        <v>443</v>
      </c>
      <c r="D1711" t="s">
        <v>444</v>
      </c>
      <c r="E1711" t="s">
        <v>4698</v>
      </c>
      <c r="F1711">
        <v>1</v>
      </c>
      <c r="G1711" t="s">
        <v>92</v>
      </c>
      <c r="I1711" t="s">
        <v>140</v>
      </c>
      <c r="J1711" t="s">
        <v>99</v>
      </c>
      <c r="K1711" t="s">
        <v>141</v>
      </c>
      <c r="L1711" t="s">
        <v>4699</v>
      </c>
      <c r="M1711" t="s">
        <v>102</v>
      </c>
      <c r="P1711">
        <f t="shared" si="52"/>
        <v>1</v>
      </c>
      <c r="Q1711" t="str">
        <f>IF(AND(P1711&gt;1,COUNTIF($E$6:E1711,E1711)=1),MAX($Q$5:Q1710)+1,"")</f>
        <v/>
      </c>
      <c r="R1711" t="str">
        <f t="shared" si="53"/>
        <v/>
      </c>
    </row>
    <row r="1712" spans="1:18" ht="22.95" customHeight="1">
      <c r="A1712" t="s">
        <v>4630</v>
      </c>
      <c r="B1712" t="s">
        <v>28</v>
      </c>
      <c r="C1712" t="s">
        <v>146</v>
      </c>
      <c r="D1712" t="s">
        <v>147</v>
      </c>
      <c r="E1712" t="s">
        <v>4700</v>
      </c>
      <c r="F1712">
        <v>1</v>
      </c>
      <c r="G1712" t="s">
        <v>139</v>
      </c>
      <c r="I1712" t="s">
        <v>4701</v>
      </c>
      <c r="J1712" t="s">
        <v>99</v>
      </c>
      <c r="K1712" t="s">
        <v>109</v>
      </c>
      <c r="L1712" t="s">
        <v>4702</v>
      </c>
      <c r="M1712" t="s">
        <v>62</v>
      </c>
      <c r="N1712" t="s">
        <v>63</v>
      </c>
      <c r="P1712">
        <f t="shared" si="52"/>
        <v>1</v>
      </c>
      <c r="Q1712" t="str">
        <f>IF(AND(P1712&gt;1,COUNTIF($E$6:E1712,E1712)=1),MAX($Q$5:Q1711)+1,"")</f>
        <v/>
      </c>
      <c r="R1712" t="str">
        <f t="shared" si="53"/>
        <v/>
      </c>
    </row>
    <row r="1713" spans="1:18" ht="22.95" customHeight="1">
      <c r="A1713" t="s">
        <v>4630</v>
      </c>
      <c r="B1713" t="s">
        <v>28</v>
      </c>
      <c r="C1713" t="s">
        <v>146</v>
      </c>
      <c r="D1713" t="s">
        <v>147</v>
      </c>
      <c r="E1713" t="s">
        <v>4703</v>
      </c>
      <c r="F1713">
        <v>1</v>
      </c>
      <c r="G1713" t="s">
        <v>92</v>
      </c>
      <c r="I1713" t="s">
        <v>4704</v>
      </c>
      <c r="J1713" t="s">
        <v>99</v>
      </c>
      <c r="L1713" t="s">
        <v>4705</v>
      </c>
      <c r="M1713" t="s">
        <v>102</v>
      </c>
      <c r="P1713">
        <f t="shared" si="52"/>
        <v>1</v>
      </c>
      <c r="Q1713" t="str">
        <f>IF(AND(P1713&gt;1,COUNTIF($E$6:E1713,E1713)=1),MAX($Q$5:Q1712)+1,"")</f>
        <v/>
      </c>
      <c r="R1713" t="str">
        <f t="shared" si="53"/>
        <v/>
      </c>
    </row>
    <row r="1714" spans="1:18" ht="22.95" customHeight="1">
      <c r="A1714" t="s">
        <v>4630</v>
      </c>
      <c r="B1714" t="s">
        <v>28</v>
      </c>
      <c r="C1714" t="s">
        <v>167</v>
      </c>
      <c r="D1714" t="s">
        <v>168</v>
      </c>
      <c r="E1714" t="s">
        <v>4706</v>
      </c>
      <c r="F1714">
        <v>1</v>
      </c>
      <c r="G1714" t="s">
        <v>92</v>
      </c>
      <c r="I1714" t="s">
        <v>4707</v>
      </c>
      <c r="J1714" t="s">
        <v>99</v>
      </c>
      <c r="K1714" t="s">
        <v>4708</v>
      </c>
      <c r="L1714" t="s">
        <v>4709</v>
      </c>
      <c r="M1714" t="s">
        <v>102</v>
      </c>
      <c r="P1714">
        <f t="shared" si="52"/>
        <v>1</v>
      </c>
      <c r="Q1714" t="str">
        <f>IF(AND(P1714&gt;1,COUNTIF($E$6:E1714,E1714)=1),MAX($Q$5:Q1713)+1,"")</f>
        <v/>
      </c>
      <c r="R1714" t="str">
        <f t="shared" si="53"/>
        <v/>
      </c>
    </row>
    <row r="1715" spans="1:18" ht="22.95" customHeight="1">
      <c r="A1715" t="s">
        <v>4630</v>
      </c>
      <c r="B1715" t="s">
        <v>28</v>
      </c>
      <c r="C1715" t="s">
        <v>167</v>
      </c>
      <c r="D1715" t="s">
        <v>168</v>
      </c>
      <c r="E1715" t="s">
        <v>4710</v>
      </c>
      <c r="F1715">
        <v>1</v>
      </c>
      <c r="G1715" t="s">
        <v>92</v>
      </c>
      <c r="I1715" t="s">
        <v>4711</v>
      </c>
      <c r="K1715" t="s">
        <v>4712</v>
      </c>
      <c r="L1715" t="s">
        <v>4713</v>
      </c>
      <c r="M1715" t="s">
        <v>73</v>
      </c>
      <c r="P1715">
        <f t="shared" si="52"/>
        <v>1</v>
      </c>
      <c r="Q1715" t="str">
        <f>IF(AND(P1715&gt;1,COUNTIF($E$6:E1715,E1715)=1),MAX($Q$5:Q1714)+1,"")</f>
        <v/>
      </c>
      <c r="R1715" t="str">
        <f t="shared" si="53"/>
        <v/>
      </c>
    </row>
    <row r="1716" spans="1:18" ht="22.95" customHeight="1">
      <c r="A1716" t="s">
        <v>4630</v>
      </c>
      <c r="B1716" t="s">
        <v>30</v>
      </c>
      <c r="C1716" t="s">
        <v>180</v>
      </c>
      <c r="D1716" t="s">
        <v>181</v>
      </c>
      <c r="E1716" t="s">
        <v>4714</v>
      </c>
      <c r="F1716">
        <v>1</v>
      </c>
      <c r="G1716" t="s">
        <v>3391</v>
      </c>
      <c r="H1716" t="s">
        <v>4715</v>
      </c>
      <c r="I1716" t="s">
        <v>4716</v>
      </c>
      <c r="K1716" t="s">
        <v>1417</v>
      </c>
      <c r="L1716" t="s">
        <v>4717</v>
      </c>
      <c r="M1716" t="s">
        <v>73</v>
      </c>
      <c r="P1716">
        <f t="shared" si="52"/>
        <v>1</v>
      </c>
      <c r="Q1716" t="str">
        <f>IF(AND(P1716&gt;1,COUNTIF($E$6:E1716,E1716)=1),MAX($Q$5:Q1715)+1,"")</f>
        <v/>
      </c>
      <c r="R1716" t="str">
        <f t="shared" si="53"/>
        <v/>
      </c>
    </row>
    <row r="1717" spans="1:18" ht="22.95" customHeight="1">
      <c r="A1717" t="s">
        <v>4630</v>
      </c>
      <c r="B1717" t="s">
        <v>30</v>
      </c>
      <c r="C1717" t="s">
        <v>180</v>
      </c>
      <c r="D1717" t="s">
        <v>181</v>
      </c>
      <c r="E1717" t="s">
        <v>4718</v>
      </c>
      <c r="F1717">
        <v>1</v>
      </c>
      <c r="G1717" t="s">
        <v>4719</v>
      </c>
      <c r="H1717" t="s">
        <v>4720</v>
      </c>
      <c r="I1717" t="s">
        <v>4721</v>
      </c>
      <c r="K1717" t="s">
        <v>1417</v>
      </c>
      <c r="L1717" t="s">
        <v>4722</v>
      </c>
      <c r="M1717" t="s">
        <v>73</v>
      </c>
      <c r="P1717">
        <f t="shared" si="52"/>
        <v>1</v>
      </c>
      <c r="Q1717" t="str">
        <f>IF(AND(P1717&gt;1,COUNTIF($E$6:E1717,E1717)=1),MAX($Q$5:Q1716)+1,"")</f>
        <v/>
      </c>
      <c r="R1717" t="str">
        <f t="shared" si="53"/>
        <v/>
      </c>
    </row>
    <row r="1718" spans="1:18" ht="22.95" customHeight="1">
      <c r="A1718" t="s">
        <v>4630</v>
      </c>
      <c r="B1718" t="s">
        <v>30</v>
      </c>
      <c r="C1718" t="s">
        <v>180</v>
      </c>
      <c r="D1718" t="s">
        <v>181</v>
      </c>
      <c r="E1718" t="s">
        <v>4723</v>
      </c>
      <c r="F1718">
        <v>1</v>
      </c>
      <c r="G1718" t="s">
        <v>210</v>
      </c>
      <c r="H1718" t="s">
        <v>780</v>
      </c>
      <c r="I1718" t="s">
        <v>4724</v>
      </c>
      <c r="K1718" t="s">
        <v>1417</v>
      </c>
      <c r="L1718" t="s">
        <v>4725</v>
      </c>
      <c r="M1718" t="s">
        <v>73</v>
      </c>
      <c r="P1718">
        <f t="shared" si="52"/>
        <v>1</v>
      </c>
      <c r="Q1718" t="str">
        <f>IF(AND(P1718&gt;1,COUNTIF($E$6:E1718,E1718)=1),MAX($Q$5:Q1717)+1,"")</f>
        <v/>
      </c>
      <c r="R1718" t="str">
        <f t="shared" si="53"/>
        <v/>
      </c>
    </row>
    <row r="1719" spans="1:18" ht="22.95" customHeight="1">
      <c r="A1719" t="s">
        <v>4630</v>
      </c>
      <c r="B1719" t="s">
        <v>30</v>
      </c>
      <c r="C1719" t="s">
        <v>180</v>
      </c>
      <c r="D1719" t="s">
        <v>181</v>
      </c>
      <c r="E1719" t="s">
        <v>4726</v>
      </c>
      <c r="F1719">
        <v>1</v>
      </c>
      <c r="G1719" t="s">
        <v>4727</v>
      </c>
      <c r="H1719" t="s">
        <v>4715</v>
      </c>
      <c r="I1719" t="s">
        <v>4724</v>
      </c>
      <c r="K1719" t="s">
        <v>1417</v>
      </c>
      <c r="L1719" t="s">
        <v>4728</v>
      </c>
      <c r="M1719" t="s">
        <v>73</v>
      </c>
      <c r="P1719">
        <f t="shared" si="52"/>
        <v>1</v>
      </c>
      <c r="Q1719" t="str">
        <f>IF(AND(P1719&gt;1,COUNTIF($E$6:E1719,E1719)=1),MAX($Q$5:Q1718)+1,"")</f>
        <v/>
      </c>
      <c r="R1719" t="str">
        <f t="shared" si="53"/>
        <v/>
      </c>
    </row>
    <row r="1720" spans="1:18" ht="22.95" customHeight="1">
      <c r="A1720" t="s">
        <v>4630</v>
      </c>
      <c r="B1720" t="s">
        <v>30</v>
      </c>
      <c r="C1720" t="s">
        <v>180</v>
      </c>
      <c r="D1720" t="s">
        <v>181</v>
      </c>
      <c r="E1720" t="s">
        <v>4729</v>
      </c>
      <c r="F1720">
        <v>1</v>
      </c>
      <c r="G1720" t="s">
        <v>4730</v>
      </c>
      <c r="H1720" t="s">
        <v>732</v>
      </c>
      <c r="I1720" t="s">
        <v>4724</v>
      </c>
      <c r="K1720" t="s">
        <v>1417</v>
      </c>
      <c r="L1720" t="s">
        <v>4731</v>
      </c>
      <c r="M1720" t="s">
        <v>73</v>
      </c>
      <c r="P1720">
        <f t="shared" si="52"/>
        <v>1</v>
      </c>
      <c r="Q1720" t="str">
        <f>IF(AND(P1720&gt;1,COUNTIF($E$6:E1720,E1720)=1),MAX($Q$5:Q1719)+1,"")</f>
        <v/>
      </c>
      <c r="R1720" t="str">
        <f t="shared" si="53"/>
        <v/>
      </c>
    </row>
    <row r="1721" spans="1:18" ht="22.95" customHeight="1">
      <c r="A1721" t="s">
        <v>4630</v>
      </c>
      <c r="B1721" t="s">
        <v>30</v>
      </c>
      <c r="C1721" t="s">
        <v>4732</v>
      </c>
      <c r="D1721" t="s">
        <v>4733</v>
      </c>
      <c r="E1721" t="s">
        <v>4734</v>
      </c>
      <c r="F1721">
        <v>1</v>
      </c>
      <c r="G1721" t="s">
        <v>4730</v>
      </c>
      <c r="H1721" t="s">
        <v>732</v>
      </c>
      <c r="I1721" t="s">
        <v>4724</v>
      </c>
      <c r="K1721" t="s">
        <v>1417</v>
      </c>
      <c r="L1721" t="s">
        <v>4735</v>
      </c>
      <c r="M1721" t="s">
        <v>73</v>
      </c>
      <c r="P1721">
        <f t="shared" si="52"/>
        <v>1</v>
      </c>
      <c r="Q1721" t="str">
        <f>IF(AND(P1721&gt;1,COUNTIF($E$6:E1721,E1721)=1),MAX($Q$5:Q1720)+1,"")</f>
        <v/>
      </c>
      <c r="R1721" t="str">
        <f t="shared" si="53"/>
        <v/>
      </c>
    </row>
    <row r="1722" spans="1:18" ht="22.95" customHeight="1">
      <c r="A1722" t="s">
        <v>4630</v>
      </c>
      <c r="B1722" t="s">
        <v>30</v>
      </c>
      <c r="C1722" t="s">
        <v>180</v>
      </c>
      <c r="D1722" t="s">
        <v>181</v>
      </c>
      <c r="E1722" t="s">
        <v>4736</v>
      </c>
      <c r="F1722">
        <v>1</v>
      </c>
      <c r="G1722" t="s">
        <v>901</v>
      </c>
      <c r="H1722" t="s">
        <v>4737</v>
      </c>
      <c r="I1722" t="s">
        <v>4738</v>
      </c>
      <c r="K1722" t="s">
        <v>1417</v>
      </c>
      <c r="L1722" t="s">
        <v>4739</v>
      </c>
      <c r="M1722" t="s">
        <v>73</v>
      </c>
      <c r="P1722">
        <f t="shared" si="52"/>
        <v>1</v>
      </c>
      <c r="Q1722" t="str">
        <f>IF(AND(P1722&gt;1,COUNTIF($E$6:E1722,E1722)=1),MAX($Q$5:Q1721)+1,"")</f>
        <v/>
      </c>
      <c r="R1722" t="str">
        <f t="shared" si="53"/>
        <v/>
      </c>
    </row>
    <row r="1723" spans="1:18" ht="22.95" customHeight="1">
      <c r="A1723" t="s">
        <v>4630</v>
      </c>
      <c r="B1723" t="s">
        <v>30</v>
      </c>
      <c r="C1723" t="s">
        <v>180</v>
      </c>
      <c r="D1723" t="s">
        <v>181</v>
      </c>
      <c r="E1723" t="s">
        <v>4740</v>
      </c>
      <c r="F1723">
        <v>1</v>
      </c>
      <c r="G1723" t="s">
        <v>901</v>
      </c>
      <c r="H1723" t="s">
        <v>4737</v>
      </c>
      <c r="I1723" t="s">
        <v>4741</v>
      </c>
      <c r="K1723" t="s">
        <v>4684</v>
      </c>
      <c r="L1723" t="s">
        <v>4742</v>
      </c>
      <c r="M1723" t="s">
        <v>62</v>
      </c>
      <c r="N1723" t="s">
        <v>811</v>
      </c>
      <c r="P1723">
        <f t="shared" si="52"/>
        <v>1</v>
      </c>
      <c r="Q1723" t="str">
        <f>IF(AND(P1723&gt;1,COUNTIF($E$6:E1723,E1723)=1),MAX($Q$5:Q1722)+1,"")</f>
        <v/>
      </c>
      <c r="R1723" t="str">
        <f t="shared" si="53"/>
        <v/>
      </c>
    </row>
    <row r="1724" spans="1:18" ht="22.95" customHeight="1">
      <c r="A1724" t="s">
        <v>4630</v>
      </c>
      <c r="B1724" t="s">
        <v>30</v>
      </c>
      <c r="C1724" t="s">
        <v>188</v>
      </c>
      <c r="D1724" t="s">
        <v>189</v>
      </c>
      <c r="E1724" t="s">
        <v>4743</v>
      </c>
      <c r="F1724">
        <v>1</v>
      </c>
      <c r="G1724" t="s">
        <v>919</v>
      </c>
      <c r="H1724" t="s">
        <v>4744</v>
      </c>
      <c r="I1724" t="s">
        <v>1477</v>
      </c>
      <c r="J1724" t="s">
        <v>245</v>
      </c>
      <c r="K1724" t="s">
        <v>109</v>
      </c>
      <c r="L1724" t="s">
        <v>4745</v>
      </c>
      <c r="M1724" t="s">
        <v>73</v>
      </c>
      <c r="P1724">
        <f t="shared" si="52"/>
        <v>1</v>
      </c>
      <c r="Q1724" t="str">
        <f>IF(AND(P1724&gt;1,COUNTIF($E$6:E1724,E1724)=1),MAX($Q$5:Q1723)+1,"")</f>
        <v/>
      </c>
      <c r="R1724" t="str">
        <f t="shared" si="53"/>
        <v/>
      </c>
    </row>
    <row r="1725" spans="1:18" ht="22.95" customHeight="1">
      <c r="A1725" t="s">
        <v>4630</v>
      </c>
      <c r="B1725" t="s">
        <v>30</v>
      </c>
      <c r="C1725" t="s">
        <v>188</v>
      </c>
      <c r="D1725" t="s">
        <v>189</v>
      </c>
      <c r="E1725" t="s">
        <v>4746</v>
      </c>
      <c r="F1725">
        <v>1</v>
      </c>
      <c r="G1725" t="s">
        <v>1987</v>
      </c>
      <c r="H1725" t="s">
        <v>4747</v>
      </c>
      <c r="I1725" t="s">
        <v>4748</v>
      </c>
      <c r="K1725" t="s">
        <v>78</v>
      </c>
      <c r="L1725" t="s">
        <v>4749</v>
      </c>
      <c r="M1725" t="s">
        <v>73</v>
      </c>
      <c r="P1725">
        <f t="shared" si="52"/>
        <v>1</v>
      </c>
      <c r="Q1725" t="str">
        <f>IF(AND(P1725&gt;1,COUNTIF($E$6:E1725,E1725)=1),MAX($Q$5:Q1724)+1,"")</f>
        <v/>
      </c>
      <c r="R1725" t="str">
        <f t="shared" si="53"/>
        <v/>
      </c>
    </row>
    <row r="1726" spans="1:18" ht="22.95" customHeight="1">
      <c r="A1726" t="s">
        <v>4630</v>
      </c>
      <c r="B1726" t="s">
        <v>26</v>
      </c>
      <c r="C1726" t="s">
        <v>196</v>
      </c>
      <c r="D1726" t="s">
        <v>197</v>
      </c>
      <c r="E1726" t="s">
        <v>4750</v>
      </c>
      <c r="F1726">
        <v>1</v>
      </c>
      <c r="G1726" t="s">
        <v>2290</v>
      </c>
      <c r="H1726" t="s">
        <v>3671</v>
      </c>
      <c r="I1726" t="s">
        <v>4751</v>
      </c>
      <c r="K1726" t="s">
        <v>1417</v>
      </c>
      <c r="L1726" t="s">
        <v>4752</v>
      </c>
      <c r="M1726" t="s">
        <v>73</v>
      </c>
      <c r="P1726">
        <f t="shared" si="52"/>
        <v>1</v>
      </c>
      <c r="Q1726" t="str">
        <f>IF(AND(P1726&gt;1,COUNTIF($E$6:E1726,E1726)=1),MAX($Q$5:Q1725)+1,"")</f>
        <v/>
      </c>
      <c r="R1726" t="str">
        <f t="shared" si="53"/>
        <v/>
      </c>
    </row>
    <row r="1727" spans="1:18" ht="22.95" customHeight="1">
      <c r="A1727" t="s">
        <v>4630</v>
      </c>
      <c r="B1727" t="s">
        <v>26</v>
      </c>
      <c r="C1727" t="s">
        <v>196</v>
      </c>
      <c r="D1727" t="s">
        <v>197</v>
      </c>
      <c r="E1727" t="s">
        <v>4753</v>
      </c>
      <c r="F1727">
        <v>1</v>
      </c>
      <c r="G1727" t="s">
        <v>1109</v>
      </c>
      <c r="H1727" t="s">
        <v>4754</v>
      </c>
      <c r="I1727" t="s">
        <v>4755</v>
      </c>
      <c r="K1727" t="s">
        <v>109</v>
      </c>
      <c r="L1727" t="s">
        <v>4752</v>
      </c>
      <c r="M1727" t="s">
        <v>73</v>
      </c>
      <c r="P1727">
        <f t="shared" si="52"/>
        <v>1</v>
      </c>
      <c r="Q1727" t="str">
        <f>IF(AND(P1727&gt;1,COUNTIF($E$6:E1727,E1727)=1),MAX($Q$5:Q1726)+1,"")</f>
        <v/>
      </c>
      <c r="R1727" t="str">
        <f t="shared" si="53"/>
        <v/>
      </c>
    </row>
    <row r="1728" spans="1:18" ht="22.95" customHeight="1">
      <c r="A1728" t="s">
        <v>4630</v>
      </c>
      <c r="B1728" t="s">
        <v>26</v>
      </c>
      <c r="C1728" t="s">
        <v>196</v>
      </c>
      <c r="D1728" t="s">
        <v>197</v>
      </c>
      <c r="E1728" t="s">
        <v>4756</v>
      </c>
      <c r="F1728">
        <v>1</v>
      </c>
      <c r="G1728" t="s">
        <v>1221</v>
      </c>
      <c r="H1728" t="s">
        <v>4757</v>
      </c>
      <c r="I1728" t="s">
        <v>4751</v>
      </c>
      <c r="K1728" t="s">
        <v>1417</v>
      </c>
      <c r="L1728" t="s">
        <v>4752</v>
      </c>
      <c r="M1728" t="s">
        <v>73</v>
      </c>
      <c r="P1728">
        <f t="shared" si="52"/>
        <v>1</v>
      </c>
      <c r="Q1728" t="str">
        <f>IF(AND(P1728&gt;1,COUNTIF($E$6:E1728,E1728)=1),MAX($Q$5:Q1727)+1,"")</f>
        <v/>
      </c>
      <c r="R1728" t="str">
        <f t="shared" si="53"/>
        <v/>
      </c>
    </row>
    <row r="1729" spans="1:18" ht="22.95" customHeight="1">
      <c r="A1729" t="s">
        <v>4630</v>
      </c>
      <c r="B1729" t="s">
        <v>26</v>
      </c>
      <c r="C1729" t="s">
        <v>196</v>
      </c>
      <c r="D1729" t="s">
        <v>197</v>
      </c>
      <c r="E1729" t="s">
        <v>4758</v>
      </c>
      <c r="F1729">
        <v>1</v>
      </c>
      <c r="G1729" t="s">
        <v>1221</v>
      </c>
      <c r="H1729" t="s">
        <v>4757</v>
      </c>
      <c r="I1729" t="s">
        <v>4751</v>
      </c>
      <c r="K1729" t="s">
        <v>1417</v>
      </c>
      <c r="L1729" t="s">
        <v>4752</v>
      </c>
      <c r="M1729" t="s">
        <v>73</v>
      </c>
      <c r="P1729">
        <f t="shared" si="52"/>
        <v>1</v>
      </c>
      <c r="Q1729" t="str">
        <f>IF(AND(P1729&gt;1,COUNTIF($E$6:E1729,E1729)=1),MAX($Q$5:Q1728)+1,"")</f>
        <v/>
      </c>
      <c r="R1729" t="str">
        <f t="shared" si="53"/>
        <v/>
      </c>
    </row>
    <row r="1730" spans="1:18" ht="22.95" customHeight="1">
      <c r="A1730" t="s">
        <v>4630</v>
      </c>
      <c r="B1730" t="s">
        <v>26</v>
      </c>
      <c r="C1730" t="s">
        <v>196</v>
      </c>
      <c r="D1730" t="s">
        <v>197</v>
      </c>
      <c r="E1730" t="s">
        <v>4759</v>
      </c>
      <c r="F1730">
        <v>1</v>
      </c>
      <c r="G1730" t="s">
        <v>2470</v>
      </c>
      <c r="H1730" t="s">
        <v>3733</v>
      </c>
      <c r="I1730" t="s">
        <v>112</v>
      </c>
      <c r="J1730" t="s">
        <v>99</v>
      </c>
      <c r="K1730" t="s">
        <v>2556</v>
      </c>
      <c r="L1730" t="s">
        <v>4760</v>
      </c>
      <c r="M1730" t="s">
        <v>102</v>
      </c>
      <c r="P1730">
        <f t="shared" si="52"/>
        <v>1</v>
      </c>
      <c r="Q1730" t="str">
        <f>IF(AND(P1730&gt;1,COUNTIF($E$6:E1730,E1730)=1),MAX($Q$5:Q1729)+1,"")</f>
        <v/>
      </c>
      <c r="R1730" t="str">
        <f t="shared" si="53"/>
        <v/>
      </c>
    </row>
    <row r="1731" spans="1:18" ht="22.95" customHeight="1">
      <c r="A1731" t="s">
        <v>4630</v>
      </c>
      <c r="B1731" t="s">
        <v>33</v>
      </c>
      <c r="C1731" t="s">
        <v>2314</v>
      </c>
      <c r="D1731" t="s">
        <v>2315</v>
      </c>
      <c r="E1731" t="s">
        <v>4761</v>
      </c>
      <c r="F1731">
        <v>1</v>
      </c>
      <c r="G1731" t="s">
        <v>3395</v>
      </c>
      <c r="H1731" t="s">
        <v>4682</v>
      </c>
      <c r="I1731" t="s">
        <v>4762</v>
      </c>
      <c r="K1731" t="s">
        <v>1417</v>
      </c>
      <c r="L1731" t="s">
        <v>4763</v>
      </c>
      <c r="M1731" t="s">
        <v>73</v>
      </c>
      <c r="P1731">
        <f t="shared" si="52"/>
        <v>1</v>
      </c>
      <c r="Q1731" t="str">
        <f>IF(AND(P1731&gt;1,COUNTIF($E$6:E1731,E1731)=1),MAX($Q$5:Q1730)+1,"")</f>
        <v/>
      </c>
      <c r="R1731" t="str">
        <f t="shared" si="53"/>
        <v/>
      </c>
    </row>
    <row r="1732" spans="1:18" ht="22.95" customHeight="1">
      <c r="A1732" t="s">
        <v>4630</v>
      </c>
      <c r="B1732" t="s">
        <v>33</v>
      </c>
      <c r="C1732" t="s">
        <v>2314</v>
      </c>
      <c r="D1732" t="s">
        <v>2315</v>
      </c>
      <c r="E1732" t="s">
        <v>4764</v>
      </c>
      <c r="F1732">
        <v>1</v>
      </c>
      <c r="G1732" t="s">
        <v>3395</v>
      </c>
      <c r="H1732" t="s">
        <v>4682</v>
      </c>
      <c r="I1732" t="s">
        <v>4762</v>
      </c>
      <c r="K1732" t="s">
        <v>1417</v>
      </c>
      <c r="L1732" t="s">
        <v>4763</v>
      </c>
      <c r="M1732" t="s">
        <v>73</v>
      </c>
      <c r="P1732">
        <f t="shared" si="52"/>
        <v>1</v>
      </c>
      <c r="Q1732" t="str">
        <f>IF(AND(P1732&gt;1,COUNTIF($E$6:E1732,E1732)=1),MAX($Q$5:Q1731)+1,"")</f>
        <v/>
      </c>
      <c r="R1732" t="str">
        <f t="shared" si="53"/>
        <v/>
      </c>
    </row>
    <row r="1733" spans="1:18" ht="22.95" customHeight="1">
      <c r="A1733" t="s">
        <v>4630</v>
      </c>
      <c r="B1733" t="s">
        <v>33</v>
      </c>
      <c r="C1733" t="s">
        <v>2314</v>
      </c>
      <c r="D1733" t="s">
        <v>2315</v>
      </c>
      <c r="E1733" t="s">
        <v>4765</v>
      </c>
      <c r="F1733">
        <v>1</v>
      </c>
      <c r="G1733" t="s">
        <v>3395</v>
      </c>
      <c r="H1733" t="s">
        <v>4682</v>
      </c>
      <c r="I1733" t="s">
        <v>4762</v>
      </c>
      <c r="K1733" t="s">
        <v>1417</v>
      </c>
      <c r="L1733" t="s">
        <v>4763</v>
      </c>
      <c r="M1733" t="s">
        <v>73</v>
      </c>
      <c r="P1733">
        <f t="shared" si="52"/>
        <v>1</v>
      </c>
      <c r="Q1733" t="str">
        <f>IF(AND(P1733&gt;1,COUNTIF($E$6:E1733,E1733)=1),MAX($Q$5:Q1732)+1,"")</f>
        <v/>
      </c>
      <c r="R1733" t="str">
        <f t="shared" si="53"/>
        <v/>
      </c>
    </row>
    <row r="1734" spans="1:18" ht="22.95" customHeight="1">
      <c r="A1734" t="s">
        <v>4630</v>
      </c>
      <c r="B1734" t="s">
        <v>33</v>
      </c>
      <c r="C1734" t="s">
        <v>2314</v>
      </c>
      <c r="D1734" t="s">
        <v>2315</v>
      </c>
      <c r="E1734" t="s">
        <v>4766</v>
      </c>
      <c r="F1734">
        <v>1</v>
      </c>
      <c r="G1734" t="s">
        <v>3395</v>
      </c>
      <c r="H1734" t="s">
        <v>4682</v>
      </c>
      <c r="I1734" t="s">
        <v>4762</v>
      </c>
      <c r="K1734" t="s">
        <v>1417</v>
      </c>
      <c r="L1734" t="s">
        <v>4763</v>
      </c>
      <c r="M1734" t="s">
        <v>73</v>
      </c>
      <c r="P1734">
        <f t="shared" ref="P1734:P1740" si="54">COUNTIF($E$6:$E$1740,E1734)</f>
        <v>1</v>
      </c>
      <c r="Q1734" t="str">
        <f>IF(AND(P1734&gt;1,COUNTIF($E$6:E1734,E1734)=1),MAX($Q$5:Q1733)+1,"")</f>
        <v/>
      </c>
      <c r="R1734" t="str">
        <f t="shared" ref="R1734:R1797" si="55">IF(Q1734="","",IF(COUNTIFS($E$6:$E$1740,E1734,$A$6:$A$1740,A1734,$C$6:$C$1740,C1734)&lt;P1734,"LÉGITIME",IF(COUNTIFS($E$6:$E$1740,E1734,$A$6:$A$1740,A1734,$C$6:$C$1740,C1734,$M$6:$M$1740,M1734)&lt;P1734,"STATUT DIFFÉRENT","VRAI DOUBLON")))</f>
        <v/>
      </c>
    </row>
    <row r="1735" spans="1:18" ht="22.95" customHeight="1">
      <c r="A1735" t="s">
        <v>4630</v>
      </c>
      <c r="B1735" t="s">
        <v>33</v>
      </c>
      <c r="C1735" t="s">
        <v>2314</v>
      </c>
      <c r="D1735" t="s">
        <v>2315</v>
      </c>
      <c r="E1735" t="s">
        <v>4767</v>
      </c>
      <c r="F1735">
        <v>1</v>
      </c>
      <c r="G1735" t="s">
        <v>3395</v>
      </c>
      <c r="H1735" t="s">
        <v>4682</v>
      </c>
      <c r="I1735" t="s">
        <v>4762</v>
      </c>
      <c r="K1735" t="s">
        <v>1417</v>
      </c>
      <c r="L1735" t="s">
        <v>4763</v>
      </c>
      <c r="M1735" t="s">
        <v>73</v>
      </c>
      <c r="P1735">
        <f t="shared" si="54"/>
        <v>1</v>
      </c>
      <c r="Q1735" t="str">
        <f>IF(AND(P1735&gt;1,COUNTIF($E$6:E1735,E1735)=1),MAX($Q$5:Q1734)+1,"")</f>
        <v/>
      </c>
      <c r="R1735" t="str">
        <f t="shared" si="55"/>
        <v/>
      </c>
    </row>
    <row r="1736" spans="1:18" ht="22.95" customHeight="1">
      <c r="A1736" t="s">
        <v>4630</v>
      </c>
      <c r="B1736" t="s">
        <v>33</v>
      </c>
      <c r="C1736" t="s">
        <v>2314</v>
      </c>
      <c r="D1736" t="s">
        <v>2315</v>
      </c>
      <c r="E1736" t="s">
        <v>4768</v>
      </c>
      <c r="F1736">
        <v>1</v>
      </c>
      <c r="G1736" t="s">
        <v>3395</v>
      </c>
      <c r="H1736" t="s">
        <v>4682</v>
      </c>
      <c r="I1736" t="s">
        <v>4762</v>
      </c>
      <c r="K1736" t="s">
        <v>1417</v>
      </c>
      <c r="L1736" t="s">
        <v>4763</v>
      </c>
      <c r="M1736" t="s">
        <v>73</v>
      </c>
      <c r="P1736">
        <f t="shared" si="54"/>
        <v>1</v>
      </c>
      <c r="Q1736" t="str">
        <f>IF(AND(P1736&gt;1,COUNTIF($E$6:E1736,E1736)=1),MAX($Q$5:Q1735)+1,"")</f>
        <v/>
      </c>
      <c r="R1736" t="str">
        <f t="shared" si="55"/>
        <v/>
      </c>
    </row>
    <row r="1737" spans="1:18" ht="22.95" customHeight="1">
      <c r="A1737" t="s">
        <v>4630</v>
      </c>
      <c r="B1737" t="s">
        <v>33</v>
      </c>
      <c r="C1737" t="s">
        <v>2314</v>
      </c>
      <c r="D1737" t="s">
        <v>2315</v>
      </c>
      <c r="E1737" t="s">
        <v>4769</v>
      </c>
      <c r="F1737">
        <v>1</v>
      </c>
      <c r="G1737" t="s">
        <v>3395</v>
      </c>
      <c r="H1737" t="s">
        <v>4682</v>
      </c>
      <c r="I1737" t="s">
        <v>4762</v>
      </c>
      <c r="K1737" t="s">
        <v>1417</v>
      </c>
      <c r="L1737" t="s">
        <v>4763</v>
      </c>
      <c r="M1737" t="s">
        <v>73</v>
      </c>
      <c r="P1737">
        <f t="shared" si="54"/>
        <v>1</v>
      </c>
      <c r="Q1737" t="str">
        <f>IF(AND(P1737&gt;1,COUNTIF($E$6:E1737,E1737)=1),MAX($Q$5:Q1736)+1,"")</f>
        <v/>
      </c>
      <c r="R1737" t="str">
        <f t="shared" si="55"/>
        <v/>
      </c>
    </row>
    <row r="1738" spans="1:18" ht="22.95" customHeight="1">
      <c r="A1738" t="s">
        <v>4630</v>
      </c>
      <c r="B1738" t="s">
        <v>33</v>
      </c>
      <c r="C1738" t="s">
        <v>2314</v>
      </c>
      <c r="D1738" t="s">
        <v>2315</v>
      </c>
      <c r="E1738" t="s">
        <v>4770</v>
      </c>
      <c r="F1738">
        <v>1</v>
      </c>
      <c r="G1738" t="s">
        <v>92</v>
      </c>
      <c r="I1738" t="s">
        <v>3676</v>
      </c>
      <c r="K1738" t="s">
        <v>819</v>
      </c>
      <c r="L1738" t="s">
        <v>4771</v>
      </c>
      <c r="M1738" t="s">
        <v>102</v>
      </c>
      <c r="P1738">
        <f t="shared" si="54"/>
        <v>1</v>
      </c>
      <c r="Q1738" t="str">
        <f>IF(AND(P1738&gt;1,COUNTIF($E$6:E1738,E1738)=1),MAX($Q$5:Q1737)+1,"")</f>
        <v/>
      </c>
      <c r="R1738" t="str">
        <f t="shared" si="55"/>
        <v/>
      </c>
    </row>
    <row r="1739" spans="1:18" ht="22.95" customHeight="1">
      <c r="A1739" t="s">
        <v>4630</v>
      </c>
      <c r="B1739" t="s">
        <v>33</v>
      </c>
      <c r="C1739" t="s">
        <v>2103</v>
      </c>
      <c r="D1739" t="s">
        <v>2104</v>
      </c>
      <c r="E1739" t="s">
        <v>4772</v>
      </c>
      <c r="F1739">
        <v>1</v>
      </c>
      <c r="G1739" t="s">
        <v>2271</v>
      </c>
      <c r="H1739" t="s">
        <v>4773</v>
      </c>
      <c r="I1739" t="s">
        <v>140</v>
      </c>
      <c r="L1739" t="s">
        <v>4774</v>
      </c>
      <c r="M1739" t="s">
        <v>73</v>
      </c>
      <c r="P1739">
        <f t="shared" si="54"/>
        <v>1</v>
      </c>
      <c r="Q1739" t="str">
        <f>IF(AND(P1739&gt;1,COUNTIF($E$6:E1739,E1739)=1),MAX($Q$5:Q1738)+1,"")</f>
        <v/>
      </c>
      <c r="R1739" t="str">
        <f t="shared" si="55"/>
        <v/>
      </c>
    </row>
    <row r="1740" spans="1:18" ht="22.95" customHeight="1">
      <c r="A1740" t="s">
        <v>4630</v>
      </c>
      <c r="B1740" t="s">
        <v>29</v>
      </c>
      <c r="C1740" t="s">
        <v>1084</v>
      </c>
      <c r="D1740" t="s">
        <v>1085</v>
      </c>
      <c r="E1740" t="s">
        <v>4775</v>
      </c>
      <c r="F1740">
        <v>1</v>
      </c>
      <c r="G1740" t="s">
        <v>4776</v>
      </c>
      <c r="H1740" t="s">
        <v>4777</v>
      </c>
      <c r="I1740" t="s">
        <v>4778</v>
      </c>
      <c r="K1740" t="s">
        <v>78</v>
      </c>
      <c r="L1740" t="s">
        <v>4779</v>
      </c>
      <c r="M1740" t="s">
        <v>62</v>
      </c>
      <c r="N1740" t="s">
        <v>811</v>
      </c>
      <c r="P1740">
        <f t="shared" si="54"/>
        <v>1</v>
      </c>
      <c r="Q1740" t="str">
        <f>IF(AND(P1740&gt;1,COUNTIF($E$6:E1740,E1740)=1),MAX($Q$5:Q1739)+1,"")</f>
        <v/>
      </c>
      <c r="R1740" t="str">
        <f t="shared" si="55"/>
        <v/>
      </c>
    </row>
  </sheetData>
  <mergeCells count="2">
    <mergeCell ref="A1:N2"/>
    <mergeCell ref="A3:N3"/>
  </mergeCells>
  <conditionalFormatting sqref="M6:M1740">
    <cfRule type="expression" dxfId="3" priority="1">
      <formula>$M6="SAUVÉ"</formula>
    </cfRule>
    <cfRule type="expression" dxfId="2" priority="2">
      <formula>$M6="CHARGÉ"</formula>
    </cfRule>
    <cfRule type="expression" dxfId="1" priority="3">
      <formula>$M6="NON CHARGÉ"</formula>
    </cfRule>
    <cfRule type="expression" dxfId="0" priority="4">
      <formula>$M6="ANNULÉ"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RÉCAPITULATIF</vt:lpstr>
      <vt:lpstr>DOSSIERS</vt:lpstr>
      <vt:lpstr>JOUR PAR JOUR</vt:lpstr>
      <vt:lpstr>SYNTHÈSE PAR DATE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OLIERE Xavier (migré)</dc:creator>
  <cp:lastModifiedBy>OLIERE Xavier</cp:lastModifiedBy>
  <dcterms:created xsi:type="dcterms:W3CDTF">2026-10-19T00:13:03Z</dcterms:created>
  <dcterms:modified xsi:type="dcterms:W3CDTF">2026-10-19T00:43:58Z</dcterms:modified>
</cp:coreProperties>
</file>